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Hoja1" sheetId="1" state="hidden" r:id="rId1"/>
    <sheet name="DatosTitane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134" i="2" l="1"/>
  <c r="BN134" i="2"/>
  <c r="BO269" i="2" l="1"/>
  <c r="BO268" i="2"/>
  <c r="BO267" i="2"/>
  <c r="BO266" i="2"/>
  <c r="BO265" i="2"/>
  <c r="BO264" i="2"/>
  <c r="BO263" i="2"/>
  <c r="BO262" i="2"/>
  <c r="BO261" i="2"/>
  <c r="BO260" i="2"/>
  <c r="BO259" i="2"/>
  <c r="BO258" i="2"/>
  <c r="BO257" i="2"/>
  <c r="BO256" i="2"/>
  <c r="BO255" i="2"/>
  <c r="BO254" i="2"/>
  <c r="BO253" i="2"/>
  <c r="BO252" i="2"/>
  <c r="BO251" i="2"/>
  <c r="BO250" i="2"/>
  <c r="BO249" i="2"/>
  <c r="BO248" i="2"/>
  <c r="BO247" i="2"/>
  <c r="BO246" i="2"/>
  <c r="BO245" i="2"/>
  <c r="BO244" i="2"/>
  <c r="BO243" i="2"/>
  <c r="BO242" i="2"/>
  <c r="BO241" i="2"/>
  <c r="BO240" i="2"/>
  <c r="BO239" i="2"/>
  <c r="BO238" i="2"/>
  <c r="BO237" i="2"/>
  <c r="BO236" i="2"/>
  <c r="BO235" i="2"/>
  <c r="BO234" i="2"/>
  <c r="BO233" i="2"/>
  <c r="BO232" i="2"/>
  <c r="BO231" i="2"/>
  <c r="BO230" i="2"/>
  <c r="BO229" i="2"/>
  <c r="BO228" i="2"/>
  <c r="BO227" i="2"/>
  <c r="BO226" i="2"/>
  <c r="BO225" i="2"/>
  <c r="BO224" i="2"/>
  <c r="BO223" i="2"/>
  <c r="BO222" i="2"/>
  <c r="BO221" i="2"/>
  <c r="BO220" i="2"/>
  <c r="BO219" i="2"/>
  <c r="BO218" i="2"/>
  <c r="BO217" i="2"/>
  <c r="BO216" i="2"/>
  <c r="BO215" i="2"/>
  <c r="BO214" i="2"/>
  <c r="BO213" i="2"/>
  <c r="BO212" i="2"/>
  <c r="BO211" i="2"/>
  <c r="BO210" i="2"/>
  <c r="BO209" i="2"/>
  <c r="BO208" i="2"/>
  <c r="BO207" i="2"/>
  <c r="BO206" i="2"/>
  <c r="BO205" i="2"/>
  <c r="BO204" i="2"/>
  <c r="BO203" i="2"/>
  <c r="BO202" i="2"/>
  <c r="BO201" i="2"/>
  <c r="BO200" i="2"/>
  <c r="BO199" i="2"/>
  <c r="BO198" i="2"/>
  <c r="BO197" i="2"/>
  <c r="BO196" i="2"/>
  <c r="BO195" i="2"/>
  <c r="BO194" i="2"/>
  <c r="BO193" i="2"/>
  <c r="BO192" i="2"/>
  <c r="BO191" i="2"/>
  <c r="BO190" i="2"/>
  <c r="BO189" i="2"/>
  <c r="BO188" i="2"/>
  <c r="BO187" i="2"/>
  <c r="BO186" i="2"/>
  <c r="BO185" i="2"/>
  <c r="BO184" i="2"/>
  <c r="BO183" i="2"/>
  <c r="BO182" i="2"/>
  <c r="BO181" i="2"/>
  <c r="BO180" i="2"/>
  <c r="BO179" i="2"/>
  <c r="BO178" i="2"/>
  <c r="BO177" i="2"/>
  <c r="BO176" i="2"/>
  <c r="BO175" i="2"/>
  <c r="BO174" i="2"/>
  <c r="BO173" i="2"/>
  <c r="BO172" i="2"/>
  <c r="BO171" i="2"/>
  <c r="BO170" i="2"/>
  <c r="BO169" i="2"/>
  <c r="BO168" i="2"/>
  <c r="BO167" i="2"/>
  <c r="BO166" i="2"/>
  <c r="BO165" i="2"/>
  <c r="BO164" i="2"/>
  <c r="BO163" i="2"/>
  <c r="BO162" i="2"/>
  <c r="BO161" i="2"/>
  <c r="BO160" i="2"/>
  <c r="BO159" i="2"/>
  <c r="BO158" i="2"/>
  <c r="BO157" i="2"/>
  <c r="BO156" i="2"/>
  <c r="BO155" i="2"/>
  <c r="BO154" i="2"/>
  <c r="BO153" i="2"/>
  <c r="BO152" i="2" l="1"/>
  <c r="BO151" i="2"/>
  <c r="BO150" i="2"/>
  <c r="BO149" i="2"/>
  <c r="BO148" i="2"/>
  <c r="BO147" i="2"/>
  <c r="BO146" i="2"/>
  <c r="BO145" i="2"/>
  <c r="BO144" i="2"/>
  <c r="BO143" i="2"/>
  <c r="BO142" i="2"/>
  <c r="BO141" i="2"/>
  <c r="BO140" i="2"/>
  <c r="BO139" i="2"/>
  <c r="BO138" i="2"/>
  <c r="BO137" i="2"/>
  <c r="BO136" i="2"/>
  <c r="BN152" i="2"/>
  <c r="BN151" i="2"/>
  <c r="BN150" i="2"/>
  <c r="BN149" i="2"/>
  <c r="BN148" i="2"/>
  <c r="BN147" i="2"/>
  <c r="BN146" i="2"/>
  <c r="BN145" i="2"/>
  <c r="BN144" i="2"/>
  <c r="BN143" i="2"/>
  <c r="BN142" i="2"/>
  <c r="BN141" i="2"/>
  <c r="BN140" i="2"/>
  <c r="BN139" i="2"/>
  <c r="BN138" i="2"/>
  <c r="BN137" i="2"/>
  <c r="BS135" i="2" l="1"/>
  <c r="BS124" i="2"/>
  <c r="BS133" i="2"/>
  <c r="BS132" i="2"/>
  <c r="BS131" i="2"/>
  <c r="BS130" i="2"/>
  <c r="BS129" i="2"/>
  <c r="BS128" i="2"/>
  <c r="BS127" i="2"/>
  <c r="BS126" i="2"/>
  <c r="BS125" i="2"/>
  <c r="BO135" i="2"/>
  <c r="BO133" i="2"/>
  <c r="BO132" i="2"/>
  <c r="BO131" i="2"/>
  <c r="BO130" i="2"/>
  <c r="BO129" i="2"/>
  <c r="BO128" i="2"/>
  <c r="BO127" i="2"/>
  <c r="BO126" i="2"/>
  <c r="BO125" i="2"/>
  <c r="BO124" i="2"/>
  <c r="BN135" i="2"/>
  <c r="BN133" i="2"/>
  <c r="BN132" i="2"/>
  <c r="BN131" i="2"/>
  <c r="BN130" i="2"/>
  <c r="BN129" i="2"/>
  <c r="BN128" i="2"/>
  <c r="BN127" i="2"/>
  <c r="BN126" i="2"/>
  <c r="BN125" i="2"/>
  <c r="BN124" i="2"/>
  <c r="BN123" i="2"/>
  <c r="BS123" i="2" l="1"/>
  <c r="BS122" i="2"/>
  <c r="BS121" i="2"/>
  <c r="BS120" i="2"/>
  <c r="BS116" i="2"/>
  <c r="BS115" i="2"/>
  <c r="BS114" i="2"/>
  <c r="BS113" i="2"/>
  <c r="BS112" i="2"/>
  <c r="BS111" i="2"/>
  <c r="BS110" i="2"/>
  <c r="BS109" i="2"/>
  <c r="BS108" i="2"/>
  <c r="BO123" i="2" l="1"/>
  <c r="BO122" i="2"/>
  <c r="BO121" i="2"/>
  <c r="BO120" i="2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N108" i="2"/>
  <c r="BN4" i="2" l="1"/>
  <c r="BO4" i="2"/>
  <c r="CH4" i="2"/>
  <c r="CI4" i="2"/>
  <c r="DC4" i="2"/>
  <c r="BC5" i="2"/>
  <c r="BN5" i="2"/>
  <c r="BO5" i="2"/>
  <c r="CH5" i="2"/>
  <c r="CI5" i="2"/>
  <c r="DC5" i="2"/>
  <c r="BN6" i="2"/>
  <c r="BO6" i="2"/>
  <c r="CH6" i="2"/>
  <c r="CI6" i="2"/>
  <c r="DC6" i="2"/>
  <c r="BN7" i="2"/>
  <c r="BO7" i="2"/>
  <c r="CH7" i="2"/>
  <c r="CI7" i="2"/>
  <c r="DC7" i="2"/>
  <c r="BN8" i="2"/>
  <c r="BO8" i="2"/>
  <c r="CH8" i="2"/>
  <c r="CI8" i="2"/>
  <c r="DC8" i="2"/>
  <c r="BN9" i="2"/>
  <c r="BO9" i="2"/>
  <c r="CH9" i="2"/>
  <c r="CI9" i="2"/>
  <c r="DC9" i="2"/>
  <c r="BN10" i="2"/>
  <c r="BO10" i="2"/>
  <c r="CH10" i="2"/>
  <c r="CI10" i="2"/>
  <c r="DC10" i="2"/>
  <c r="BN11" i="2"/>
  <c r="BO11" i="2"/>
  <c r="CH11" i="2"/>
  <c r="CI11" i="2"/>
  <c r="DC11" i="2"/>
  <c r="BN12" i="2"/>
  <c r="BO12" i="2"/>
  <c r="CH12" i="2"/>
  <c r="CI12" i="2"/>
  <c r="DC12" i="2"/>
  <c r="BN13" i="2"/>
  <c r="BO13" i="2"/>
  <c r="CH13" i="2"/>
  <c r="CI13" i="2"/>
  <c r="DC13" i="2"/>
  <c r="BN14" i="2"/>
  <c r="BO14" i="2"/>
  <c r="CH14" i="2"/>
  <c r="CI14" i="2"/>
  <c r="DC14" i="2"/>
  <c r="BN15" i="2"/>
  <c r="BO15" i="2"/>
  <c r="CH15" i="2"/>
  <c r="CI15" i="2"/>
  <c r="DC15" i="2"/>
  <c r="BN16" i="2"/>
  <c r="BO16" i="2"/>
  <c r="CH16" i="2"/>
  <c r="CI16" i="2"/>
  <c r="DC16" i="2"/>
  <c r="BN17" i="2"/>
  <c r="BO17" i="2"/>
  <c r="CH17" i="2"/>
  <c r="CI17" i="2"/>
  <c r="DC17" i="2"/>
  <c r="BN18" i="2"/>
  <c r="BO18" i="2"/>
  <c r="CH18" i="2"/>
  <c r="CI18" i="2"/>
  <c r="DC18" i="2"/>
  <c r="BN19" i="2"/>
  <c r="BO19" i="2"/>
  <c r="CH19" i="2"/>
  <c r="CI19" i="2"/>
  <c r="DC19" i="2"/>
  <c r="BN20" i="2"/>
  <c r="BO20" i="2"/>
  <c r="CH20" i="2"/>
  <c r="CI20" i="2"/>
  <c r="DC20" i="2"/>
  <c r="BN21" i="2"/>
  <c r="BO21" i="2"/>
  <c r="CH21" i="2"/>
  <c r="CI21" i="2"/>
  <c r="DC21" i="2"/>
  <c r="BN22" i="2"/>
  <c r="BO22" i="2"/>
  <c r="CH22" i="2"/>
  <c r="CI22" i="2"/>
  <c r="DC22" i="2"/>
  <c r="BN23" i="2"/>
  <c r="BO23" i="2"/>
  <c r="CH23" i="2"/>
  <c r="CI23" i="2"/>
  <c r="DC23" i="2"/>
  <c r="BN24" i="2"/>
  <c r="BO24" i="2"/>
  <c r="CH24" i="2"/>
  <c r="CI24" i="2"/>
  <c r="DC24" i="2"/>
  <c r="BN25" i="2"/>
  <c r="BO25" i="2"/>
  <c r="CH25" i="2"/>
  <c r="CI25" i="2"/>
  <c r="DC25" i="2"/>
  <c r="BN26" i="2"/>
  <c r="BO26" i="2"/>
  <c r="CH26" i="2"/>
  <c r="CI26" i="2"/>
  <c r="DC26" i="2"/>
  <c r="BN27" i="2"/>
  <c r="BO27" i="2"/>
  <c r="CH27" i="2"/>
  <c r="CI27" i="2"/>
  <c r="DC27" i="2"/>
  <c r="BN28" i="2"/>
  <c r="BO28" i="2"/>
  <c r="CH28" i="2"/>
  <c r="CI28" i="2"/>
  <c r="DC28" i="2"/>
  <c r="BN29" i="2"/>
  <c r="BO29" i="2"/>
  <c r="CH29" i="2"/>
  <c r="CI29" i="2"/>
  <c r="DC29" i="2"/>
  <c r="BN30" i="2"/>
  <c r="BO30" i="2"/>
  <c r="CH30" i="2"/>
  <c r="CI30" i="2"/>
  <c r="DC30" i="2"/>
  <c r="BN31" i="2"/>
  <c r="BO31" i="2"/>
  <c r="CH31" i="2"/>
  <c r="CI31" i="2"/>
  <c r="DC31" i="2"/>
  <c r="BN32" i="2"/>
  <c r="BO32" i="2"/>
  <c r="CH32" i="2"/>
  <c r="CI32" i="2"/>
  <c r="DC32" i="2"/>
  <c r="BN33" i="2"/>
  <c r="BO33" i="2"/>
  <c r="CH33" i="2"/>
  <c r="CI33" i="2"/>
  <c r="DC33" i="2"/>
  <c r="BN34" i="2"/>
  <c r="BO34" i="2"/>
  <c r="CH34" i="2"/>
  <c r="CI34" i="2"/>
  <c r="DC34" i="2"/>
  <c r="BN35" i="2"/>
  <c r="BO35" i="2"/>
  <c r="CH35" i="2"/>
  <c r="CI35" i="2"/>
  <c r="DC35" i="2"/>
  <c r="BN36" i="2"/>
  <c r="BO36" i="2"/>
  <c r="CH36" i="2"/>
  <c r="CI36" i="2"/>
  <c r="DC36" i="2"/>
  <c r="BN37" i="2"/>
  <c r="BO37" i="2"/>
  <c r="CH37" i="2"/>
  <c r="CI37" i="2"/>
  <c r="DC37" i="2"/>
  <c r="BN38" i="2"/>
  <c r="BO38" i="2"/>
  <c r="CH38" i="2"/>
  <c r="CI38" i="2"/>
  <c r="DC38" i="2"/>
  <c r="BN39" i="2"/>
  <c r="BO39" i="2"/>
  <c r="CH39" i="2"/>
  <c r="CI39" i="2"/>
  <c r="DC39" i="2"/>
  <c r="BN40" i="2"/>
  <c r="BO40" i="2"/>
  <c r="CH40" i="2"/>
  <c r="CI40" i="2"/>
  <c r="DC40" i="2"/>
  <c r="BN41" i="2"/>
  <c r="BO41" i="2"/>
  <c r="CH41" i="2"/>
  <c r="CI41" i="2"/>
  <c r="DC41" i="2"/>
  <c r="BN42" i="2"/>
  <c r="BO42" i="2"/>
  <c r="CH42" i="2"/>
  <c r="CI42" i="2"/>
  <c r="DC42" i="2"/>
  <c r="BN43" i="2"/>
  <c r="BO43" i="2"/>
  <c r="CH43" i="2"/>
  <c r="CI43" i="2"/>
  <c r="DC43" i="2"/>
  <c r="BN44" i="2"/>
  <c r="BO44" i="2"/>
  <c r="CH44" i="2"/>
  <c r="CI44" i="2"/>
  <c r="DC44" i="2"/>
  <c r="BN45" i="2"/>
  <c r="BO45" i="2"/>
  <c r="CH45" i="2"/>
  <c r="CI45" i="2"/>
  <c r="DC45" i="2"/>
  <c r="BN46" i="2"/>
  <c r="BO46" i="2"/>
  <c r="CH46" i="2"/>
  <c r="CI46" i="2"/>
  <c r="DC46" i="2"/>
  <c r="BN47" i="2"/>
  <c r="BO47" i="2"/>
  <c r="CH47" i="2"/>
  <c r="CI47" i="2"/>
  <c r="DC47" i="2"/>
  <c r="BN48" i="2"/>
  <c r="BO48" i="2"/>
  <c r="CH48" i="2"/>
  <c r="CI48" i="2"/>
  <c r="DC48" i="2"/>
  <c r="BN49" i="2"/>
  <c r="BO49" i="2"/>
  <c r="CH49" i="2"/>
  <c r="CI49" i="2"/>
  <c r="DC49" i="2"/>
  <c r="BN50" i="2"/>
  <c r="BO50" i="2"/>
  <c r="CH50" i="2"/>
  <c r="CI50" i="2"/>
  <c r="DC50" i="2"/>
  <c r="BN51" i="2"/>
  <c r="BO51" i="2"/>
  <c r="CH51" i="2"/>
  <c r="CI51" i="2"/>
  <c r="DC51" i="2"/>
  <c r="BN52" i="2"/>
  <c r="BO52" i="2"/>
  <c r="CH52" i="2"/>
  <c r="CI52" i="2"/>
  <c r="DC52" i="2"/>
  <c r="BN53" i="2"/>
  <c r="BO53" i="2"/>
  <c r="CH53" i="2"/>
  <c r="CI53" i="2"/>
  <c r="DC53" i="2"/>
  <c r="BN54" i="2"/>
  <c r="BO54" i="2"/>
  <c r="CH54" i="2"/>
  <c r="CI54" i="2"/>
  <c r="DC54" i="2"/>
  <c r="BN55" i="2"/>
  <c r="BO55" i="2"/>
  <c r="CH55" i="2"/>
  <c r="CI55" i="2"/>
  <c r="DC55" i="2"/>
  <c r="BN56" i="2"/>
  <c r="BO56" i="2"/>
  <c r="CH56" i="2"/>
  <c r="CI56" i="2"/>
  <c r="DC56" i="2"/>
  <c r="BN57" i="2"/>
  <c r="BO57" i="2"/>
  <c r="CH57" i="2"/>
  <c r="CI57" i="2"/>
  <c r="DC57" i="2"/>
  <c r="BN58" i="2"/>
  <c r="BO58" i="2"/>
  <c r="CH58" i="2"/>
  <c r="CI58" i="2"/>
  <c r="DC58" i="2"/>
  <c r="BN59" i="2"/>
  <c r="BO59" i="2"/>
  <c r="CH59" i="2"/>
  <c r="CI59" i="2"/>
  <c r="DC59" i="2"/>
  <c r="BN60" i="2"/>
  <c r="BO60" i="2"/>
  <c r="CH60" i="2"/>
  <c r="CI60" i="2"/>
  <c r="DC60" i="2"/>
  <c r="BN61" i="2"/>
  <c r="BO61" i="2"/>
  <c r="CH61" i="2"/>
  <c r="CI61" i="2"/>
  <c r="DC61" i="2"/>
  <c r="BN62" i="2"/>
  <c r="BO62" i="2"/>
  <c r="CH62" i="2"/>
  <c r="CI62" i="2"/>
  <c r="DC62" i="2"/>
  <c r="BN63" i="2"/>
  <c r="BO63" i="2"/>
  <c r="CH63" i="2"/>
  <c r="CI63" i="2"/>
  <c r="DC63" i="2"/>
  <c r="BN64" i="2"/>
  <c r="BO64" i="2"/>
  <c r="CH64" i="2"/>
  <c r="CI64" i="2"/>
  <c r="DC64" i="2"/>
  <c r="BN65" i="2"/>
  <c r="BO65" i="2"/>
  <c r="CH65" i="2"/>
  <c r="CI65" i="2"/>
  <c r="DC65" i="2"/>
  <c r="BN66" i="2"/>
  <c r="BO66" i="2"/>
  <c r="CH66" i="2"/>
  <c r="CI66" i="2"/>
  <c r="DC66" i="2"/>
  <c r="BN67" i="2"/>
  <c r="BO67" i="2"/>
  <c r="CH67" i="2"/>
  <c r="CI67" i="2"/>
  <c r="DC67" i="2"/>
  <c r="BN68" i="2"/>
  <c r="BO68" i="2"/>
  <c r="CH68" i="2"/>
  <c r="CI68" i="2"/>
  <c r="DC68" i="2"/>
  <c r="BN69" i="2"/>
  <c r="BO69" i="2"/>
  <c r="CH69" i="2"/>
  <c r="CI69" i="2"/>
  <c r="DC69" i="2"/>
  <c r="BN70" i="2"/>
  <c r="BO70" i="2"/>
  <c r="CH70" i="2"/>
  <c r="CI70" i="2"/>
  <c r="DC70" i="2"/>
  <c r="BN71" i="2"/>
  <c r="BO71" i="2"/>
  <c r="CH71" i="2"/>
  <c r="CI71" i="2"/>
  <c r="DC71" i="2"/>
  <c r="BN72" i="2"/>
  <c r="BO72" i="2"/>
  <c r="CH72" i="2"/>
  <c r="CI72" i="2"/>
  <c r="DC72" i="2"/>
  <c r="BN73" i="2"/>
  <c r="BO73" i="2"/>
  <c r="CH73" i="2"/>
  <c r="CI73" i="2"/>
  <c r="DC73" i="2"/>
  <c r="BN74" i="2"/>
  <c r="BO74" i="2"/>
  <c r="CH74" i="2"/>
  <c r="CI74" i="2"/>
  <c r="DC74" i="2"/>
  <c r="BN75" i="2"/>
  <c r="BO75" i="2"/>
  <c r="CH75" i="2"/>
  <c r="CI75" i="2"/>
  <c r="DC75" i="2"/>
  <c r="BN76" i="2"/>
  <c r="BO76" i="2"/>
  <c r="CH76" i="2"/>
  <c r="CI76" i="2"/>
  <c r="DC76" i="2"/>
  <c r="BN77" i="2"/>
  <c r="BO77" i="2"/>
  <c r="CH77" i="2"/>
  <c r="CI77" i="2"/>
  <c r="DC77" i="2"/>
  <c r="BN78" i="2"/>
  <c r="BO78" i="2"/>
  <c r="CH78" i="2"/>
  <c r="CI78" i="2"/>
  <c r="DC78" i="2"/>
  <c r="BN79" i="2"/>
  <c r="BO79" i="2"/>
  <c r="CH79" i="2"/>
  <c r="CI79" i="2"/>
  <c r="DC79" i="2"/>
  <c r="BN80" i="2"/>
  <c r="BO80" i="2"/>
  <c r="CH80" i="2"/>
  <c r="CI80" i="2"/>
  <c r="DC80" i="2"/>
  <c r="BN81" i="2"/>
  <c r="BO81" i="2"/>
  <c r="CH81" i="2"/>
  <c r="CI81" i="2"/>
  <c r="DC81" i="2"/>
  <c r="BN82" i="2"/>
  <c r="BO82" i="2"/>
  <c r="CH82" i="2"/>
  <c r="CI82" i="2"/>
  <c r="DC82" i="2"/>
  <c r="BN83" i="2"/>
  <c r="BO83" i="2"/>
  <c r="CH83" i="2"/>
  <c r="CI83" i="2"/>
  <c r="DC83" i="2"/>
  <c r="BN84" i="2"/>
  <c r="BO84" i="2"/>
  <c r="CH84" i="2"/>
  <c r="CI84" i="2"/>
  <c r="DC84" i="2"/>
  <c r="BN85" i="2"/>
  <c r="BO85" i="2"/>
  <c r="CH85" i="2"/>
  <c r="CI85" i="2"/>
  <c r="DC85" i="2"/>
  <c r="BN86" i="2"/>
  <c r="BO86" i="2"/>
  <c r="CH86" i="2"/>
  <c r="CI86" i="2"/>
  <c r="DC86" i="2"/>
  <c r="BN87" i="2"/>
  <c r="BO87" i="2"/>
  <c r="CH87" i="2"/>
  <c r="CI87" i="2"/>
  <c r="DC87" i="2"/>
  <c r="BN88" i="2"/>
  <c r="BO88" i="2"/>
  <c r="CH88" i="2"/>
  <c r="CI88" i="2"/>
  <c r="DC88" i="2"/>
  <c r="BN89" i="2"/>
  <c r="BO89" i="2"/>
  <c r="BS89" i="2"/>
  <c r="CG89" i="2" s="1"/>
  <c r="CH89" i="2"/>
  <c r="CI89" i="2"/>
  <c r="BN90" i="2"/>
  <c r="BO90" i="2"/>
  <c r="BS90" i="2"/>
  <c r="CG90" i="2" s="1"/>
  <c r="CH90" i="2"/>
  <c r="CI90" i="2"/>
  <c r="DC90" i="2"/>
  <c r="BN91" i="2"/>
  <c r="BO91" i="2"/>
  <c r="BS91" i="2"/>
  <c r="CG91" i="2" s="1"/>
  <c r="CH91" i="2"/>
  <c r="CI91" i="2"/>
  <c r="DC91" i="2"/>
  <c r="BN92" i="2"/>
  <c r="BO92" i="2"/>
  <c r="BS92" i="2"/>
  <c r="CG92" i="2" s="1"/>
  <c r="CH92" i="2"/>
  <c r="CI92" i="2"/>
  <c r="DC92" i="2"/>
  <c r="BN93" i="2"/>
  <c r="BO93" i="2"/>
  <c r="BS93" i="2"/>
  <c r="CG93" i="2" s="1"/>
  <c r="CH93" i="2"/>
  <c r="CI93" i="2"/>
  <c r="DC93" i="2"/>
  <c r="BN94" i="2"/>
  <c r="BO94" i="2"/>
  <c r="BS94" i="2"/>
  <c r="CG94" i="2" s="1"/>
  <c r="CH94" i="2"/>
  <c r="CI94" i="2"/>
  <c r="DC94" i="2"/>
  <c r="BN95" i="2"/>
  <c r="BO95" i="2"/>
  <c r="BS95" i="2"/>
  <c r="CG95" i="2" s="1"/>
  <c r="CH95" i="2"/>
  <c r="CI95" i="2"/>
  <c r="DC95" i="2"/>
  <c r="BN96" i="2"/>
  <c r="BO96" i="2"/>
  <c r="BS96" i="2"/>
  <c r="CG96" i="2" s="1"/>
  <c r="CH96" i="2"/>
  <c r="CI96" i="2"/>
  <c r="DC96" i="2"/>
  <c r="BN97" i="2"/>
  <c r="BO97" i="2"/>
  <c r="CI97" i="2"/>
  <c r="DC97" i="2"/>
  <c r="BN98" i="2"/>
  <c r="BO98" i="2"/>
  <c r="CI98" i="2"/>
  <c r="DC98" i="2"/>
  <c r="BN99" i="2"/>
  <c r="BO99" i="2"/>
  <c r="CI99" i="2"/>
  <c r="DC99" i="2"/>
  <c r="BN100" i="2"/>
  <c r="BO100" i="2"/>
  <c r="CI100" i="2"/>
  <c r="DC100" i="2"/>
  <c r="BN101" i="2"/>
  <c r="BO101" i="2"/>
  <c r="CI101" i="2"/>
  <c r="DC101" i="2"/>
  <c r="BN102" i="2"/>
  <c r="BO102" i="2"/>
  <c r="CI102" i="2"/>
  <c r="DC102" i="2"/>
  <c r="BN103" i="2"/>
  <c r="BO103" i="2"/>
  <c r="CI103" i="2"/>
  <c r="DC103" i="2"/>
  <c r="BN104" i="2"/>
  <c r="BO104" i="2"/>
  <c r="CI104" i="2"/>
  <c r="DC104" i="2"/>
  <c r="BN105" i="2"/>
  <c r="BO105" i="2"/>
  <c r="CI105" i="2"/>
  <c r="DC105" i="2"/>
  <c r="BN106" i="2"/>
  <c r="BO106" i="2"/>
  <c r="CI106" i="2"/>
  <c r="DC106" i="2"/>
  <c r="BN107" i="2"/>
  <c r="BO107" i="2"/>
  <c r="CI107" i="2"/>
  <c r="DC107" i="2"/>
  <c r="CJ89" i="2" l="1"/>
  <c r="DC89" i="2" s="1"/>
</calcChain>
</file>

<file path=xl/comments1.xml><?xml version="1.0" encoding="utf-8"?>
<comments xmlns="http://schemas.openxmlformats.org/spreadsheetml/2006/main">
  <authors>
    <author>Autor</author>
  </authors>
  <commentList>
    <comment ref="AL2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QUITADO ESTA COLUMNA, QUE NO PONÍA NADA (PONÍA Repetida) Y HE METIDO EL TIEMPO DE ENFRIAMIENTO ENTRE IMPULSOS, Tf2</t>
        </r>
      </text>
    </comment>
    <comment ref="CJ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0: entra dentro del requerimiento
1: está fuera del requerimiento, el diámetro del nugget es demasiado pequeño</t>
        </r>
      </text>
    </comment>
    <comment ref="CT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acepta una indentación de hasta un 15% del espesor de la chapa o 0.13 mm, el valor que sea mayor</t>
        </r>
      </text>
    </comment>
    <comment ref="DI58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chapas no han llegado a fusionarse</t>
        </r>
      </text>
    </comment>
    <comment ref="DI62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Todas las chapas estaban unidas</t>
        </r>
      </text>
    </comment>
    <comment ref="DI6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0.55 mm</t>
        </r>
      </text>
    </comment>
    <comment ref="DI64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0.55 mm</t>
        </r>
      </text>
    </comment>
    <comment ref="DI65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1 mm</t>
        </r>
      </text>
    </comment>
  </commentList>
</comments>
</file>

<file path=xl/sharedStrings.xml><?xml version="1.0" encoding="utf-8"?>
<sst xmlns="http://schemas.openxmlformats.org/spreadsheetml/2006/main" count="3294" uniqueCount="887">
  <si>
    <t>D</t>
  </si>
  <si>
    <t>CP Ti Gr3</t>
  </si>
  <si>
    <t>CC</t>
  </si>
  <si>
    <t>122;266;415;542;652;741;792;817;817;809;796;771;754;737;720;703;690;682;665;652;643;631;626;618;605;597;593;584;576;563;559;550;554;550;550;</t>
  </si>
  <si>
    <t>227;376;484;584;685;755;793;818;814;809;800;798;793;782;782;778;782;780;769;775;775;775;773;771;778;773;778;780;773;775;773;775;764;782;782;</t>
  </si>
  <si>
    <t>Prog =  35</t>
  </si>
  <si>
    <t>R1_ITP</t>
  </si>
  <si>
    <t>144;300;449;580;694;779;830;851;847;834;821;796;766;741;724;711;698;682;673;665;652;639;626;618;614;614;597;584;584;584;576;563;567;563;563;</t>
  </si>
  <si>
    <t>207;338;462;588;685;760;798;816;816;811;807;796;793;787;782;787;778;780;782;778;780;771;778;775;773;778;771;773;775;775;780;769;780;748;748;</t>
  </si>
  <si>
    <t>84;173;254;321;389;449;478;495;495;491;474;453;436;419;402;385;377;364;355;347;343;338;326;317;317;317;309;300;296;292;292;288;288;279;275;288;288;</t>
  </si>
  <si>
    <t>96;182;268;356;419;460;475;475;487;505;507;493;493;489;480;480;478;480;478;480;484;478;475;478;475;471;466;473;478;478;480;475;473;473;473;473;473;</t>
  </si>
  <si>
    <t>Prog =  16</t>
  </si>
  <si>
    <t>Pegado</t>
  </si>
  <si>
    <t>63;118;177;237;296;338;368;393;415;419;415;415;419;423;427;427;419;419;423;419;419;427;432;432;432;</t>
  </si>
  <si>
    <t>27;56;112;189;232;270;313;324;318;308;306;306;304;299;308;311;304;304;306;308;306;306;306;308;308;</t>
  </si>
  <si>
    <t>Prog =  60</t>
  </si>
  <si>
    <t>Sin defecto</t>
  </si>
  <si>
    <t>84;173;249;317;385;432;470;487;499;499;499;495;487;482;474;470;461;461;457;457;</t>
  </si>
  <si>
    <t>54;110;189;257;338;417;424;421;419;414;419;417;414;417;412;414;414;419;417;417;</t>
  </si>
  <si>
    <t>72;135;207;279;338;389;423;440;440;444;440;432;419;419;415;415;415;406;398;389;398;393;389;389;385;377;372;377;372;360;360;364;368;364;355;364;364;</t>
  </si>
  <si>
    <t>15;36;90;169;241;295;322;327;322;320;322;315;315;315;308;308;306;311;311;306;308;311;313;308;306;313;306;308;311;308;313;311;306;306;304;302;302;</t>
  </si>
  <si>
    <t>76;169;254;330;402;457;487;499;495;491;470;449;427;410;389;372;364;355;347;334;330;330;326;321;313;309;305;305;296;283;283;288;288;283;279;283;283;</t>
  </si>
  <si>
    <t>99;184;268;349;414;462;484;489;496;509;507;496;493;489;484;480;478;478;473;478;480;471;480;482;478;475;473;475;471;469;475;471;471;471;473;469;469;</t>
  </si>
  <si>
    <t>118;241;355;453;546;618;669;698;715;707;690;673;648;618;601;588;571;554;542;533;521;508;495;491;487;474;461;461;461;461;</t>
  </si>
  <si>
    <t>166;297;410;516;590;631;647;687;710;703;705;699;696;687;678;678;676;676;678;676;676;674;681;676;672;676;672;683;663;663;</t>
  </si>
  <si>
    <t>Prog =  11</t>
  </si>
  <si>
    <t>144;309;461;597;703;771;796;792;771;737;707;673;694;639;639;</t>
  </si>
  <si>
    <t>285;478;589;727;865;948;976;1003;1003;985;967;948;967;939;939;</t>
  </si>
  <si>
    <t>Prog =   2</t>
  </si>
  <si>
    <t>97;199;292;381;465;533;584;614;635;643;639;626;601;588;576;554;542;525;512;499;491;482;474;465;457;449;444;449;440;440;</t>
  </si>
  <si>
    <t>212;367;471;554;608;627;629;663;687;696;696;694;692;678;683;683;681;683;674;678;674;672;678;676;674;669;674;672;676;676;</t>
  </si>
  <si>
    <t>131;279;427;563;677;754;796;813;804;792;766;724;728;703;703;</t>
  </si>
  <si>
    <t>322;515;635;755;865;902;957;976;976;976;967;976;930;976;976;</t>
  </si>
  <si>
    <t>1,6(TT)+1+1(TT)+0,55(TT)/titanio</t>
  </si>
  <si>
    <t/>
  </si>
  <si>
    <t>122;245;360;470;593;707;783;838;868;881;876;868;851;830;813;800;787;771;758;754;745;741;732;724;720;720;715;703;698;694;682;682;682;677;669;660;660;656;652;643;639;639;635;631;626;622;618;614;614;614;</t>
  </si>
  <si>
    <t>18;45;99;173;257;333;383;408;426;439;448;442;435;428;426;428;424;421;414;412;419;417;414;414;414;419;414;412;414;414;419;417;412;412;410;419;419;412;410;412;417;417;414;414;414;414;412;419;408;408;</t>
  </si>
  <si>
    <t>118;241;351;474;593;690;762;813;843;855;855;847;834;821;800;783;775;766;758;754;749;741;737;737;728;720;715;715;707;698;694;690;686;686;677;677;677;</t>
  </si>
  <si>
    <t>22;47;103;184;266;336;383;401;414;437;442;437;435;430;421;414;412;417;419;412;412;412;414;414;412;417;412;414;414;412;414;412;417;414;408;408;408;</t>
  </si>
  <si>
    <t>148;321;474;618;749;847;915;953;965;961;948;936;948;915;915;</t>
  </si>
  <si>
    <t>92;139;207;365;511;579;633;654;658;651;638;640;620;654;654;</t>
  </si>
  <si>
    <t>177;385;563;715;864;987;1076;1126;1148;1139;1126;1101;1122;1080;1080;</t>
  </si>
  <si>
    <t>142;227;324;487;649;730;780;800;796;811;814;805;809;798;798;</t>
  </si>
  <si>
    <t>97;186;275;368;470;571;656;715;758;775;783;792;787;779;766;758;745;737;732;724;715;707;707;703;703;</t>
  </si>
  <si>
    <t>0;9;42;101;139;191;261;295;308;315;320;320;324;322;315;315;318;320;315;313;313;313;320;315;315;</t>
  </si>
  <si>
    <t>131;271;406;533;656;762;834;885;910;910;910;893;881;859;843;838;826;813;804;792;779;766;775;762;762;</t>
  </si>
  <si>
    <t>54;96;173;288;360;426;507;532;541;545;541;534;530;530;534;525;521;521;523;523;518;523;511;527;527;</t>
  </si>
  <si>
    <t>156;321;487;639;766;868;936;982;1008;1004;991;970;948;923;902;876;855;838;826;813;800;783;792;771;771;</t>
  </si>
  <si>
    <t>81;144;245;372;448;530;633;658;665;665;647;649;649;638;636;629;633;633;631;629;617;620;604;633;633;</t>
  </si>
  <si>
    <t>186;393;576;732;876;995;1076;1126;1156;1156;1139;1114;1084;1063;1042;1016;982;961;940;919;893;872;876;855;855;</t>
  </si>
  <si>
    <t>126;223;360;509;586;681;782;811;816;814;807;802;811;802;798;793;787;800;793;787;787;784;798;773;773;</t>
  </si>
  <si>
    <t>1,2+1,2 / titanio /Sin pulir / NO tratadas</t>
  </si>
  <si>
    <t>173;355;521;652;758;826;847;834;796;754;715;669;686;631;631;</t>
  </si>
  <si>
    <t>263;413;518;721;897;967;1011;1020;1002;993;967;976;932;1002;1002;</t>
  </si>
  <si>
    <t>156;330;478;610;715;762;762;754;720;673;631;593;605;580;580;</t>
  </si>
  <si>
    <t>272;448;545;738;914;984;1028;1037;1020;976;949;940;949;949;949;</t>
  </si>
  <si>
    <t>152;338;504;622;720;779;796;779;737;690;643;614;618;601;601;</t>
  </si>
  <si>
    <t>263;448;562;721;897;984;1020;1020;1011;993;958;940;932;932;932;</t>
  </si>
  <si>
    <t>169;351;516;652;775;834;843;834;792;737;686;643;639;618;618;</t>
  </si>
  <si>
    <t>237;404;536;721;879;958;1028;1046;1020;993;967;958;914;976;976;</t>
  </si>
  <si>
    <t>160;343;512;643;741;800;817;826;809;809;</t>
  </si>
  <si>
    <t>228;369;562;782;879;958;1028;993;1081;1081;</t>
  </si>
  <si>
    <t>156;338;508;648;749;804;826;804;766;724;682;631;597;571;550;529;516;525;512;512;</t>
  </si>
  <si>
    <t>263;448;598;694;835;976;1028;1028;1028;1011;958;949;949;940;932;914;914;914;923;923;</t>
  </si>
  <si>
    <t>156;338;512;648;737;796;821;809;775;724;669;631;593;571;550;529;525;516;504;482;478;478;482;465;465;</t>
  </si>
  <si>
    <t>246;430;606;738;809;923;1046;1055;1020;993;967;949;940;932;914;923;940;940;914;923;923;905;897;897;897;</t>
  </si>
  <si>
    <t>169;360;525;665;783;838;851;834;792;745;694;652;656;626;626;</t>
  </si>
  <si>
    <t>255;404;510;712;888;976;1020;1037;1028;993;976;958;984;958;958;</t>
  </si>
  <si>
    <t>114;237;347;449;538;618;665;690;703;690;673;652;656;635;635;</t>
  </si>
  <si>
    <t>86;142;206;333;445;491;516;540;549;551;549;542;553;529;529;</t>
  </si>
  <si>
    <t>135;296;436;554;656;732;766;771;754;715;677;643;656;626;626;</t>
  </si>
  <si>
    <t>178;299;389;523;656;732;771;796;794;786;773;751;768;727;727;</t>
  </si>
  <si>
    <t>186;406;601;737;838;885;881;847;800;741;686;643;652;622;622;</t>
  </si>
  <si>
    <t>342;562;685;932;1152;1231;1266;1257;1239;1204;1169;1169;1169;1169;1169;</t>
  </si>
  <si>
    <t>169;360;533;677;792;851;864;843;804;762;707;660;669;648;648;</t>
  </si>
  <si>
    <t>246;404;536;712;879;984;1028;1020;1020;1002;984;967;984;949;949;</t>
  </si>
  <si>
    <t>1+1+0,55 mm / titanio / Sin pulir / NO tratadas</t>
  </si>
  <si>
    <t>148;313;461;601;737;838;898;931;940;927;889;843;804;766;732;703;677;652;639;622;610;597;597;584;584;</t>
  </si>
  <si>
    <t>94;172;271;387;456;531;633;674;689;691;674;669;667;656;650;633;631;631;626;631;615;615;598;631;631;</t>
  </si>
  <si>
    <t>139;292;415;529;631;707;766;792;796;787;758;728;694;673;656;631;610;597;580;567;563;554;559;546;546;</t>
  </si>
  <si>
    <t>111;200;312;435;497;559;635;671;676;667;656;646;650;643;635;622;618;633;631;624;618;618;622;615;615;</t>
  </si>
  <si>
    <t>135;288;419;542;656;745;804;830;834;826;800;762;732;707;682;660;639;618;605;597;584;571;576;563;563;</t>
  </si>
  <si>
    <t>122;208;307;430;503;566;631;654;674;676;663;656;648;643;639;633;626;620;628;631;626;622;622;624;624;</t>
  </si>
  <si>
    <t>148;313;457;584;707;809;876;910;923;906;876;843;813;775;732;707;677;652;639;618;601;593;593;588;588;</t>
  </si>
  <si>
    <t>99;180;290;407;471;536;622;656;674;680;671;674;665;652;646;635;635;633;633;624;615;628;613;637;637;</t>
  </si>
  <si>
    <t>139;292;427;559;682;779;843;868;868;851;821;787;800;766;766;</t>
  </si>
  <si>
    <t>114;185;260;389;514;585;633;663;669;674;671;656;676;639;639;</t>
  </si>
  <si>
    <t>135;288;432;559;690;787;838;864;876;868;838;804;771;732;703;682;665;639;618;610;593;580;571;567;559;550;546;538;525;525;516;508;495;504;504;</t>
  </si>
  <si>
    <t>118;204;297;404;501;572;613;628;665;682;676;667;654;648;639;633;631;626;631;628;624;622;620;624;620;620;624;618;620;618;620;618;628;620;620;</t>
  </si>
  <si>
    <t>148;305;453;588;711;809;872;902;910;902;876;838;800;762;732;711;686;665;639;626;618;601;593;576;567;559;550;554;554;554;</t>
  </si>
  <si>
    <t>103;180;275;398;495;562;607;643;676;678;674;671;652;650;646;637;633;626;631;631;628;628;624;624;618;622;628;628;633;633;</t>
  </si>
  <si>
    <t>63;114;160;216;292;360;423;474;499;521;533;538;538;542;533;529;525;521;525;521;521;521;533;516;516;</t>
  </si>
  <si>
    <t>2;0;12;45;75;114;163;187;200;206;208;208;215;208;204;208;206;208;206;206;208;204;211;200;200;</t>
  </si>
  <si>
    <t>84;169;245;330;423;504;563;610;643;665;677;673;660;652;643;631;622;610;597;593;580;576;580;576;576;</t>
  </si>
  <si>
    <t>6;17;60;131;176;228;284;303;312;314;325;329;314;318;316;318;325;318;318;316;316;316;318;316;316;</t>
  </si>
  <si>
    <t>118;254;368;478;593;682;749;804;826;817;804;779;749;724;698;677;656;639;626;614;601;588;588;580;580;</t>
  </si>
  <si>
    <t>75;135;215;318;381;432;503;536;549;555;553;557;547;538;536;529;531;525;523;523;519;525;512;531;531;</t>
  </si>
  <si>
    <t>139;296;436;571;694;800;885;923;931;927;906;868;826;796;762;732;707;682;652;635;626;614;626;601;601;</t>
  </si>
  <si>
    <t>107;191;288;391;445;521;609;650;671;684;678;659;661;659;654;648;633;633;633;639;635;622;628;609;609;</t>
  </si>
  <si>
    <t>1+1+0,55 mm / titanio / SIN pulir / NO tratadas</t>
  </si>
  <si>
    <t>76;135;182;241;309;368;415;449;465;474;478;478;478;487;487;495;499;499;504;504;508;508;512;512;512;</t>
  </si>
  <si>
    <t>27;56;110;176;215;258;305;314;312;317;312;303;301;303;305;303;299;299;303;301;301;308;299;312;312;</t>
  </si>
  <si>
    <t>55;127;186;249;321;381;427;461;482;491;499;504;504;508;512;512;516;516;516;521;521;521;521;542;542;</t>
  </si>
  <si>
    <t>20;52;108;174;210;253;299;310;312;312;305;301;305;303;301;301;305;305;303;308;305;303;303;305;305;</t>
  </si>
  <si>
    <t>55;114;160;216;279;343;389;427;449;461;474;478;487;491;495;499;508;512;512;512;516;516;521;521;521;</t>
  </si>
  <si>
    <t>38;79;120;176;219;260;294;303;303;301;301;303;303;301;296;305;308;301;303;308;308;308;310;308;308;</t>
  </si>
  <si>
    <t>67;131;194;271;347;410;457;491;504;516;525;525;529;533;533;533;538;546;550;546;542;542;538;542;542;</t>
  </si>
  <si>
    <t>20;47;92;158;203;251;301;317;323;317;310;308;303;301;303;305;303;303;308;310;305;303;299;312;312;</t>
  </si>
  <si>
    <t>59;118;160;203;262;321;368;406;436;444;449;453;449;444;440;436;427;423;423;423;423;423;440;419;419;</t>
  </si>
  <si>
    <t>2;6;22;63;97;133;176;197;208;215;212;212;212;212;212;208;210;206;203;208;203;199;199;203;203;</t>
  </si>
  <si>
    <t>46;88;135;190;249;305;347;381;402;410;410;410;406;398;398;393;398;398;393;393;393;393;398;398;398;</t>
  </si>
  <si>
    <t>2;6;24;65;97;138;185;201;208;217;219;212;206;206;203;201;203;208;206;203;206;203;208;197;197;</t>
  </si>
  <si>
    <t>55;105;156;211;279;351;406;444;470;478;482;482;474;465;461;449;444;436;432;427;432;432;449;419;419;</t>
  </si>
  <si>
    <t>0;0;20;56;81;122;169;194;210;217;219;217;212;219;219;210;206;206;208;206;208;208;208;212;212;</t>
  </si>
  <si>
    <t>38;93;135;182;245;305;351;389;419;436;436;436;432;427;423;419;419;419;415;410;410;415;415;410;410;</t>
  </si>
  <si>
    <t>0;2;27;70;92;133;181;197;208;215;210;212;210;208;208;206;208;208;206;203;206;206;210;199;199;</t>
  </si>
  <si>
    <t>1,2+1,2 mm / titanio / SIN pulir / tratadas</t>
  </si>
  <si>
    <t>144;355;567;741;876;948;965;944;902;847;792;749;754;724;724;</t>
  </si>
  <si>
    <t>397;591;693;924;1119;1202;1230;1230;1239;1220;1193;1156;1165;1109;1109;</t>
  </si>
  <si>
    <t>190;415;622;787;915;982;1008;991;948;885;830;792;809;762;762;</t>
  </si>
  <si>
    <t>332;545;693;897;1091;1193;1248;1248;1211;1211;1202;1193;1211;1174;1174;</t>
  </si>
  <si>
    <t>152;368;580;724;830;893;906;885;843;787;728;686;694;652;652;</t>
  </si>
  <si>
    <t>369;582;721;961;1137;1183;1239;1248;1239;1211;1174;1165;1156;1183;1183;</t>
  </si>
  <si>
    <t>139;347;554;720;843;902;915;910;859;792;749;698;715;669;669;</t>
  </si>
  <si>
    <t>397;610;712;934;1119;1202;1239;1230;1230;1211;1193;1165;1202;1165;1165;</t>
  </si>
  <si>
    <t>Sin defectos</t>
  </si>
  <si>
    <t>97;216;338;449;550;639;703;745;771;779;779;766;741;720;698;677;660;639;626;610;597;593;584;567;546;533;538;529;521;512;508;504;495;487;482;474;470;465;461;461;453;444;449;440;440;</t>
  </si>
  <si>
    <t>167;287;382;468;523;568;593;611;629;638;647;643;643;638;631;638;636;634;627;622;629;625;627;625;618;622;618;620;618;616;622;620;620;618;613;620;616;620;622;618;620;616;627;607;607;</t>
  </si>
  <si>
    <t>88;207;330;432;538;626;703;758;783;800;792;775;762;741;724;698;673;648;635;622;601;593;580;567;563;554;538;529;521;516;508;499;495;487;478;474;470;465;461;453;444;440;440;440;440;</t>
  </si>
  <si>
    <t>176;299;391;471;516;554;584;602;627;650;652;641;638;647;645;641;636;631;634;627;627;631;622;622;620;625;627;618;622;620;618;620;618;622;620;620;620;613;620;620;616;613;604;627;627;</t>
  </si>
  <si>
    <t>97;207;330;444;550;648;720;766;792;796;783;771;749;720;694;669;652;635;622;610;588;576;571;559;546;542;529;525;521;512;504;495;499;491;491;</t>
  </si>
  <si>
    <t>176;296;382;459;516;559;595;622;629;645;647;647;650;643;643;641;634;631;620;625;627;622;625;618;622;622;618;625;620;622;622;620;622;620;620;</t>
  </si>
  <si>
    <t>88;199;313;423;529;635;715;766;796;800;796;783;766;741;715;694;669;648;631;614;597;588;580;571;563;550;533;525;525;512;508;495;508;487;487;</t>
  </si>
  <si>
    <t>188;317;396;462;516;548;575;607;631;645;645;652;654;647;645;634;634;634;631;631;620;620;620;620;629;622;620;622;620;627;622;622;613;620;620;</t>
  </si>
  <si>
    <t>Partial Interfacial Fracture With Button Pull</t>
  </si>
  <si>
    <t>93;207;330;449;559;656;720;758;775;775;775;749;766;737;737;</t>
  </si>
  <si>
    <t>176;276;339;448;541;573;604;625;634;647;647;650;638;652;652;</t>
  </si>
  <si>
    <t>88;194;309;427;542;635;715;762;783;800;792;771;775;766;766;</t>
  </si>
  <si>
    <t>181;296;369;453;523;559;586;611;625;641;645;641;652;636;636;</t>
  </si>
  <si>
    <t>131;300;482;643;758;838;893;906;893;868;826;775;737;698;673;652;622;601;593;588;567;550;554;538;538;</t>
  </si>
  <si>
    <t>323;508;638;749;795;878;961;989;1017;1008;971;943;961;952;943;943;915;915;915;924;952;934;952;915;915;</t>
  </si>
  <si>
    <t>131;288;461;618;754;855;902;919;898;864;826;783;745;707;682;660;635;614;597;580;567;559;563;559;559;</t>
  </si>
  <si>
    <t>323;527;619;730;804;878;971;989;989;989;980;971;952;952;943;934;943;924;924;924;924;934;915;952;952;</t>
  </si>
  <si>
    <t>101;232;381;521;643;741;813;847;855;843;817;783;754;724;694;669;648;631;618;605;593;576;584;554;554;</t>
  </si>
  <si>
    <t>262;421;520;598;631;690;772;813;822;826;824;810;808;795;790;786;779;781;779;786;781;772;779;763;763;</t>
  </si>
  <si>
    <t>101;228;368;508;648;749;817;859;872;864;838;809;775;741;711;682;660;643;631;614;601;584;588;576;576;</t>
  </si>
  <si>
    <t>276;434;516;591;631;695;763;792;819;826;829;824;810;806;792;786;783;779;786;779;776;781;783;795;795;</t>
  </si>
  <si>
    <t>88;203;317;427;529;618;690;737;762;771;758;741;728;711;694;673;648;631;618;610;601;588;588;580;580;</t>
  </si>
  <si>
    <t>185;308;389;471;514;543;591;616;631;641;636;643;643;638;638;631;631;629;627;627;618;622;602;638;638;</t>
  </si>
  <si>
    <t>84;182;296;402;508;601;669;724;762;775;775;775;766;754;732;707;690;677;665;643;626;618;618;614;614;</t>
  </si>
  <si>
    <t>197;326;412;477;507;543;573;598;616;622;636;638;643;641;636;638;629;631;629;625;629;625;636;616;616;</t>
  </si>
  <si>
    <t>84;173;266;364;453;529;588;639;673;694;703;703;694;690;677;665;652;639;631;622;614;601;610;597;597;</t>
  </si>
  <si>
    <t>86;154;228;321;373;400;432;443;453;462;468;477;475;475;475;471;473;466;471;466;464;473;466;482;482;</t>
  </si>
  <si>
    <t>76;152;241;338;427;504;576;635;665;690;707;711;707;694;686;682;669;656;648;635;622;610;618;601;601;</t>
  </si>
  <si>
    <t>97;172;249;321;351;385;430;441;443;459;468;471;473;473;477;473;471;475;468;471;473;473;466;475;475;</t>
  </si>
  <si>
    <t>67;131;199;271;347;415;478;525;559;580;597;610;614;622;631;631;622;618;614;610;605;605;605;597;597;</t>
  </si>
  <si>
    <t>49;101;160;228;267;299;332;339;339;346;348;351;357;362;364;362;366;366;362;364;364;366;357;366;366;</t>
  </si>
  <si>
    <t>59;135;211;288;364;432;491;542;576;605;626;635;639;639;643;643;635;622;614;601;601;593;605;584;584;</t>
  </si>
  <si>
    <t>45;90;151;226;267;299;328;339;348;353;355;357;355;357;366;371;366;362;366;364;362;366;369;369;369;</t>
  </si>
  <si>
    <t>101;232;377;491;588;665;698;707;707;694;669;643;656;626;626;</t>
  </si>
  <si>
    <t>332;545;665;776;878;924;943;961;961;971;971;943;952;924;924;</t>
  </si>
  <si>
    <t>97;216;347;461;567;648;690;711;703;682;669;652;660;631;631;</t>
  </si>
  <si>
    <t>360;573;656;786;887;915;952;943;943;952;952;952;934;961;961;</t>
  </si>
  <si>
    <t>Full Interfacial Fracture</t>
  </si>
  <si>
    <t>114;254;398;529;626;690;737;745;728;707;677;635;669;618;618;</t>
  </si>
  <si>
    <t>314;527;647;767;869;924;971;989;971;971;971;952;971;915;915;</t>
  </si>
  <si>
    <t>97;232;389;508;610;682;715;724;715;694;660;631;631;614;614;</t>
  </si>
  <si>
    <t>332;545;647;758;860;906;961;980;971;971;943;943;915;971;971;</t>
  </si>
  <si>
    <t>80;156;224;292;372;440;491;529;550;567;580;584;588;593;593;</t>
  </si>
  <si>
    <t>31;56;95;199;292;330;348;348;351;351;348;353;351;366;366;</t>
  </si>
  <si>
    <t>67;148;203;254;326;389;436;478;508;525;546;559;567;554;554;</t>
  </si>
  <si>
    <t>40;81;124;215;299;332;346;339;342;346;342;344;342;351;351;</t>
  </si>
  <si>
    <t>88;182;266;351;436;512;567;605;631;639;648;656;656;652;652;</t>
  </si>
  <si>
    <t>47;86;140;246;342;376;391;398;403;416;423;423;423;425;425;</t>
  </si>
  <si>
    <t>76;156;237;317;393;465;525;563;593;614;635;648;643;652;652;</t>
  </si>
  <si>
    <t>63;106;158;260;346;371;380;391;396;398;405;407;419;400;400;</t>
  </si>
  <si>
    <t>88;169;249;326;402;478;533;571;601;622;631;639;648;648;648;</t>
  </si>
  <si>
    <t>56;106;160;255;342;371;387;394;398;407;407;412;403;419;419;</t>
  </si>
  <si>
    <t>84;173;258;347;432;516;580;622;652;660;665;665;669;665;665;</t>
  </si>
  <si>
    <t>81;138;190;299;389;421;439;448;457;464;468;480;468;491;491;</t>
  </si>
  <si>
    <t>80;173;266;360;453;542;614;665;694;703;707;698;703;698;698;</t>
  </si>
  <si>
    <t>124;203;262;357;430;457;480;491;505;518;536;541;552;541;541;</t>
  </si>
  <si>
    <t>76;165;258;351;449;538;605;652;682;698;703;690;698;686;686;</t>
  </si>
  <si>
    <t>126;210;269;355;428;457;477;491;507;527;534;541;527;548;548;</t>
  </si>
  <si>
    <t>156;334;512;656;775;851;872;859;817;779;741;694;656;618;597;584;567;546;533;533;521;512;504;491;482;470;461;461;457;449;444;432;436;432;432;</t>
  </si>
  <si>
    <t>277;471;610;749;860;943;998;1017;1017;998;989;971;934;924;934;924;924;924;924;924;943;943;924;934;915;906;934;934;924;897;906;934;961;943;943;</t>
  </si>
  <si>
    <t>144;330;516;665;779;843;872;859;830;779;728;686;652;618;588;576;563;546;538;529;512;495;487;482;474;465;457;453;444;427;419;427;415;440;440;</t>
  </si>
  <si>
    <t>268;462;610;739;850;934;998;1045;1017;998;971;934;943;952;934;915;915;934;934;943;943;924;915;915;924;934;934;934;915;915;915;924;934;915;915;</t>
  </si>
  <si>
    <t>160;343;508;643;754;809;830;826;800;758;715;686;652;610;584;567;554;542;529;521;508;499;495;491;478;465;449;461;453;453;</t>
  </si>
  <si>
    <t>286;462;610;776;878;943;989;1008;998;980;980;971;943;934;924;934;934;934;934;915;915;924;934;943;934;934;924;934;915;915;</t>
  </si>
  <si>
    <t>152;326;499;639;749;813;843;838;804;762;711;673;639;610;588;563;550;529;516;512;504;495;478;470;470;457;449;444;449;449;</t>
  </si>
  <si>
    <t>286;480;619;749;860;934;989;1017;1017;971;961;961;943;952;934;934;934;924;924;924;934;915;915;915;915;924;934;943;952;952;</t>
  </si>
  <si>
    <t>148;338;508;648;758;817;843;838;809;766;715;669;635;614;584;567;554;538;533;529;516;499;491;491;491;</t>
  </si>
  <si>
    <t>286;480;628;749;823;934;1008;1026;1017;998;971;943;943;943;924;934;924;924;924;924;924;915;924;934;934;</t>
  </si>
  <si>
    <t>148;317;478;626;737;804;830;826;796;749;707;669;635;605;584;576;559;546;529;521;512;504;504;499;499;</t>
  </si>
  <si>
    <t>286;490;628;758;841;906;1008;1026;998;989;961;952;943;943;934;924;924;924;934;915;906;934;915;961;961;</t>
  </si>
  <si>
    <t>169;347;512;643;754;821;834;826;813;762;720;686;648;614;584;563;554;563;542;542;</t>
  </si>
  <si>
    <t>277;471;610;702;832;961;1017;1017;998;989;980;971;943;924;924;934;924;924;943;943;</t>
  </si>
  <si>
    <t>152;338;521;660;762;830;855;851;817;766;711;669;639;614;588;563;542;546;529;529;</t>
  </si>
  <si>
    <t>258;443;601;712;841;971;1008;1017;1008;998;980;961;952;934;924;924;924;906;943;943;</t>
  </si>
  <si>
    <t>144;305;461;597;711;783;813;800;775;749;715;669;686;643;643;</t>
  </si>
  <si>
    <t>231;378;477;613;763;844;881;903;899;890;874;851;867;829;829;</t>
  </si>
  <si>
    <t>131;296;461;593;711;783;813;809;779;749;711;669;694;639;639;</t>
  </si>
  <si>
    <t>246;373;448;609;761;842;894;901;906;894;876;858;865;853;853;</t>
  </si>
  <si>
    <t>131;279;419;538;643;715;754;758;741;720;694;660;669;631;631;</t>
  </si>
  <si>
    <t>192;303;376;523;659;727;761;772;781;772;767;752;767;738;738;</t>
  </si>
  <si>
    <t>127;271;406;525;631;711;754;762;749;724;690;660;673;639;639;</t>
  </si>
  <si>
    <t>197;308;378;518;654;718;761;774;786;776;756;747;742;754;754;</t>
  </si>
  <si>
    <t>110;232;351;457;563;643;690;715;720;707;694;673;682;656;656;</t>
  </si>
  <si>
    <t>154;249;312;430;536;593;625;643;656;654;654;647;661;641;641;</t>
  </si>
  <si>
    <t>110;228;343;461;571;656;711;737;745;732;711;686;690;669;669;</t>
  </si>
  <si>
    <t>158;253;321;425;523;582;616;645;659;663;665;645;668;622;622;</t>
  </si>
  <si>
    <t>101;211;313;406;508;597;656;694;711;720;715;690;694;669;669;</t>
  </si>
  <si>
    <t>92;154;212;332;430;466;489;507;539;550;550;550;550;548;548;</t>
  </si>
  <si>
    <t>80;169;262;360;470;567;635;686;715;724;715;703;711;690;690;</t>
  </si>
  <si>
    <t>117;197;253;342;412;448;473;489;518;536;550;552;557;557;557;</t>
  </si>
  <si>
    <t>110;262;440;593;715;792;826;817;779;758;724;682;694;652;652;</t>
  </si>
  <si>
    <t>328;528;610;738;866;939;975;1003;1012;1003;966;939;948;911;911;</t>
  </si>
  <si>
    <t>1.2+1.2 mm / titanio / SIN pulir /NO tratadas</t>
  </si>
  <si>
    <t>135;313;487;631;758;847;885;881;847;804;766;724;724;703;703;</t>
  </si>
  <si>
    <t>310;483;565;702;848;957;1003;1012;1003;1003;993;948;984;930;930;</t>
  </si>
  <si>
    <t>127;283;449;593;711;783;804;804;787;754;728;694;711;665;665;</t>
  </si>
  <si>
    <t>310;492;592;738;875;948;984;984;975;975;966;966;957;966;966;</t>
  </si>
  <si>
    <t>1.2+1.2 mm / titanio / SIN pulir / tratadas</t>
  </si>
  <si>
    <t>127;300;482;618;737;821;855;864;830;783;741;698;698;665;665;</t>
  </si>
  <si>
    <t>300;465;556;720;857;920;984;1012;1021;1003;966;975;948;993;993;</t>
  </si>
  <si>
    <t>105;237;406;563;686;762;787;792;783;745;703;669;682;648;648;</t>
  </si>
  <si>
    <t>346;537;610;747;866;920;984;1003;993;975;948;957;957;966;966;</t>
  </si>
  <si>
    <t>1.2+1.2 mm / titanio / pulidas / tratadas</t>
  </si>
  <si>
    <t>127;266;419;571;703;796;843;855;851;830;792;737;775;720;720;</t>
  </si>
  <si>
    <t>337;519;592;711;829;884;939;993;1012;993;993;975;1012;948;948;</t>
  </si>
  <si>
    <t>Grieta material base</t>
  </si>
  <si>
    <t>Grieta nugget</t>
  </si>
  <si>
    <t>Grieta central nugget</t>
  </si>
  <si>
    <t>Lados nugget concavos</t>
  </si>
  <si>
    <t>Nugget desplazado</t>
  </si>
  <si>
    <t>Penetracion desigual</t>
  </si>
  <si>
    <t>Cavidad</t>
  </si>
  <si>
    <t>Pegado (fusion incompleta)</t>
  </si>
  <si>
    <t>Indentacion excesiva</t>
  </si>
  <si>
    <t>Expulsion exterior</t>
  </si>
  <si>
    <t>Expulsion interior</t>
  </si>
  <si>
    <t>ANCHO MINIMO RQSC08T-4001</t>
  </si>
  <si>
    <t>DIAM AND WIDT NUGGET</t>
  </si>
  <si>
    <t>OTHERS (CRACKS; CAVITIES; ETC)</t>
  </si>
  <si>
    <t>INDENT_5</t>
  </si>
  <si>
    <t>INDENT_1</t>
  </si>
  <si>
    <t>MAX PENETRATION THCK_5 / TOTAL</t>
  </si>
  <si>
    <t>MAX PENETRATION THCK_1</t>
  </si>
  <si>
    <t>MIN PENETRATION_5</t>
  </si>
  <si>
    <t>MIN PENETRATION_1</t>
  </si>
  <si>
    <t>MIN NUGGET WIDT</t>
  </si>
  <si>
    <t>AVG</t>
  </si>
  <si>
    <t>NUGGET D2</t>
  </si>
  <si>
    <t>NUGGET D1</t>
  </si>
  <si>
    <t>CARACTERIZACION POR CLASE (0:Sin defecto/ 1: Expulsion /2:Pegado y Diam. Peq.)</t>
  </si>
  <si>
    <t>TOTAL</t>
  </si>
  <si>
    <t>Modos de fractura desbotonado</t>
  </si>
  <si>
    <t>METALLOGRAPHIC TEST</t>
  </si>
  <si>
    <t>CHISEL TEST</t>
  </si>
  <si>
    <t>WELDING FORCE (daN)</t>
  </si>
  <si>
    <t>WELDING INTENSITY (kA)</t>
  </si>
  <si>
    <t>WELDING PROG.</t>
  </si>
  <si>
    <t>ALLOY</t>
  </si>
  <si>
    <t>UCAP DIAM</t>
  </si>
  <si>
    <t>MCAP DIAM</t>
  </si>
  <si>
    <t>THCK_5</t>
  </si>
  <si>
    <t>THCK_4</t>
  </si>
  <si>
    <t>THCK_3</t>
  </si>
  <si>
    <t>THCK_2</t>
  </si>
  <si>
    <t>THCK_1</t>
  </si>
  <si>
    <t>OF</t>
  </si>
  <si>
    <t>DESCRIPTION</t>
  </si>
  <si>
    <t>PROBETA</t>
  </si>
  <si>
    <t>TpcEnPatr</t>
  </si>
  <si>
    <t>Code</t>
  </si>
  <si>
    <t>CodPza</t>
  </si>
  <si>
    <t>CodeErr</t>
  </si>
  <si>
    <t>Proj_Sel</t>
  </si>
  <si>
    <t>Proj_Tst_T</t>
  </si>
  <si>
    <t>Proj_Tst_Time</t>
  </si>
  <si>
    <t>Proj_Tst_PwDn</t>
  </si>
  <si>
    <t>Proj_Weld_T</t>
  </si>
  <si>
    <t>Proj_Weld_Time</t>
  </si>
  <si>
    <t>Proj_Weld_PwDn</t>
  </si>
  <si>
    <t>Tsw3</t>
  </si>
  <si>
    <t>Tsw2</t>
  </si>
  <si>
    <t>Tsw1</t>
  </si>
  <si>
    <t>tKsr</t>
  </si>
  <si>
    <t>Tf2</t>
  </si>
  <si>
    <t>Energy</t>
  </si>
  <si>
    <t>VefTs1</t>
  </si>
  <si>
    <t>Vef</t>
  </si>
  <si>
    <t>Ief</t>
  </si>
  <si>
    <t>ksr</t>
  </si>
  <si>
    <t>Enf</t>
  </si>
  <si>
    <t>Ts3</t>
  </si>
  <si>
    <t>Tf3</t>
  </si>
  <si>
    <t>SlDn</t>
  </si>
  <si>
    <t>Ts2</t>
  </si>
  <si>
    <t>SlUp</t>
  </si>
  <si>
    <t>Tf1</t>
  </si>
  <si>
    <t>Ts1</t>
  </si>
  <si>
    <t>Apr</t>
  </si>
  <si>
    <t>PreI</t>
  </si>
  <si>
    <t>kAI3</t>
  </si>
  <si>
    <t>kAI2</t>
  </si>
  <si>
    <t>kAI1</t>
  </si>
  <si>
    <t>Patron</t>
  </si>
  <si>
    <t>CSel</t>
  </si>
  <si>
    <t>CGap</t>
  </si>
  <si>
    <t>CCoef</t>
  </si>
  <si>
    <t>SrrGap</t>
  </si>
  <si>
    <t>SrrCoef</t>
  </si>
  <si>
    <t>SrrQual</t>
  </si>
  <si>
    <t>Fecha</t>
  </si>
  <si>
    <t>Curv_V</t>
  </si>
  <si>
    <t>Curv_I</t>
  </si>
  <si>
    <t>Ns</t>
  </si>
  <si>
    <t>ContFr</t>
  </si>
  <si>
    <t>ContPtos</t>
  </si>
  <si>
    <t>FBL</t>
  </si>
  <si>
    <t>FBH</t>
  </si>
  <si>
    <t>nProgram</t>
  </si>
  <si>
    <t>tProgram</t>
  </si>
  <si>
    <t>tTimer</t>
  </si>
  <si>
    <t>ID</t>
  </si>
  <si>
    <t>METODO DE ANALISIS (Desbotonado/Macro)</t>
  </si>
  <si>
    <t>Q total</t>
  </si>
  <si>
    <t>Q3</t>
  </si>
  <si>
    <t>Q2</t>
  </si>
  <si>
    <t>Q1</t>
  </si>
  <si>
    <t>DEFECTOS</t>
  </si>
  <si>
    <t>ACEPTACION ANCHO DE NUGGET</t>
  </si>
  <si>
    <t>DEFECTO OBSERVADO</t>
  </si>
  <si>
    <t>TESTS</t>
  </si>
  <si>
    <t>WISE DATA</t>
  </si>
  <si>
    <t>11;22;63;126;175;198;209;214;209;207;205;202;200;198;207;207;200;200;202;200;202;205;205;207;205;207;209;202;202;207;205;200;205;207;207;205;205;205;202;202;205;205;202;200;202;202;200;202;202;200;202;205;207;205;202;202;205;202;202;207;205;202;202;202;202;202;205;205;200;198;205;207;202;202;205;202;200;205;205;205;202;202;205;202;205;205;202;202;202;205;202;202;205;202;202;202;202;205;202;202;108;198;272;349;399;419;424;424;421;410;408;412;405;408;408;410;408;399;408;412;408;408;408;405;403;410;414;405;405;408;410;410;405;408;408;405;408;410;410;405;408;410;405;408;410;410;412;410;412;410;405;410;405;403;405;410;410;405;410;410;408;405;405;412;408;405;410;410;408;408;408;410;410;410;410;</t>
  </si>
  <si>
    <t>33;50;67;97;122;144;165;173;177;182;182;177;182;182;186;186;182;182;186;190;190;186;190;199;194;194;194;194;194;194;194;199;199;194;190;194;194;194;194;194;194;194;194;194;190;190;194;199;194;190;194;194;177;190;207;199;194;199;203;203;199;199;199;199;199;199;199;203;203;199;199;199;199;203;203;199;203;207;199;199;199;194;199;199;199;203;203;203;203;199;199;207;207;203;207;207;207;207;211;211;55;101;144;182;216;232;241;249;258;258;249;245;241;245;245;249;254;249;245;249;249;245;249;249;245;245;249;245;249;254;258;249;249;249;249;241;249;254;249;249;254;258;258;254;254;254;249;254;254;258;254;249;249;249;254;254;258;258;258;254;254;254;249;254;258;254;254;254;249;249;249;254;254;258;258;</t>
  </si>
  <si>
    <t>11;27;58;112;160;191;205;209;214;212;209;207;205;207;205;202;202;202;200;200;202;207;205;205;200;202;205;209;207;202;205;202;200;205;207;202;202;205;205;202;202;205;205;205;202;205;205;200;202;207;207;200;205;207;202;202;205;202;202;200;209;207;202;202;200;200;202;202;202;205;205;205;202;200;202;207;207;205;205;202;202;202;205;202;202;205;207;205;205;202;202;202;205;205;200;202;205;207;207;207;72;144;216;284;336;363;369;369;365;365;360;356;358;358;358;356;356;360;356;358;360;356;354;354;358;358;358;360;358;358;358;358;356;351;358;356;354;356;354;358;356;356;360;363;356;356;358;356;354;358;358;356;358;358;358;354;354;358;360;358;358;356;356;354;358;358;358;360;363;358;356;358;365;360;360;</t>
  </si>
  <si>
    <t>42;67;84;114;148;173;194;211;224;228;220;216;228;224;220;220;220;224;224;224;220;224;224;224;224;224;224;228;224;220;220;220;220;224;220;220;224;224;220;216;211;211;216;216;216;216;211;203;211;211;211;211;207;220;220;207;211;211;203;207;207;199;194;207;207;211;211;211;211;211;211;211;211;207;211;211;207;203;211;211;207;207;207;207;211;211;211;211;211;216;220;211;207;216;216;211;211;211;220;220;46;84;122;156;190;211;228;237;237;241;241;237;237;237;237;232;232;241;241;241;237;241;241;237;237;237;237;237;237;237;241;241;241;237;237;237;241;237;237;241;241;237;241;245;232;224;232;241;237;237;241;245;245;241;245;245;245;245;245;241;245;245;241;245;245;245;245;245;249;249;237;232;232;241;241;</t>
  </si>
  <si>
    <t>11;24;58;117;157;184;205;209;207;207;209;209;202;202;202;202;205;205;205;205;205;207;202;196;202;209;207;205;205;205;207;205;202;205;202;202;209;207;202;205;202;202;202;205;205;205;205;200;202;202;205;205;202;205;207;207;207;205;205;202;202;205;205;205;202;202;205;200;202;207;202;202;205;207;205;202;205;202;205;200;202;207;205;205;207;202;202;202;205;205;205;202;202;202;202;202;205;205;207;207;78;153;216;284;338;363;372;372;367;360;360;358;363;358;356;360;356;354;358;356;356;356;360;365;360;354;354;356;358;354;356;358;356;358;358;356;356;358;356;351;358;358;358;358;354;358;360;358;363;360;356;354;358;358;354;358;358;356;354;351;354;358;356;363;360;354;354;358;356;356;356;354;356;354;358;358;351;354;363;360;356;358;356;356;356;356;351;358;360;354;356;358;358;358;356;356;358;360;358;358;</t>
  </si>
  <si>
    <t>38;59;84;110;148;182;207;220;224;228;232;237;232;232;228;228;232;224;224;232;232;228;220;220;228;224;224;224;220;224;224;220;220;224;220;216;216;211;216;216;211;216;211;211;216;216;211;211;211;207;207;216;216;216;216;211;211;216;220;216;216;211;207;207;211;211;216;203;199;216;211;211;216;228;224;207;207;207;207;207;211;216;211;220;220;207;211;211;207;211;211;207;211;216;207;211;211;216;207;207;50;80;114;152;186;207;220;232;232;237;237;241;241;232;228;232;232;228;232;241;237;232;237;237;237;237;237;237;241;241;237;237;237;232;237;237;237;237;237;232;232;237;241;237;237;237;237;237;237;237;237;237;237;241;241;237;237;237;237;237;237;237;237;241;241;241;241;241;237;237;237;245;245;241;241;241;241;237;241;237;232;228;232;232;237;241;241;241;245;245;241;241;241;241;241;237;241;237;241;241;</t>
  </si>
  <si>
    <t>9;27;63;115;160;189;207;209;207;209;209;207;202;205;200;200;205;207;205;202;205;209;205;198;202;209;202;202;207;202;200;205;205;202;202;205;207;207;205;200;205;202;200;202;202;205;207;202;200;202;202;205;202;200;205;202;200;205;207;205;202;202;205;205;202;200;202;200;202;205;202;202;205;205;202;202;205;202;200;198;202;205;202;202;202;202;202;205;207;202;196;198;202;202;205;207;207;207;207;207;56;110;166;234;284;304;313;318;315;313;306;304;304;304;306;306;306;306;306;308;304;302;308;318;313;302;304;306;304;306;306;304;308;308;304;304;306;306;306;306;306;306;304;306;308;306;304;306;306;306;304;306;306;304;304;304;306;306;306;311;308;304;306;306;306;304;306;306;306;306;308;306;304;304;308;306;304;304;306;306;308;311;308;306;304;304;302;302;308;308;306;308;308;308;306;304;306;302;311;311;</t>
  </si>
  <si>
    <t>38;63;76;105;144;173;194;220;224;216;224;224;224;224;220;220;224;224;224;228;224;220;228;224;220;220;224;224;220;216;216;216;216;216;220;216;216;211;211;207;207;211;211;216;216;211;211;211;216;203;203;220;220;211;207;207;211;211;216;207;207;211;207;207;207;211;207;203;207;211;207;199;199;203;199;203;207;207;199;203;207;207;207;203;207;211;216;207;207;207;207;211;207;211;211;203;194;177;224;224;42;80;114;144;177;207;220;228;237;232;232;232;228;228;224;220;232;237;237;232;237;237;232;232;232;237;228;220;228;237;237;237;237;232;232;232;232;232;237;237;237;237;232;237;232;228;232;237;237;237;237;232;232;237;237;241;245;241;241;241;237;237;237;241;241;241;237;237;241;237;237;237;237;237;232;232;237;232;237;237;241;241;232;232;241;245;241;232;237;237;228;232;245;241;241;237;237;232;245;245;</t>
  </si>
  <si>
    <t>9;18;54;106;146;173;193;202;209;207;205;207;207;205;207;205;202;202;202;207;207;205;200;200;202;202;205;205;202;205;207;207;205;205;207;205;202;202;205;205;202;205;205;205;205;202;198;198;205;209;207;202;205;205;202;202;205;205;205;202;202;202;200;202;205;202;202;205;205;202;202;205;202;202;205;202;202;205;202;202;205;205;205;200;200;207;209;202;200;205;205;202;205;205;202;198;200;187;207;207;47;99;157;221;266;297;311;313;311;308;308;308;306;311;308;304;304;306;306;302;306;306;306;306;306;304;304;306;308;306;304;306;308;306;302;302;304;304;304;306;306;304;308;308;302;302;306;308;306;302;304;304;304;308;308;306;304;308;308;306;308;306;311;308;304;308;306;302;304;306;306;304;306;306;302;304;306;311;308;304;306;306;306;306;304;302;304;308;308;304;304;306;306;308;308;306;304;302;306;306;</t>
  </si>
  <si>
    <t>38;63;88;122;160;207;241;262;279;288;288;288;292;292;288;288;288;288;288;283;279;283;283;279;279;279;275;271;271;275;275;275;271;271;271;271;266;254;254;271;271;271;266;266;258;262;271;271;271;271;258;249;262;271;266;266;266;271;271;266;266;266;262;266;271;266;266;266;266;262;266;266;262;262;275;271;266;271;271;275;271;262;266;266;266;266;271;271;271;271;271;266;266;266;266;271;271;271;266;266;38;84;131;177;207;232;262;275;283;292;300;300;292;292;292;292;288;288;292;283;283;296;292;296;292;288;292;296;292;292;292;292;292;292;292;296;296;292;292;292;296;296;296;300;296;296;292;296;296;300;296;296;296;296;300;296;296;296;292;292;292;292;292;296;292;288;292;296;292;288;292;288;288;296;296;292;292;288;296;296;288;288;288;288;288;288;283;288;288;283;283;279;279;283;292;292;288;292;292;292;</t>
  </si>
  <si>
    <t>9;22;54;108;148;175;196;202;209;205;198;200;205;207;207;207;202;200;202;200;200;205;207;205;202;205;202;202;202;202;205;205;205;205;202;202;205;205;202;200;205;205;202;205;207;202;200;202;207;205;202;205;205;200;198;196;200;205;205;202;200;202;205;200;200;205;205;198;198;202;202;205;205;205;205;200;200;202;196;198;205;205;200;200;205;205;202;202;205;202;202;202;202;200;200;207;198;209;189;189;40;87;144;202;250;277;290;295;293;290;288;286;290;288;284;286;281;286;286;286;288;284;286;286;284;284;284;284;286;284;286;286;281;284;286;284;281;284;286;286;284;284;286;284;281;286;284;284;284;284;281;281;288;288;286;279;284;290;284;284;293;286;284;288;286;281;284;288;288;284;284;284;286;286;286;290;286;284;288;290;286;284;290;286;279;286;284;284;284;284;286;286;284;286;288;284;284;290;286;279;288;288;284;284;288;290;286;281;288;288;284;284;286;284;281;284;284;290;288;284;284;284;286;284;284;</t>
  </si>
  <si>
    <t>42;63;84;122;165;203;237;262;275;275;279;283;283;283;279;279;279;279;283;283;275;279;283;283;283;279;279;271;271;275;275;275;271;271;271;271;266;266;266;262;262;266;262;266;262;258;258;262;262;245;245;266;266;271;271;266;258;258;262;262;258;262;266;262;258;266;266;258;262;262;262;262;266;266;266;262;262;266;262;262;266;271;266;262;262;262;262;262;262;262;262;266;271;266;266;271;271;275;271;271;55;84;114;156;194;228;254;262;271;275;279;279;279;275;275;271;271;279;279;279;288;283;275;283;283;279;283;283;279;283;279;275;279;279;279;283;283;279;279;283;283;283;279;279;279;283;279;279;283;283;288;288;279;279;283;275;279;283;283;283;283;292;292;283;283;279;288;288;279;279;275;283;288;283;283;283;283;283;283;288;283;279;279;279;279;283;283;283;283;283;279;279;279;283;283;283;275;275;279;279;279;275;271;279;279;279;283;279;279;279;283;279;279;279;275;275;275;279;279;275;275;275;275;283;283;</t>
  </si>
  <si>
    <t>11;22;56;108;148;175;196;205;207;207;205;205;205;205;202;202;205;200;200;202;205;205;205;205;202;202;205;205;205;205;202;205;200;200;209;209;202;202;205;202;205;207;202;202;205;207;205;202;202;205;205;202;202;205;205;205;202;200;202;200;200;202;200;202;202;200;202;205;207;205;202;205;202;200;205;202;200;200;202;205;202;205;205;205;200;200;207;202;200;205;205;205;205;205;202;200;202;202;207;207;27;56;101;166;214;239;254;261;259;254;252;254;254;254;257;250;250;254;257;257;254;254;257;252;250;254;254;250;257;259;254;250;252;257;254;252;254;254;254;254;261;261;252;252;257;254;252;254;254;254;254;254;252;254;257;257;257;254;257;257;252;254;257;254;254;254;252;250;252;257;252;250;254;254;257;254;252;257;257;254;254;254;252;252;254;254;254;257;257;257;254;257;257;257;254;252;254;254;254;259;257;257;257;257;252;252;257;254;254;254;254;254;254;254;257;257;252;254;254;252;257;259;254;250;250;259;259;254;254;254;252;252;250;257;257;</t>
  </si>
  <si>
    <t>55;76;88;118;165;211;237;258;271;275;279;275;279;283;283;283;288;279;275;283;283;279;279;279;275;271;275;279;275;275;271;275;275;271;271;275;275;271;275;271;266;262;262;271;271;266;262;266;271;271;271;271;266;271;262;262;262;262;266;266;266;262;262;266;266;262;262;266;271;271;262;266;266;262;266;266;266;279;288;279;271;271;271;266;262;262;266;271;275;271;271;266;266;266;266;266;266;271;258;258;50;76;101;131;169;207;232;254;271;271;275;279;271;271;275;275;271;271;275;279;283;275;275;275;275;279;279;275;279;279;279;275;279;279;279;279;275;275;275;279;279;279;279;279;279;279;279;279;275;275;279;279;279;275;279;283;279;283;283;279;279;279;279;279;275;279;275;275;275;275;275;279;283;279;279;283;279;279;275;271;275;279;279;275;279;279;279;283;283;283;283;279;279;283;283;279;279;275;275;279;275;271;275;279;275;275;279;275;275;279;275;283;283;275;279;279;275;275;275;279;275;275;271;266;271;279;275;279;279;271;279;279;296;271;271;</t>
  </si>
  <si>
    <t>6;20;54;108;155;184;200;205;207;207;205;205;205;202;200;205;205;202;202;202;198;200;207;207;205;202;202;205;202;200;205;202;200;205;205;205;202;205;205;202;202;205;205;202;202;205;202;202;205;205;202;202;205;205;202;202;205;202;202;209;207;200;200;200;202;202;200;202;202;200;205;205;205;202;200;205;202;202;205;202;205;207;205;202;200;205;205;205;205;205;200;200;205;205;202;202;205;212;205;205;24;54;101;160;202;232;245;250;250;245;250;248;245;245;245;243;241;243;245;245;245;245;248;245;243;250;248;243;243;243;243;236;234;239;239;245;250;248;245;245;243;243;243;245;245;245;245;248;245;241;243;248;245;241;241;241;241;243;248;248;245;243;245;245;241;243;243;243;245;243;245;243;243;245;241;241;245;243;243;245;245;245;243;243;245;245;243;245;248;243;243;245;245;241;243;250;245;245;248;245;248;245;245;245;243;241;245;245;243;243;245;241;243;245;243;243;250;252;248;243;241;241;243;245;245;248;245;243;245;243;236;241;230;252;252;</t>
  </si>
  <si>
    <t>42;63;88;127;165;199;228;245;258;266;262;262;266;271;271;266;266;271;275;275;271;266;271;275;275;275;271;279;275;271;275;275;271;271;275;275;271;271;271;271;279;279;271;271;266;266;266;266;266;266;262;258;266;266;262;266;266;266;266;258;258;262;262;258;262;262;262;262;262;262;262;262;262;262;262;262;266;266;266;266;266;266;271;266;271;266;271;271;262;266;266;258;262;266;262;266;266;266;271;271;38;72;105;139;173;203;232;254;266;271;271;275;275;271;275;275;275;275;275;279;279;279;279;279;279;275;279;275;271;275;283;283;275;275;279;279;279;279;283;279;279;279;275;279;283;283;279;279;279;275;279;279;275;279;279;275;279;283;283;275;279;279;279;283;279;275;279;275;275;279;275;275;275;279;283;279;279;283;283;283;279;279;275;271;275;275;275;275;283;279;275;283;279;279;279;271;271;275;275;275;275;275;271;271;275;271;275;275;266;271;275;271;271;275;275;271;275;275;271;271;266;266;271;271;266;271;271;271;271;271;266;266;271;266;266;</t>
  </si>
  <si>
    <t>13;24;51;101;142;180;200;207;212;212;209;205;202;207;205;200;202;202;202;202;207;209;205;202;202;200;200;202;207;205;209;207;202;200;200;207;205;198;202;205;205;202;202;200;200;202;202;202;205;205;207;205;200;200;202;207;207;205;205;205;202;202;198;198;205;209;207;200;200;205;205;202;207;198;196;207;207;202;202;202;202;202;202;205;202;202;202;205;207;202;202;205;205;202;205;207;200;202;200;200;101;187;257;327;378;403;414;419;417;417;405;401;408;412;408;408;410;410;408;414;414;408;405;405;410;405;405;410;405;405;405;412;410;405;410;410;410;412;408;408;408;408;412;410;412;410;410;403;417;417;</t>
  </si>
  <si>
    <t>33;67;97;131;173;207;237;258;271;279;279;279;283;288;283;279;275;275;279;279;283;283;288;283;279;283;283;283;279;279;283;279;275;279;279;279;279;279;283;283;283;283;283;283;279;279;279;279;271;271;279;283;283;275;275;279;279;279;275;275;275;279;283;283;283;283;283;279;279;283;279;279;283;275;279;283;279;275;279;279;279;279;283;283;283;283;283;283;279;279;279;283;283;283;283;279;275;275;279;279;59;110;160;207;254;288;309;326;334;334;338;343;343;347;347;334;330;343;347;343;338;334;334;334;338;338;334;334;338;338;334;334;334;330;334;334;334;334;334;334;334;330;326;330;321;317;326;326;330;330;</t>
  </si>
  <si>
    <t>4;15;49;85;124;160;182;193;193;200;209;205;205;207;207;205;205;207;202;202;207;205;205;207;209;205;202;205;205;207;207;205;205;205;205;205;207;207;205;205;205;205;212;207;205;205;205;205;202;205;205;202;198;200;207;205;205;205;205;202;202;205;202;202;205;205;205;205;202;205;207;202;202;202;198;200;205;200;200;202;202;205;202;205;205;202;202;205;200;202;207;205;202;202;202;205;202;205;200;200;261;442;550;645;701;728;742;735;721;717;719;721;717;717;714;714;719;714;714;714;717;721;719;717;710;710;721;717;717;717;712;717;717;721;719;719;726;712;742;742;</t>
  </si>
  <si>
    <t>46;72;101;152;203;249;296;330;347;355;368;377;372;372;377;377;372;372;368;364;364;364;364;360;360;355;360;360;364;360;355;351;351;351;351;351;351;355;351;347;355;351;351;360;360;351;343;347;343;338;343;343;338;343;338;334;343;343;343;343;343;343;347;338;334;338;343;338;338;334;334;338;338;338;338;343;343;338;338;334;338;343;343;343;338;338;343;347;343;343;343;343;343;343;334;330;334;343;343;343;88;177;266;338;393;432;453;465;470;470;470;465;470;470;461;457;457;457;457;461;453;449;449;444;449;449;449;449;444;436;436;432;432;432;427;423;423;427;419;419;</t>
  </si>
  <si>
    <t>4;15;51;96;133;166;189;196;198;205;207;207;205;205;205;205;205;205;205;202;205;207;207;202;202;205;198;198;207;205;200;205;209;202;200;205;207;200;202;207;205;202;202;207;205;202;205;205;202;202;202;205;202;205;205;202;196;205;209;200;200;207;205;202;202;205;202;200;205;205;200;202;205;205;205;205;202;198;198;205;205;202;205;207;202;202;205;205;202;196;200;207;202;200;200;202;202;202;202;202;205;354;455;539;595;617;622;627;629;627;613;608;611;613;620;620;613;615;611;615;617;611;615;615;620;617;613;617;613;617;620;613;611;613;622;620;608;617;599;599;</t>
  </si>
  <si>
    <t>42;63;97;144;194;241;279;305;317;334;338;338;338;343;338;334;338;330;330;334;330;330;330;338;338;330;330;330;338;334;330;334;334;326;330;330;326;326;334;334;330;330;330;330;330;326;321;326;326;326;321;321;317;321;330;330;326;330;326;321;326;326;326;326;326;326;321;321;326;326;326;326;326;326;330;330;330;326;326;330;330;330;326;326;334;330;330;334;330;317;317;326;326;326;330;330;326;326;330;330;72;156;232;292;347;385;410;427;436;436;432;432;436;436;436;436;436;432;427;427;427;427;423;423;419;415;415;410;406;410;410;402;393;393;393;393;398;398;398;398;</t>
  </si>
  <si>
    <t>6;18;49;96;137;166;187;198;205;207;205;205;205;209;207;200;202;205;200;200;202;205;202;198;202;205;202;202;202;202;202;205;207;207;207;209;207;205;202;205;205;202;205;205;205;200;205;205;200;202;207;209;202;202;205;202;200;202;200;200;202;207;205;202;202;202;205;205;205;205;202;202;202;205;202;202;202;198;198;202;205;205;205;207;205;200;205;205;202;205;207;205;202;202;207;205;200;200;200;200;239;399;505;595;645;678;690;683;674;665;674;665;656;665;663;665;667;665;665;660;669;672;665;665;663;669;665;660;667;667;669;667;665;669;663;665;669;665;660;660;669;667;676;665;665;</t>
  </si>
  <si>
    <t>50;76;101;135;186;232;271;292;309;321;326;330;334;334;334;326;326;326;326;326;330;338;334;330;330;326;326;334;330;326;330;330;326;330;330;326;321;321;321;326;321;321;321;321;321;321;321;326;326;326;326;317;313;321;321;317;321;321;321;317;321;326;326;321;321;326;326;321;321;317;321;321;321;321;321;321;326;326;326;330;326;321;321;321;321;321;321;326;326;321;321;321;317;321;321;326;326;330;326;326;76;156;232;300;351;385;410;423;423;423;427;423;419;419;423;423;423;419;415;406;415;419;415;415;415;415;406;402;406;406;406;410;402;402;398;393;398;393;393;393;393;393;398;389;389;</t>
  </si>
  <si>
    <t>2;9;31;74;119;155;178;198;212;212;209;212;214;212;209;207;209;209;209;207;207;205;205;205;205;207;207;207;207;202;205;205;205;207;202;200;200;205;207;202;202;205;205;205;205;207;202;200;202;200;202;202;202;205;202;202;205;202;200;202;205;202;200;205;207;202;202;207;205;200;202;205;205;202;202;202;202;205;207;202;205;205;207;205;202;202;202;202;202;200;200;200;205;207;205;202;205;205;207;207;106;191;261;333;367;403;442;448;444;442;442;442;439;437;444;442;437;439;439;439;442;442;442;442;442;</t>
  </si>
  <si>
    <t>50;84;114;165;228;283;326;360;381;385;385;385;381;377;372;364;360;360;355;347;343;338;334;330;330;330;326;321;317;313;313;309;305;300;300;305;300;300;305;309;313;309;305;305;309;309;300;305;305;300;300;296;292;296;300;296;292;292;292;300;305;300;296;300;305;305;305;305;300;296;300;300;296;296;300;296;296;300;296;296;300;300;300;305;300;296;300;292;296;300;296;292;296;300;296;296;296;300;296;296;63;127;182;232;296;347;381;406;423;423;432;436;432;432;436;436;432;432;432;427;427;432;436;432;432;</t>
  </si>
  <si>
    <t>2;2;31;74;115;148;178;196;200;212;221;216;212;209;212;209;207;209;207;212;216;212;205;205;207;207;207;202;205;207;205;207;207;207;207;205;209;207;202;205;202;202;205;207;205;205;207;205;200;202;205;205;205;200;200;202;202;202;205;200;198;205;207;202;205;205;202;202;202;207;205;200;202;205;202;200;202;202;202;200;200;205;205;202;205;205;205;205;207;200;200;207;207;202;200;205;202;205;200;200;47;96;148;207;254;284;295;304;306;304;306;306;306;308;306;306;308;306;304;304;306;308;304;306;308;304;299;304;306;304;306;308;306;304;304;306;306;306;308;308;</t>
  </si>
  <si>
    <t>46;80;122;173;232;292;338;372;389;398;406;410;406;398;389;381;381;381;377;368;364;360;347;343;343;343;343;338;334;330;326;321;321;321;317;313;313;313;309;309;309;309;313;313;305;309;313;305;300;309;309;305;305;305;300;309;309;305;305;309;305;300;309;305;300;305;309;309;309;313;309;300;305;309;309;309;309;305;305;305;305;305;305;305;305;305;305;305;305;305;305;305;300;300;300;300;300;300;300;300;50;93;135;182;232;279;309;334;355;364;368;372;372;377;385;385;385;385;381;377;377;377;377;377;377;377;377;377;377;372;377;377;381;381;377;377;377;381;381;381;</t>
  </si>
  <si>
    <t>0;4;27;69;112;148;171;191;205;209;212;209;216;216;212;207;212;214;207;209;209;207;209;209;209;207;207;212;207;205;209;207;202;202;207;205;202;200;202;205;202;202;207;207;205;205;205;202;202;205;207;205;205;207;205;200;202;200;198;202;205;207;207;205;205;198;198;205;207;205;202;200;202;205;207;207;205;202;205;205;202;202;207;205;202;205;207;205;200;202;202;202;205;205;205;205;205;207;209;209;65;126;184;254;304;333;349;356;356;354;356;363;356;354;358;356;354;356;360;363;354;354;356;356;356;358;356;351;358;363;360;360;356;360;360;354;358;354;369;369;</t>
  </si>
  <si>
    <t>55;101;139;190;254;309;360;393;415;432;440;440;436;432;427;419;410;406;402;398;398;389;372;377;368;364;364;360;355;347;347;347;343;343;338;330;330;326;321;326;326;321;321;321;321;326;326;321;317;317;317;317;321;321;317;317;317;317;317;317;317;317;321;321;317;317;321;317;321;321;321;321;321;326;321;330;330;321;317;321;321;313;313;313;317;317;317;317;313;317;317;317;317;317;317;317;317;321;313;313;50;105;152;203;258;313;347;372;389;393;402;406;406;406;406;406;410;410;410;410;415;415;415;410;410;415;415;419;419;415;415;415;410;406;406;406;402;402;385;385;</t>
  </si>
  <si>
    <t>2;0;22;60;101;137;169;187;202;214;212;214;214;214;212;214;216;212;212;212;214;212;209;207;209;209;209;209;207;205;209;212;205;205;207;205;205;205;205;207;205;202;205;205;202;200;205;205;202;202;202;202;202;205;205;202;205;207;205;202;202;205;202;202;205;202;202;202;209;205;200;205;205;202;202;202;207;205;202;207;207;202;200;205;205;205;207;205;205;205;205;212;209;202;207;205;202;196;207;207;54;106;162;223;270;304;318;322;324;327;327;324;329;333;329;324;327;327;324;327;327;324;324;329;329;327;327;327;327;324;327;329;329;324;324;327;324;324;329;327;327;327;329;327;322;329;327;336;322;322;</t>
  </si>
  <si>
    <t>55;105;152;211;275;330;385;427;449;461;474;478;474;461;457;449;440;436;427;419;410;398;393;389;377;368;364;360;351;343;343;343;338;334;334;330;330;326;326;326;326;326;321;321;326;326;326;330;330;326;326;321;321;321;321;321;317;326;326;321;326;321;317;321;321;321;321;326;321;321;321;317;317;321;317;317;326;321;317;321;321;317;313;317;321;317;321;321;317;317;317;321;321;317;317;317;309;317;309;309;50;101;148;199;249;300;334;351;368;385;393;398;402;402;402;402;402;402;402;406;406;406;410;410;406;406;410;402;402;402;406;406;406;402;402;406;406;402;402;402;402;398;398;402;402;402;398;402;398;398;</t>
  </si>
  <si>
    <t>1mm + 1mm/ Sin tratar</t>
  </si>
  <si>
    <t>1mm + 1mm + 1mm / Sin tratar</t>
  </si>
  <si>
    <t>1mm + 1mm + 1mm + 1mm / Sin tratar</t>
  </si>
  <si>
    <t>0,8mm + 1,2mm + 1mm/ Sin tratar</t>
  </si>
  <si>
    <t>2;6;36;78;126;164;187;200;216;221;209;205;207;205;202;205;205;200;196;200;205;205;202;202;207;205;202;205;202;202;202;205;202;200;200;202;202;205;205;205;202;202;207;202;198;200;202;200;200;202;205;202;202;202;200;200;205;207;202;200;207;207;202;200;202;202;200;202;205;205;202;200;202;205;205;205;205;202;202;205;200;205;209;205;205;205;205;205;202;205;207;205;202;202;207;205;200;198;202;202;263;446;572;656;712;739;737;735;726;723;723;717;710;712;721;719;714;721;717;712;712;717;721;719;719;717;714;714;714;721;719;712;721;717;714;703;703;</t>
  </si>
  <si>
    <t>42;80;122;169;224;275;309;334;351;360;364;360;360;347;347;364;364;364;364;364;372;377;377;372;381;381;368;368;372;377;377;372;377;377;372;377;381;381;385;385;385;385;385;381;385;385;389;393;393;398;398;398;398;393;398;402;402;402;402;402;402;406;406;393;402;406;402;402;398;398;398;398;398;398;398;398;398;393;393;398;398;393;393;393;398;389;385;389;389;389;389;389;385;385;385;385;385;385;389;389;76;169;258;321;368;398;415;427;427;423;427;423;419;419;419;423;419;415;419;415;415;419;410;406;406;402;402;406;406;402;398;398;398;398;393;402;402;</t>
  </si>
  <si>
    <t>187;320;426;534;608;640;665;678;683;681;681;687;681;674;674;672;674;669;667;672;669;672;667;667;669;665;672;669;669;667;665;674;669;665;667;669;669;</t>
  </si>
  <si>
    <t>105;220;330;423;512;580;635;669;682;682;677;669;656;643;635;626;618;614;605;597;597;593;593;580;576;580;571;571;567;559;559;554;550;550;546;546;546;</t>
  </si>
  <si>
    <t>267;460;589;709;810;884;930;920;920;902;893;884;865;874;874;874;874;865;856;865;874;884;874;865;856;874;874;893;893;893;</t>
  </si>
  <si>
    <t>127;279;415;533;635;698;737;745;737;728;707;694;677;660;652;648;643;643;631;631;631;622;622;618;618;622;614;618;597;597;</t>
  </si>
  <si>
    <t>267;469;598;709;764;828;911;939;920;902;902;893;884;884;884;884;874;865;865;884;874;856;865;865;865;</t>
  </si>
  <si>
    <t>131;283;419;525;635;715;745;758;758;749;732;703;686;673;648;643;639;626;626;618;618;618;635;601;601;</t>
  </si>
  <si>
    <t>200;331;433;597;735;780;814;829;829;820;802;800;780;807;807;</t>
  </si>
  <si>
    <t>139;292;419;533;631;703;737;737;720;698;673;643;665;618;618;</t>
  </si>
  <si>
    <t>189;308;408;548;674;719;739;769;773;766;757;744;757;726;726;</t>
  </si>
  <si>
    <t>131;275;402;504;601;669;707;724;720;698;673;648;656;631;631;</t>
  </si>
  <si>
    <t>239;405;598;773;884;948;985;976;1022;1022;</t>
  </si>
  <si>
    <t>139;309;474;601;703;762;779;792;787;787;</t>
  </si>
  <si>
    <t>202;478;460;598;598;</t>
  </si>
  <si>
    <t>152;317;279;444;444;</t>
  </si>
  <si>
    <t>11;31;83;160;239;299;329;336;333;331;327;322;320;313;313;318;313;313;313;311;311;311;311;306;308;308;311;311;304;308;308;304;306;308;311;311;311;</t>
  </si>
  <si>
    <t>84;156;224;288;351;393;423;436;436;432;415;402;393;385;377;360;347;343;338;334;326;317;317;317;309;305;309;305;300;296;292;296;292;288;292;296;296;</t>
  </si>
  <si>
    <t>2;9;49;117;189;250;286;299;295;288;284;275;272;272;270;268;268;270;270;270;270;270;266;266;270;270;266;266;266;270;268;266;270;263;263;254;254;</t>
  </si>
  <si>
    <t>88;156;211;266;330;385;406;415;415;406;393;385;372;360;351;347;351;347;338;338;330;330;326;313;313;313;305;300;296;296;292;292;288;288;288;283;283;</t>
  </si>
  <si>
    <t>67;137;234;306;396;493;514;514;518;509;500;496;489;491;480;475;480;478;480;480;</t>
  </si>
  <si>
    <t>105;216;309;381;436;478;504;508;499;482;453;432;410;393;381;364;355;351;351;351;</t>
  </si>
  <si>
    <t>1,6mm +2mm/Sin tratar</t>
  </si>
  <si>
    <t>1,2 mm + 1,2mm/ Sin tratar</t>
  </si>
  <si>
    <t>0,55mm +0,55mm</t>
  </si>
  <si>
    <t>230;396;534;598;727;911;939;911;920;902;893;893;884;893;874;856;856;893;865;865;</t>
  </si>
  <si>
    <t>148;338;512;656;787;872;923;944;936;923;902;876;859;838;830;817;804;804;796;796;</t>
  </si>
  <si>
    <t>99;180;277;383;446;507;557;577;590;590;590;584;588;590;581;581;577;575;575;570;572;570;577;563;563;</t>
  </si>
  <si>
    <t>127;258;372;487;597;682;749;792;813;813;804;796;775;758;745;728;711;690;677;669;652;643;643;635;635;</t>
  </si>
  <si>
    <t>85;162;252;351;412;453;496;516;534;539;532;530;525;527;525;521;525;516;521;525;516;516;502;530;530;</t>
  </si>
  <si>
    <t>114;237;338;436;533;622;682;715;741;749;749;741;724;715;703;690;682;669;656;643;635;631;635;622;622;</t>
  </si>
  <si>
    <t>151;263;329;444;575;638;678;694;705;708;703;701;692;690;683;692;692;</t>
  </si>
  <si>
    <t>144;288;427;546;660;754;817;851;855;851;834;809;792;766;745;732;732;</t>
  </si>
  <si>
    <t>151;218;336;496;575;636;683;708;717;701;726;726;</t>
  </si>
  <si>
    <t>144;292;432;559;669;754;813;843;851;838;847;847;</t>
  </si>
  <si>
    <t>87;162;214;340;484;541;579;599;602;606;608;599;593;586;584;586;586;</t>
  </si>
  <si>
    <t>135;279;406;512;610;703;771;792;792;779;762;732;694;673;652;665;665;</t>
  </si>
  <si>
    <t>164;275;385;505;570;651;728;757;769;753;748;742;735;733;726;735;735;726;728;726;733;730;742;723;723;</t>
  </si>
  <si>
    <t>152;321;482;622;754;864;940;978;991;991;982;970;953;931;915;902;889;872;859;847;834;826;826;821;821;</t>
  </si>
  <si>
    <t>151;254;358;464;523;597;672;705;712;705;703;692;692;685;676;678;674;676;674;669;676;667;683;658;658;</t>
  </si>
  <si>
    <t>135;288;432;559;686;787;859;898;906;906;893;872;855;838;821;809;796;779;771;762;749;745;737;749;749;</t>
  </si>
  <si>
    <t>193;327;401;523;676;753;809;825;816;811;798;796;789;782;784;780;780;</t>
  </si>
  <si>
    <t>148;321;482;631;766;864;919;948;953;936;915;893;872;851;834;838;838;</t>
  </si>
  <si>
    <t>184;277;399;568;674;757;805;823;827;811;825;825;</t>
  </si>
  <si>
    <t>156;330;499;648;779;872;923;948;948;931;936;936;</t>
  </si>
  <si>
    <t>142;248;369;489;545;622;712;751;769;775;773;762;762;757;753;744;735;739;735;733;733;726;744;714;714;</t>
  </si>
  <si>
    <t>165;347;512;665;804;923;1012;1063;1084;1076;1059;1029;991;961;923;893;868;843;821;800;783;771;779;762;762;</t>
  </si>
  <si>
    <t>106;184;286;405;491;552;588;599;636;656;658;658;649;651;642;636;636;629;631;624;624;629;624;627;624;622;624;620;624;620;617;620;622;624;624;</t>
  </si>
  <si>
    <t>148;309;457;584;707;817;893;948;974;987;978;961;940;910;881;855;834;813;792;775;762;745;732;728;715;707;698;686;677;677;665;656;665;656;656;</t>
  </si>
  <si>
    <t>142;252;376;493;572;642;721;757;766;771;766;769;760;746;742;737;737;739;730;730;710;710;</t>
  </si>
  <si>
    <t>160;347;512;656;787;906;987;1033;1046;1037;1016;982;948;915;881;859;834;809;796;779;792;792;</t>
  </si>
  <si>
    <t>106;189;299;428;532;590;611;645;681;692;692;687;685;678;681;674;672;669;665;667;663;663;663;658;660;660;660;654;649;660;647;647;</t>
  </si>
  <si>
    <t>152;313;465;601;724;838;919;965;987;987;974;944;915;889;855;830;800;771;745;724;707;686;665;652;635;626;614;601;588;576;584;584;</t>
  </si>
  <si>
    <t>115;196;293;414;507;568;606;624;649;654;649;656;647;645;640;642;645;633;633;631;629;631;624;624;624;622;627;620;636;604;604;</t>
  </si>
  <si>
    <t>139;300;449;571;686;787;855;902;927;923;906;885;864;838;817;787;762;737;715;686;669;660;648;635;622;601;593;588;588;584;584;</t>
  </si>
  <si>
    <t>151;254;378;507;575;658;733;762;771;771;775;766;762;751;742;751;744;742;735;726;737;730;755;710;710;</t>
  </si>
  <si>
    <t>156;330;499;639;754;859;940;974;978;965;948;915;872;834;800;766;741;720;698;669;652;639;643;626;626;</t>
  </si>
  <si>
    <t>151;245;333;491;631;694;744;760;773;775;760;762;739;771;771;</t>
  </si>
  <si>
    <t>152;334;499;639;766;872;931;957;957;944;915;881;898;851;851;</t>
  </si>
  <si>
    <t>1,2mm +1,6 mm +1,6 mm</t>
  </si>
  <si>
    <t>1,6 mm +1 mm +0,55mm</t>
  </si>
  <si>
    <t>0,55mm + 0,9 mm + 0,55mm</t>
  </si>
  <si>
    <t>1,6 mm +1 mm +1 mm +0,55 mm</t>
  </si>
  <si>
    <t>0,55 mm +1.6 mm +1 mm +0,55 mm</t>
  </si>
  <si>
    <t>0,9 mm +0,55 mm +0,9 mm+ 0,55 mm</t>
  </si>
  <si>
    <t>Prog =   8</t>
  </si>
  <si>
    <t>198;331;426;500;543;597;663;692;710;714;714;708;692;690;683;676;678;676;676;674;676;676;678;674;674;</t>
  </si>
  <si>
    <t>97;216;334;449;559;652;720;762;771;762;741;715;690;665;648;631;614;601;584;571;563;550;550;546;546;</t>
  </si>
  <si>
    <t>230;381;457;518;552;611;692;719;714;708;701;699;690;674;672;672;674;672;669;672;667;674;658;683;683;</t>
  </si>
  <si>
    <t>67;165;283;398;495;567;614;639;631;614;597;571;550;529;504;491;482;478;474;465;461;453;453;444;444;</t>
  </si>
  <si>
    <t>236;383;457;521;559;627;690;708;714;708;703;699;685;676;669;676;672;669;669;667;672;669;685;669;669;</t>
  </si>
  <si>
    <t>76;169;279;389;487;563;614;631;626;618;601;567;546;529;508;491;478;474;465;461;461;453;457;449;449;</t>
  </si>
  <si>
    <t>234;385;462;525;561;613;687;714;717;717;703;694;685;678;681;672;672;669;672;669;660;667;654;685;685;</t>
  </si>
  <si>
    <t>80;173;279;393;491;563;614;635;635;618;593;571;550;525;504;495;482;470;465;457;449;444;449;444;444;</t>
  </si>
  <si>
    <t>Prog =  12</t>
  </si>
  <si>
    <t>212;349;435;496;525;595;660;683;696;690;692;685;683;687;681;681;678;676;676;672;678;676;685;674;674;</t>
  </si>
  <si>
    <t>88;199;317;436;550;643;711;754;783;792;779;766;758;745;728;711;698;690;673;660;652;643;639;648;648;</t>
  </si>
  <si>
    <t>218;356;442;505;532;595;665;692;696;696;696;683;685;683;681;681;669;676;678;674;676;672;687;651;651;</t>
  </si>
  <si>
    <t>88;186;313;427;529;631;698;737;754;758;745;737;720;703;694;677;660;648;635;626;614;610;614;605;605;</t>
  </si>
  <si>
    <t>Prog =  13</t>
  </si>
  <si>
    <t>250;401;489;570;620;694;773;784;789;787;782;778;773;784;782;778;784;778;782;780;782;782;782;784;784;</t>
  </si>
  <si>
    <t>101;237;377;512;639;741;817;868;893;906;910;906;902;889;876;868;851;834;830;826;813;800;809;783;783;</t>
  </si>
  <si>
    <t>252;403;496;577;622;692;787;805;798;796;784;789;787;773;775;778;782;784;780;782;773;778;760;791;791;</t>
  </si>
  <si>
    <t>105;232;372;512;639;732;800;843;859;864;855;851;847;834;817;809;796;783;771;758;754;737;749;728;728;</t>
  </si>
  <si>
    <t>182;304;417;550;629;710;805;823;820;816;809;809;793;787;789;784;789;780;780;782;778;782;766;789;789;</t>
  </si>
  <si>
    <t>156;334;504;656;792;898;974;1012;1012;999;982;957;931;902;876;855;834;821;804;787;783;775;783;771;771;</t>
  </si>
  <si>
    <t>182;306;421;554;633;708;798;820;820;823;807;802;796;796;793;778;787;782;782;782;773;778;755;791;791;</t>
  </si>
  <si>
    <t>156;330;499;660;796;902;974;1012;1020;1012;991;957;936;910;885;864;851;834;813;796;787;783;792;775;775;</t>
  </si>
  <si>
    <t>252;410;507;586;617;674;753;787;789;789;784;780;782;780;787;789;782;787;782;784;780;771;782;757;757;</t>
  </si>
  <si>
    <t>105;232;372;525;656;758;838;893;927;940;944;936;923;919;906;893;876;859;843;830;817;804;809;804;804;</t>
  </si>
  <si>
    <t>252;403;505;590;633;703;773;800;805;800;793;780;787;789;780;775;773;784;780;775;778;773;791;755;755;</t>
  </si>
  <si>
    <t>105;241;385;521;652;745;813;851;872;876;868;855;834;821;804;792;779;762;754;741;732;728;737;720;720;</t>
  </si>
  <si>
    <t>207;345;435;511;550;597;642;667;685;676;681;685;687;687;676;683;683;681;685;676;676;676;687;672;672;</t>
  </si>
  <si>
    <t>88;199;313;427;542;639;711;758;792;804;804;800;787;771;749;741;728;711;694;682;669;656;656;648;648;</t>
  </si>
  <si>
    <t>205;349;439;511;548;593;663;690;699;701;694;692;685;676;683;681;678;674;672;676;669;669;647;676;676;</t>
  </si>
  <si>
    <t>88;199;313;423;533;622;682;720;741;737;728;715;698;682;665;648;639;631;622;610;601;593;597;593;593;</t>
  </si>
  <si>
    <t>166;290;405;500;541;611;701;723;721;721;714;705;699;687;683;676;674;681;674;672;672;674;678;672;672;</t>
  </si>
  <si>
    <t>122;249;368;478;580;656;711;732;728;711;682;652;618;593;571;550;538;525;512;499;487;474;482;474;474;</t>
  </si>
  <si>
    <t>180;302;414;514;552;611;696;728;728;728;712;699;696;683;681;676;672;674;667;672;672;674;672;672;672;</t>
  </si>
  <si>
    <t>114;237;351;461;567;639;682;703;703;677;648;614;580;559;538;525;508;495;487;482;474;461;470;461;461;</t>
  </si>
  <si>
    <t>178;308;417;516;566;624;701;721;726;728;714;703;692;681;678;672;676;674;669;669;669;672;658;678;678;</t>
  </si>
  <si>
    <t>114;241;360;461;559;639;682;698;690;669;643;610;576;550;533;521;504;495;482;474;465;457;457;457;457;</t>
  </si>
  <si>
    <t>180;308;419;509;548;615;703;728;726;726;714;701;696;681;676;672;672;674;669;672;672;674;678;665;665;</t>
  </si>
  <si>
    <t>110;228;351;461;563;639;690;711;698;677;643;610;588;563;533;516;504;495;487;474;470;465;470;465;465;</t>
  </si>
  <si>
    <t>166;284;381;478;534;584;647;669;685;690;694;701;694;699;694;690;692;685;687;685;681;683;676;694;694;</t>
  </si>
  <si>
    <t>122;258;393;512;631;732;813;868;898;906;902;893;876;859;834;809;787;766;745;724;703;686;690;673;673;</t>
  </si>
  <si>
    <t>178;302;394;491;550;602;656;681;701;701;696;694;687;690;685;683;681;674;681;678;676;674;678;683;683;</t>
  </si>
  <si>
    <t>114;245;368;482;601;694;762;800;817;821;809;796;775;754;737;715;698;690;682;665;648;643;648;639;639;</t>
  </si>
  <si>
    <t>178;302;399;493;543;611;674;692;701;699;699;692;685;687;678;681;683;676;674;667;681;681;692;669;669;</t>
  </si>
  <si>
    <t>118;245;368;478;588;690;749;779;796;796;787;771;745;724;703;690;677;665;652;639;631;622;626;618;618;</t>
  </si>
  <si>
    <t>178;304;399;491;543;604;678;699;701;701;692;692;687;685;681;676;681;676;676;674;672;676;663;685;685;</t>
  </si>
  <si>
    <t>110;241;368;482;593;677;741;779;792;792;779;762;741;724;703;686;673;665;652;635;622;618;622;618;618;</t>
  </si>
  <si>
    <t>169;295;396;482;518;568;642;672;681;699;701;696;701;694;692;687;685;685;678;683;678;676;672;678;678;</t>
  </si>
  <si>
    <t>118;237;360;478;597;707;792;847;868;876;893;881;855;830;809;787;762;741;720;703;698;682;690;669;669;</t>
  </si>
  <si>
    <t>182;306;410;500;545;599;651;690;699;696;701;694;694;687;683;683;672;674;678;674;672;665;678;649;649;</t>
  </si>
  <si>
    <t>105;228;351;465;580;673;737;779;800;804;787;771;754;728;711;698;677;665;652;643;639;631;643;626;626;</t>
  </si>
  <si>
    <t>182;313;408;500;550;597;660;685;694;699;690;694;692;685;683;676;681;678;674;674;669;674;654;683;683;</t>
  </si>
  <si>
    <t>114;228;351;461;571;665;732;775;787;783;775;762;749;728;703;690;682;665;652;648;639;622;622;622;622;</t>
  </si>
  <si>
    <t>178;313;412;498;536;590;672;701;701;705;696;690;687;678;681;678;678;672;667;676;676;678;660;687;687;</t>
  </si>
  <si>
    <t>110;237;355;461;567;660;720;758;775;775;762;745;724;707;686;673;660;652;643;635;626;618;622;605;605;</t>
  </si>
  <si>
    <t>173;290;387;482;534;581;642;663;678;690;694;701;696;703;696;683;685;681;685;681;678;683;676;687;687;</t>
  </si>
  <si>
    <t>114;241;372;487;601;707;792;847;872;889;889;872;855;838;809;783;762;745;728;707;690;677;686;660;660;</t>
  </si>
  <si>
    <t>180;306;410;498;541;599;649;676;692;692;703;701;699;692;681;685;678;676;681;674;676;669;685;660;660;</t>
  </si>
  <si>
    <t>110;228;351;465;580;673;745;787;809;813;804;787;766;745;724;707;690;669;660;652;648;635;639;618;618;</t>
  </si>
  <si>
    <t>180;304;403;498;543;604;660;683;694;692;699;690;687;687;678;681;678;678;678;672;678;672;690;654;654;</t>
  </si>
  <si>
    <t>114;237;355;465;576;673;741;775;792;796;787;771;749;732;715;703;686;669;660;652;643;639;635;635;635;</t>
  </si>
  <si>
    <t>ITP_CELDA_YASKAWA_02</t>
  </si>
  <si>
    <t>80;80;310;310;554;554;764;764;802;802;802;802;786;786;782;782;775;775;775;775;782;782;786;786;766;</t>
  </si>
  <si>
    <t>21;21;25;25;21;21;25;25;21;21;21;21;21;21;29;29;29;29;25;25;29;29;33;33;25;</t>
  </si>
  <si>
    <t>89;89;330;330;592;592;755;755;806;806;802;802;788;788;770;770;773;773;775;775;779;779;791;791;762;</t>
  </si>
  <si>
    <t>12;12;25;25;25;25;33;33;29;29;25;25;29;29;25;25;33;33;25;25;29;29;29;29;42;</t>
  </si>
  <si>
    <t>84;84;328;328;576;576;759;759;808;808;802;802;788;788;777;777;773;773;773;773;775;775;786;786;773;</t>
  </si>
  <si>
    <t>21;21;21;21;25;25;25;25;25;25;21;21;25;25;33;33;29;29;29;29;21;21;25;25;25;</t>
  </si>
  <si>
    <t>80;80;324;324;585;585;764;764;822;822;811;811;788;788;775;775;768;768;777;777;779;779;782;782;748;</t>
  </si>
  <si>
    <t>21;21;21;21;21;21;25;25;25;25;25;25;29;29;21;21;25;25;25;25;25;25;25;25;25;</t>
  </si>
  <si>
    <t>113;113;368;368;594;594;706;706;766;766;786;786;784;784;782;782;775;775;782;782;782;782;791;791;759;</t>
  </si>
  <si>
    <t>25;25;21;21;25;25;33;33;25;25;25;25;29;29;25;25;21;21;25;25;25;25;33;33;21;</t>
  </si>
  <si>
    <t>116;116;382;382;607;607;728;728;784;784;791;791;788;788;777;777;777;777;775;775;766;766;755;755;793;</t>
  </si>
  <si>
    <t>25;25;21;21;25;25;25;25;25;25;29;29;29;29;29;29;29;29;29;29;25;25;29;29;29;</t>
  </si>
  <si>
    <t>113;113;386;386;630;630;724;724;779;779;795;795;779;779;779;779;775;775;777;777;777;777;775;775;782;</t>
  </si>
  <si>
    <t>21;21;25;25;25;25;25;25;16;16;21;21;25;25;38;38;33;33;25;25;25;25;25;25;12;</t>
  </si>
  <si>
    <t>113;113;384;384;598;598;730;730;779;779;795;795;793;793;777;777;775;775;775;775;775;775;775;775;775;</t>
  </si>
  <si>
    <t>29;29;21;21;25;25;25;25;29;29;25;25;25;25;29;29;25;25;29;29;25;25;29;29;25;</t>
  </si>
  <si>
    <t>91;91;324;324;592;592;724;724;797;797;799;799;782;782;775;775;777;777;779;779;784;784;779;779;777;777;791;</t>
  </si>
  <si>
    <t>16;16;25;25;25;25;29;29;21;21;25;25;25;25;25;25;25;25;25;25;25;25;21;21;29;29;29;</t>
  </si>
  <si>
    <t>107;107;359;359;614;614;719;719;786;786;791;791;786;786;782;782;770;770;775;775;777;777;782;782;782;782;770;</t>
  </si>
  <si>
    <t>21;21;25;25;21;21;25;25;29;29;25;25;25;25;25;25;25;25;29;29;25;25;25;25;25;25;25;</t>
  </si>
  <si>
    <t>107;107;364;364;623;623;721;721;788;788;795;795;782;782;775;775;768;768;777;777;782;782;775;775;775;775;779;</t>
  </si>
  <si>
    <t>21;21;21;21;25;25;25;25;21;21;25;25;12;12;25;25;21;21;25;25;25;25;33;33;33;33;38;</t>
  </si>
  <si>
    <t>107;107;370;370;623;623;715;715;788;788;804;804;793;793;773;773;777;777;770;770;782;782;773;773;775;775;793;</t>
  </si>
  <si>
    <t>16;16;21;21;29;29;25;25;29;29;29;29;21;21;25;25;25;25;21;21;25;25;25;25;29;29;38;</t>
  </si>
  <si>
    <t>84;84;308;308;607;607;822;822;871;871;860;860;840;840;833;833;835;835;837;837;824;824;815;815;846;</t>
  </si>
  <si>
    <t>29;29;25;25;29;29;25;25;16;16;25;25;16;16;16;16;25;25;25;25;29;29;25;25;29;</t>
  </si>
  <si>
    <t>82;82;328;328;621;621;835;835;882;882;864;864;840;840;820;820;831;831;829;829;831;831;844;844;826;</t>
  </si>
  <si>
    <t>25;25;21;21;25;25;16;16;25;25;33;33;25;25;29;29;25;25;21;21;12;12;33;33;21;</t>
  </si>
  <si>
    <t>89;89;332;332;614;614;829;829;875;875;862;862;844;844;826;826;820;820;833;833;826;826;842;842;806;</t>
  </si>
  <si>
    <t>21;21;25;25;25;25;25;25;25;25;21;21;21;21;21;21;21;21;16;16;25;25;25;25;21;</t>
  </si>
  <si>
    <t>91;91;335;335;607;607;844;844;884;884;867;867;840;840;831;831;829;829;822;822;826;826;813;813;840;</t>
  </si>
  <si>
    <t>21;21;29;29;25;25;25;25;25;25;29;29;21;21;25;25;21;21;29;29;29;29;33;33;29;</t>
  </si>
  <si>
    <t>109;109;364;364;620;620;812;812;875;875;885;885;866;866;866;866;848;848;857;857;857;857;857;857;866;</t>
  </si>
  <si>
    <t>21;21;16;16;16;16;16;16;12;12;21;21;12;12;12;12;12;12;16;16;25;25;16;16;8;</t>
  </si>
  <si>
    <t>118;118;392;392;629;629;802;802;866;866;875;875;875;875;866;866;848;848;875;875;866;866;866;866;821;</t>
  </si>
  <si>
    <t>25;25;16;16;12;12;21;21;16;16;12;12;21;21;16;16;12;12;16;16;8;8;21;21;21;</t>
  </si>
  <si>
    <t>118;118;392;392;656;656;775;775;866;866;875;875;866;866;848;848;875;875;866;866;866;866;885;885;875;</t>
  </si>
  <si>
    <t>25;25;25;25;21;21;16;16;12;12;8;8;12;12;8;8;8;8;16;16;12;12;16;16;16;</t>
  </si>
  <si>
    <t>127;127;410;410;611;611;812;812;875;875;875;875;875;875;857;857;848;848;857;857;866;866;866;866;830;</t>
  </si>
  <si>
    <t>16;16;25;25;21;21;21;21;8;8;12;12;12;12;8;8;12;12;8;8;12;12;12;12;25;</t>
  </si>
  <si>
    <t>82;82;321;321;627;627;791;791;867;867;853;853;829;829;817;817;811;811;822;822;820;820;829;829;846;846;</t>
  </si>
  <si>
    <t>21;21;21;21;21;21;25;25;25;25;21;21;21;21;21;21;25;25;25;25;21;21;25;25;25;25;</t>
  </si>
  <si>
    <t>89;89;339;339;645;645;797;797;855;855;851;851;826;826;820;820;815;815;813;813;824;824;822;822;831;831;</t>
  </si>
  <si>
    <t>25;25;16;16;25;25;25;25;21;21;25;25;21;21;33;33;25;25;25;25;25;25;25;25;21;21;</t>
  </si>
  <si>
    <t>89;89;339;339;654;654;799;799;867;867;837;837;820;820;808;808;813;813;824;824;815;815;824;824;808;808;</t>
  </si>
  <si>
    <t>21;21;25;25;29;29;29;29;25;25;21;21;21;21;25;25;25;25;25;25;25;25;21;21;21;21;</t>
  </si>
  <si>
    <t>84;84;344;344;656;656;802;802;862;862;855;855;829;829;820;820;815;815;804;804;824;824;817;817;826;826;</t>
  </si>
  <si>
    <t>21;21;21;21;21;21;25;25;25;25;25;25;25;25;25;25;25;25;25;25;21;21;25;25;33;33;</t>
  </si>
  <si>
    <t>85;85;326;326;596;596;749;749;792;792;783;783;778;778;771;771;776;776;783;783;778;778;789;789;780;</t>
  </si>
  <si>
    <t>21;21;21;21;25;25;29;29;21;21;25;25;21;21;33;33;29;29;29;29;21;21;12;12;25;</t>
  </si>
  <si>
    <t>92;92;346;346;605;605;753;753;785;785;796;796;778;778;780;780;767;767;780;780;778;778;783;783;756;</t>
  </si>
  <si>
    <t>25;25;25;25;16;16;29;29;29;29;29;29;29;29;29;29;25;25;29;29;25;25;25;25;25;</t>
  </si>
  <si>
    <t>90;90;344;344;612;612;762;762;785;785;778;778;787;787;771;771;780;780;771;771;776;776;760;760;792;</t>
  </si>
  <si>
    <t>21;21;25;25;21;21;21;21;25;25;33;33;25;25;33;33;25;25;29;29;29;29;46;46;33;</t>
  </si>
  <si>
    <t>94;94;344;344;605;605;756;756;796;796;798;798;783;783;780;780;769;769;776;776;780;780;787;787;756;</t>
  </si>
  <si>
    <t>21;21;25;25;29;29;21;21;25;25;21;21;29;29;25;25;21;21;25;25;16;16;29;29;25;</t>
  </si>
  <si>
    <t>91;91;376;376;597;597;808;808;873;873;863;863;882;882;863;863;863;863;854;854;873;873;937;937;937;</t>
  </si>
  <si>
    <t>21;21;16;16;21;21;12;12;8;8;12;12;8;8;21;21;16;16;16;16;12;12;16;16;8;</t>
  </si>
  <si>
    <t>119;119;376;376;689;689;817;817;863;863;882;882;873;873;854;854;854;854;863;863;854;854;882;882;845;</t>
  </si>
  <si>
    <t>16;16;25;25;16;16;16;16;16;16;8;8;29;29;12;12;16;16;16;16;12;12;4;4;21;</t>
  </si>
  <si>
    <t>110;110;395;395;652;652;836;836;873;873;882;882;863;863;854;854;845;845;863;863;863;863;863;863;827;</t>
  </si>
  <si>
    <t>25;25;21;21;21;21;12;12;8;8;16;16;16;16;25;25;12;12;12;12;16;16;21;21;8;</t>
  </si>
  <si>
    <t>110;110;422;422;643;643;836;836;873;873;891;891;873;873;854;854;845;845;845;845;854;854;854;854;854;</t>
  </si>
  <si>
    <t>16;16;21;21;16;16;12;12;16;16;12;12;16;16;21;21;16;16;12;12;12;12;4;4;16;</t>
  </si>
  <si>
    <t>94;94;342;342;634;634;762;762;830;830;825;825;814;814;807;807;805;805;816;816;814;814;814;814;837;837;</t>
  </si>
  <si>
    <t>21;21;25;25;25;25;29;29;21;21;16;16;25;25;21;21;21;21;25;25;25;25;25;25;25;25;</t>
  </si>
  <si>
    <t>108;108;366;366;639;639;762;762;825;825;834;834;816;816;810;810;810;810;801;801;810;810;807;807;812;812;</t>
  </si>
  <si>
    <t>25;25;25;25;21;21;29;29;25;25;25;25;21;21;29;29;29;29;21;21;25;25;25;25;29;29;</t>
  </si>
  <si>
    <t>103;103;364;364;648;648;762;762;837;837;830;830;816;816;798;798;803;803;812;812;810;810;812;812;825;825;</t>
  </si>
  <si>
    <t>21;21;29;29;21;21;29;29;25;25;25;25;29;29;21;21;25;25;21;21;25;25;29;29;33;33;</t>
  </si>
  <si>
    <t>110;110;380;380;650;650;765;765;828;828;830;830;816;816;812;812;803;803;803;803;805;805;805;805;812;812;</t>
  </si>
  <si>
    <t>25;25;29;29;29;29;29;29;29;29;29;29;25;25;25;25;25;25;25;25;25;25;25;25;29;29;</t>
  </si>
  <si>
    <t>73;73;294;294;606;606;854;854;909;909;900;900;882;882;863;863;854;854;854;854;863;863;873;873;863;</t>
  </si>
  <si>
    <t>29;29;16;16;21;21;12;12;12;12;8;8;12;12;12;12;12;12;12;12;12;12;12;12;21;</t>
  </si>
  <si>
    <t>73;73;294;294;606;606;863;863;909;909;900;900;882;882;873;873;873;873;854;854;854;854;854;854;854;</t>
  </si>
  <si>
    <t>21;21;16;16;12;12;21;21;16;16;16;16;8;8;16;16;16;16;12;12;16;16;12;12;8;</t>
  </si>
  <si>
    <t>73;73;312;312;606;606;854;854;891;891;900;900;891;891;882;882;854;854;863;863;863;863;863;863;827;</t>
  </si>
  <si>
    <t>16;16;25;25;8;8;16;16;12;12;12;12;12;12;12;12;16;16;12;12;12;12;8;8;0;</t>
  </si>
  <si>
    <t>55;55;330;330;578;578;882;882;909;909;891;891;873;873;882;882;863;863;854;854;854;854;863;863;854;</t>
  </si>
  <si>
    <t>25;25;16;16;16;16;21;21;16;16;12;12;16;16;16;16;12;12;16;16;16;16;21;21;12;</t>
  </si>
  <si>
    <t>73;73;294;294;606;606;845;845;918;918;891;891;882;882;854;854;854;854;854;854;854;854;873;873;845;</t>
  </si>
  <si>
    <t>25;25;12;12;21;21;16;16;21;21;16;16;12;12;12;12;16;16;16;16;12;12;16;16;12;</t>
  </si>
  <si>
    <t>55;55;294;294;597;597;882;882;928;928;891;891;891;891;863;863;863;863;863;863;854;854;836;836;882;</t>
  </si>
  <si>
    <t>21;21;25;25;21;21;8;8;16;16;12;12;8;8;12;12;12;12;21;21;8;8;21;21;16;</t>
  </si>
  <si>
    <t>73;73;321;321;588;588;873;873;891;891;891;891;891;891;863;863;863;863;854;854;845;845;827;827;863;</t>
  </si>
  <si>
    <t>21;21;25;25;16;16;12;12;12;12;16;16;16;16;16;16;16;16;12;12;21;21;33;33;8;</t>
  </si>
  <si>
    <t>45;45;303;303;643;643;873;873;909;909;900;900;873;873;863;863;873;873;863;863;863;863;900;900;863;</t>
  </si>
  <si>
    <t>21;21;16;16;21;21;12;12;12;12;12;12;12;12;4;4;12;12;16;16;21;21;21;21;21;</t>
  </si>
  <si>
    <t>55;55;266;266;588;588;863;863;918;918;909;909;882;882;863;863;854;854;863;863;854;854;873;873;854;</t>
  </si>
  <si>
    <t>25;25;21;21;21;21;12;12;16;16;21;21;16;16;12;12;16;16;8;8;12;12;25;25;8;</t>
  </si>
  <si>
    <t>45;45;266;266;569;569;863;863;909;909;900;900;882;882;882;882;873;873;845;845;854;854;845;845;827;</t>
  </si>
  <si>
    <t>21;21;25;25;21;21;16;16;16;16;16;16;25;25;12;12;12;12;16;16;12;12;12;12;12;</t>
  </si>
  <si>
    <t>82;82;312;312;615;615;845;845;891;891;900;900;873;873;863;863;854;854;863;863;863;863;873;873;836;</t>
  </si>
  <si>
    <t>16;16;21;21;16;16;16;16;16;16;16;16;16;16;12;12;25;25;12;12;8;8;12;12;16;</t>
  </si>
  <si>
    <t>64;64;303;303;606;606;863;863;891;891;909;909;882;882;873;873;863;863;845;845;854;854;863;863;854;</t>
  </si>
  <si>
    <t>21;21;21;21;16;16;16;16;12;12;16;16;16;16;16;16;8;8;16;16;8;8;8;8;16;</t>
  </si>
  <si>
    <t>64;64;303;303;588;588;863;863;900;900;891;891;873;873;854;854;863;863;845;845;845;845;827;827;873;</t>
  </si>
  <si>
    <t>21;21;25;25;16;16;16;16;12;12;16;16;16;16;8;8;8;8;16;16;12;12;8;8;12;</t>
  </si>
  <si>
    <t>64;64;284;284;606;606;882;882;918;918;891;891;882;882;873;873;863;863;845;845;854;854;836;836;873;</t>
  </si>
  <si>
    <t>12;12;25;25;16;16;12;12;16;16;12;12;16;16;12;12;12;12;16;16;16;16;16;16;21;</t>
  </si>
  <si>
    <t>82;82;312;312;588;588;845;845;928;928;900;900;891;891;863;863;854;854;854;854;863;863;882;882;827;</t>
  </si>
  <si>
    <t>21;21;16;16;21;21;16;16;16;16;16;16;16;16;12;12;12;12;12;12;0;0;12;12;16;</t>
  </si>
  <si>
    <t>82;82;330;330;578;578;854;854;918;918;918;918;891;891;863;863;854;854;836;836;854;854;845;845;882;</t>
  </si>
  <si>
    <t>25;25;25;25;16;16;12;12;16;16;16;16;16;16;16;16;12;12;4;4;16;16;21;21;21;</t>
  </si>
  <si>
    <t>64;64;275;275;588;588;873;873;928;928;891;891;882;882;863;863;863;863;854;854;845;845;854;854;882;</t>
  </si>
  <si>
    <t>21;21;25;25;16;16;16;16;16;16;12;12;12;12;16;16;16;16;12;12;25;25;12;12;21;</t>
  </si>
  <si>
    <t>45;45;266;266;597;597;854;854;918;918;900;900;882;882;863;863;863;863;863;863;836;836;836;836;854;</t>
  </si>
  <si>
    <t>16;16;25;25;21;21;25;25;21;21;8;8;21;21;12;12;12;12;16;16;16;16;21;21;12;</t>
  </si>
  <si>
    <t>82;82;303;303;615;615;836;836;909;909;909;909;873;873;863;863;863;863;854;854;854;854;827;827;863;</t>
  </si>
  <si>
    <t>21;21;25;25;16;16;16;16;16;16;12;12;21;21;12;12;16;16;12;12;12;12;12;12;21;</t>
  </si>
  <si>
    <t>64;64;303;303;578;578;863;863;918;918;900;900;891;891;863;863;873;873;863;863;845;845;863;863;845;</t>
  </si>
  <si>
    <t>21;21;21;21;21;21;12;12;21;21;12;12;21;21;12;12;16;16;12;12;12;12;12;12;25;</t>
  </si>
  <si>
    <t>82;82;303;303;588;588;836;836;900;900;900;900;882;882;882;882;854;854;854;854;845;845;863;863;854;</t>
  </si>
  <si>
    <t>25;25;25;25;16;16;16;16;12;12;8;8;21;21;4;4;12;12;8;8;25;25;16;16;12;</t>
  </si>
  <si>
    <t>73;73;284;284;588;588;891;891;918;918;900;900;873;873;873;873;863;863;854;854;854;854;863;863;854;</t>
  </si>
  <si>
    <t>21;21;21;21;16;16;16;16;12;12;16;16;8;8;12;12;16;16;12;12;12;12;8;8;42;</t>
  </si>
  <si>
    <t>64;64;303;303;606;606;863;863;909;909;891;891;882;882;845;845;854;854;845;845;845;845;863;863;817;</t>
  </si>
  <si>
    <t>16;16;21;21;16;16;16;16;16;16;12;12;21;21;12;12;16;16;12;12;12;12;8;8;38;</t>
  </si>
  <si>
    <t>73;73;312;312;615;615;873;873;918;918;909;909;863;863;873;873;854;854;854;854;854;854;863;863;845;</t>
  </si>
  <si>
    <t>25;25;21;21;21;21;12;12;16;16;8;8;12;12;16;16;12;12;21;21;12;12;16;16;8;</t>
  </si>
  <si>
    <t>55;55;303;303;615;615;863;863;900;900;891;891;882;882;873;873;863;863;854;854;845;845;836;836;854;</t>
  </si>
  <si>
    <t>16;16;21;21;21;21;16;16;16;16;12;12;12;12;8;8;12;12;25;25;16;16;25;25;16;</t>
  </si>
  <si>
    <t>73;73;284;284;606;606;854;854;900;900;891;891;891;891;873;873;863;863;854;854;845;845;836;836;845;</t>
  </si>
  <si>
    <t>21;21;21;21;16;16;21;21;16;16;12;12;16;16;16;16;8;8;8;8;12;12;16;16;8;</t>
  </si>
  <si>
    <t>73;73;321;321;597;597;845;845;909;909;882;882;882;882;854;854;882;882;854;854;854;854;854;854;882;</t>
  </si>
  <si>
    <t>16;16;21;21;16;16;12;12;21;21;12;12;12;12;16;16;12;12;16;16;16;16;25;25;25;</t>
  </si>
  <si>
    <t>82;82;321;321;615;615;863;863;918;918;900;900;873;873;873;873;854;854;854;854;845;845;827;827;882;</t>
  </si>
  <si>
    <t>25;25;16;16;16;16;21;21;8;8;8;8;12;12;12;12;8;8;21;21;12;12;12;12;16;</t>
  </si>
  <si>
    <t>73;73;312;312;551;551;873;873;900;900;900;900;882;882;863;863;873;873;854;854;854;854;863;863;854;</t>
  </si>
  <si>
    <t>21;21;25;25;21;21;16;16;12;12;12;12;16;16;21;21;16;16;16;16;12;12;8;8;16;</t>
  </si>
  <si>
    <t>73;73;303;303;597;597;873;873;909;909;900;900;854;854;873;873;863;863;854;854;845;845;827;827;873;</t>
  </si>
  <si>
    <t>21;21;21;21;16;16;16;16;16;16;16;16;8;8;12;12;16;16;12;12;12;12;16;16;16;</t>
  </si>
  <si>
    <t>73;73;330;330;578;578;845;845;891;891;882;882;882;882;873;873;863;863;863;863;845;845;836;836;836;</t>
  </si>
  <si>
    <t>21;21;16;16;21;21;16;16;12;12;8;8;12;12;8;8;12;12;16;16;12;12;16;16;21;</t>
  </si>
  <si>
    <t>101;101;330;330;606;606;854;854;909;909;900;900;882;882;863;863;845;845;845;845;854;854;845;845;827;</t>
  </si>
  <si>
    <t>25;25;16;16;21;21;16;16;16;16;16;16;16;16;16;16;8;8;12;12;16;16;21;21;21;</t>
  </si>
  <si>
    <t>55;55;284;284;606;606;873;873;900;900;900;900;873;873;882;882;863;863;854;854;827;827;836;836;863;</t>
  </si>
  <si>
    <t>21;21;21;21;16;16;16;16;12;12;8;8;12;12;8;8;12;12;16;16;21;21;29;29;12;</t>
  </si>
  <si>
    <t>64;64;294;294;588;588;882;882;900;900;909;909;882;882;863;863;863;863;854;854;854;854;863;863;854;</t>
  </si>
  <si>
    <t>25;25;25;25;16;16;16;16;12;12;4;4;8;8;16;16;21;21;16;16;21;21;21;21;16;</t>
  </si>
  <si>
    <t>73;73;321;321;634;634;845;845;891;891;891;891;873;873;863;863;863;863;863;863;854;854;845;845;873;</t>
  </si>
  <si>
    <t>25;25;21;21;16;16;16;16;12;12;8;8;16;16;12;12;12;12;16;16;16;16;25;25;12;</t>
  </si>
  <si>
    <t>64;64;321;321;624;624;845;845;900;900;891;891;873;873;882;882;863;863;854;854;854;854;836;836;882;</t>
  </si>
  <si>
    <t>21;21;21;21;21;21;16;16;16;16;12;12;4;4;16;16;16;16;16;16;21;21;12;12;12;</t>
  </si>
  <si>
    <t>82;82;312;312;606;606;845;845;909;909;900;900;882;882;863;863;863;863;854;854;863;863;873;873;882;</t>
  </si>
  <si>
    <t>12;12;25;25;16;16;12;12;21;21;12;12;25;25;8;8;21;21;16;16;16;16;16;16;16;</t>
  </si>
  <si>
    <t>73;73;303;303;606;606;900;900;909;909;882;882;873;873;854;854;854;854;845;845;854;854;873;873;836;</t>
  </si>
  <si>
    <t>12;12;21;21;21;21;16;16;16;16;12;12;12;12;8;8;12;12;12;12;8;8;8;8;12;</t>
  </si>
  <si>
    <t>73;73;312;312;615;615;873;873;909;909;882;882;873;873;863;863;854;854;863;863;863;863;909;909;863;</t>
  </si>
  <si>
    <t>21;21;25;25;16;16;16;16;16;16;12;12;21;21;8;8;12;12;16;16;21;21;16;16;25;</t>
  </si>
  <si>
    <t>73;73;294;294;615;615;873;873;918;918;891;891;873;873;863;863;845;845;863;863;854;854;863;863;882;</t>
  </si>
  <si>
    <t>25;25;16;16;16;16;12;12;12;12;21;21;4;4;16;16;12;12;16;16;16;16;16;16;12;</t>
  </si>
  <si>
    <t>73;73;303;303;551;551;891;891;909;909;900;900;882;882;873;873;854;854;863;863;863;863;863;863;827;</t>
  </si>
  <si>
    <t>21;21;25;25;21;21;21;21;16;16;12;12;12;12;16;16;12;12;16;16;12;12;21;21;12;</t>
  </si>
  <si>
    <t>64;64;312;312;615;615;863;863;900;900;900;900;873;873;873;873;863;863;845;845;854;854;863;863;863;</t>
  </si>
  <si>
    <t>16;16;21;21;16;16;16;16;16;16;16;16;8;8;8;8;12;12;12;12;16;16;12;12;12;</t>
  </si>
  <si>
    <t>82;82;349;349;588;588;854;854;882;882;891;891;882;882;882;882;863;863;854;854;854;854;845;845;918;</t>
  </si>
  <si>
    <t>16;16;21;21;16;16;21;21;12;12;12;12;16;16;16;16;12;12;4;4;12;12;0;0;16;</t>
  </si>
  <si>
    <t>82;82;321;321;615;615;863;863;918;918;900;900;854;854;873;873;873;873;854;854;836;836;827;827;873;</t>
  </si>
  <si>
    <t>21;21;25;25;16;16;16;16;12;12;25;25;12;12;8;8;16;16;12;12;25;25;12;12;16;</t>
  </si>
  <si>
    <t>91;91;340;340;588;588;863;863;900;900;882;882;863;863;863;863;863;863;863;863;854;854;836;836;845;</t>
  </si>
  <si>
    <t>21;21;16;16;16;16;12;12;16;16;16;16;16;16;25;25;16;16;12;12;12;12;21;21;16;</t>
  </si>
  <si>
    <t>73;73;303;303;606;606;854;854;918;918;900;900;882;882;863;863;854;854;863;863;854;854;863;863;863;</t>
  </si>
  <si>
    <t>16;16;16;16;16;16;16;16;12;12;12;12;12;12;21;21;21;21;8;8;16;16;12;12;8;</t>
  </si>
  <si>
    <t>82;82;321;321;624;624;854;854;900;900;900;900;873;873;854;854;854;854;836;836;873;873;891;891;873;</t>
  </si>
  <si>
    <t>25;25;25;25;16;16;16;16;12;12;21;21;16;16;12;12;12;12;12;12;8;8;16;16;16;</t>
  </si>
  <si>
    <t>82;82;312;312;624;624;873;873;918;918;882;882;873;873;863;863;863;863;845;845;854;854;882;882;845;</t>
  </si>
  <si>
    <t>21;21;25;25;21;21;16;16;16;16;12;12;12;12;16;16;16;16;12;12;12;12;16;16;16;</t>
  </si>
  <si>
    <t>119;119;404;404;661;661;799;799;863;863;863;863;854;854;882;882;863;863;863;863;863;863;918;918;928;</t>
  </si>
  <si>
    <t>21;21;21;21;16;16;16;16;12;12;12;12;12;12;25;25;21;21;16;16;21;21;21;21;16;</t>
  </si>
  <si>
    <t>128;128;413;413;634;634;817;817;854;854;873;873;854;854;863;863;863;863;854;854;854;854;882;882;882;</t>
  </si>
  <si>
    <t>25;25;16;16;21;21;25;25;16;16;12;12;12;12;25;25;12;12;12;12;4;4;16;16;16;</t>
  </si>
  <si>
    <t>119;119;413;413;643;643;836;836;863;863;873;873;863;863;863;863;863;863;845;845;863;863;845;845;882;</t>
  </si>
  <si>
    <t>21;21;21;21;16;16;21;21;12;12;12;12;16;16;16;16;16;16;8;8;16;16;16;16;16;</t>
  </si>
  <si>
    <t>91;91;358;358;624;624;854;854;900;900;891;891;873;873;854;854;845;845;863;863;854;854;845;845;827;</t>
  </si>
  <si>
    <t>21;21;16;16;21;21;12;12;12;12;12;12;12;12;12;12;16;16;12;12;12;12;16;16;12;</t>
  </si>
  <si>
    <t>Expulsion Interior</t>
  </si>
  <si>
    <t>Espulsion interior</t>
  </si>
  <si>
    <t>Indicaciones en macroinspeccion</t>
  </si>
  <si>
    <t>Expulsion entre laminas</t>
  </si>
  <si>
    <t>TAMANO CAVIDAD (Nimonic 75)</t>
  </si>
  <si>
    <t>0;0;62;62;383;383;505;505;523;523;512;512;507;507;477;</t>
  </si>
  <si>
    <t>84;84;271;271;563;563;732;732;745;745;690;690;665;665;626;</t>
  </si>
  <si>
    <t>64;64;282;282;576;576;695;695;725;725;707;707;693;693;686;686;682;682;688;688;691;691;691;691;693;693;695;695;691;691;684;684;691;691;695;695;688;</t>
  </si>
  <si>
    <t>93;93;326;326;648;648;868;868;927;927;893;893;872;872;851;851;847;847;843;843;838;838;838;838;821;821;821;821;809;809;796;796;792;792;783;783;783;</t>
  </si>
  <si>
    <t>65;65;262;262;806;806;965;965;918;918;900;900;881;881;909;</t>
  </si>
  <si>
    <t>131;131;453;453;889;889;1092;1092;1088;1088;1033;1033;1020;1020;987;</t>
  </si>
  <si>
    <t>78;78;264;264;762;762;891;891;863;863;835;835;812;812;840;</t>
  </si>
  <si>
    <t>118;118;427;427;830;830;1025;1025;1020;1020;970;970;948;948;953;</t>
  </si>
  <si>
    <t>93;93;328;328;825;825;1003;1003;965;965;965;965;</t>
  </si>
  <si>
    <t>139;139;487;487;919;919;1152;1152;1156;1156;1148;1148;</t>
  </si>
  <si>
    <t>93;93;365;365;815;815;994;994;1031;1031;975;</t>
  </si>
  <si>
    <t>148;148;499;499;931;931;1164;1164;1207;1207;1190;</t>
  </si>
  <si>
    <t>39;39;222;222;539;539;679;679;714;714;693;693;665;665;665;665;668;668;665;665;663;663;668;668;672;672;672;672;668;668;670;670;668;668;675;675;668;668;670;670;665;665;</t>
  </si>
  <si>
    <t>110;110;368;368;749;749;999;999;1059;1059;1042;1042;999;999;995;995;991;991;987;987;982;982;978;978;978;978;965;965;961;961;953;953;940;940;931;931;923;923;919;919;931;931;</t>
  </si>
  <si>
    <t>34;34;206;206;493;493;613;613;640;640;636;636;626;626;617;617;613;613;613;613;615;615;615;615;617;617;613;613;620;620;617;617;620;620;620;620;613;613;622;622;617;617;</t>
  </si>
  <si>
    <t>88;88;313;313;660;660;889;889;965;965;961;961;927;927;906;906;898;898;889;889;885;885;889;889;881;881;885;885;881;881;868;868;864;864;855;855;855;855;847;847;826;826;</t>
  </si>
  <si>
    <t>84;84;281;281;750;750;928;928;918;918;890;890;890;890;890;</t>
  </si>
  <si>
    <t>131;131;449;449;898;898;1164;1164;1190;1190;1139;1139;1131;1131;1105;</t>
  </si>
  <si>
    <t>84;84;318;318;740;740;909;909;937;937;918;918;</t>
  </si>
  <si>
    <t>127;127;453;453;902;902;1143;1143;1186;1186;1169;1169;</t>
  </si>
  <si>
    <t>20;20;174;174;450;450;622;622;643;643;640;640;631;631;631;631;626;626;633;633;624;624;638;638;622;</t>
  </si>
  <si>
    <t>97;97;334;334;703;703;957;957;1050;1050;1050;1050;1016;1016;982;982;948;948;919;919;893;893;889;889;864;</t>
  </si>
  <si>
    <t>27;27;190;190;452;452;585;585;613;613;617;617;608;608;606;606;606;606;613;613;601;601;615;615;603;</t>
  </si>
  <si>
    <t>93;93;313;313;648;648;881;881;974;974;991;991;961;961;936;936;906;906;885;885;864;864;855;855;847;</t>
  </si>
  <si>
    <t>39;39;225;225;500;500;679;679;695;695;691;691;688;688;684;684;682;682;670;670;</t>
  </si>
  <si>
    <t>105;105;364;364;732;732;987;987;1059;1059;1037;1037;1012;1012;974;974;936;936;936;936;</t>
  </si>
  <si>
    <t>55;55;259;259;590;590;732;732;767;767;748;748;725;725;716;716;718;718;723;723;716;716;721;721;718;718;727;727;723;723;723;723;718;718;716;716;721;721;723;723;721;721;</t>
  </si>
  <si>
    <t>105;105;381;381;758;758;1004;1004;1071;1071;1042;1042;999;999;978;978;970;970;970;970;957;957;957;957;944;944;936;936;931;931;923;923;910;910;902;902;893;893;889;889;893;893;</t>
  </si>
  <si>
    <t>84;84;365;365;731;731;890;890;937;937;900;900;862;862;881;881;862;862;881;881;872;872;881;881;872;872;872;872;853;853;</t>
  </si>
  <si>
    <t>127;127;449;449;864;864;1122;1122;1177;1177;1126;1126;1080;1080;1054;1054;1033;1033;1033;1033;1025;1025;1020;1020;1008;1008;991;991;982;982;</t>
  </si>
  <si>
    <t>75;75;346;346;647;647;928;928;947;947;918;918;881;881;862;862;862;862;834;834;881;881;890;890;872;</t>
  </si>
  <si>
    <t>127;127;453;453;885;885;1177;1177;1215;1215;1148;1148;1080;1080;1046;1046;1033;1033;1033;1033;1029;1029;1020;1020;1025;</t>
  </si>
  <si>
    <t>25;25;188;188;470;470;631;631;633;633;631;631;629;629;636;636;629;629;626;626;626;626;610;610;643;</t>
  </si>
  <si>
    <t>88;88;321;321;673;673;910;910;978;978;982;982;957;957;936;936;902;902;876;876;855;855;847;847;851;</t>
  </si>
  <si>
    <t>45;45;243;243;516;516;670;670;695;695;693;693;686;686;679;679;677;677;677;677;679;679;682;682;659;</t>
  </si>
  <si>
    <t>105;105;351;351;698;698;940;940;1016;1016;1012;1012;982;982;944;944;919;919;885;885;864;864;864;864;855;</t>
  </si>
  <si>
    <t>11;11;158;158;415;415;608;608;624;624;594;594;587;587;574;574;574;574;576;576;576;576;578;578;569;</t>
  </si>
  <si>
    <t>88;88;313;313;643;643;843;843;881;881;821;821;766;766;728;728;694;694;673;673;652;652;643;643;631;</t>
  </si>
  <si>
    <t>6;6;119;119;374;374;562;562;567;567;541;541;535;535;521;521;525;525;521;521;523;523;528;528;521;</t>
  </si>
  <si>
    <t>84;84;309;309;626;626;821;821;847;847;796;796;745;745;703;703;673;673;652;652;635;635;631;631;622;</t>
  </si>
  <si>
    <t>13;13;82;82;479;479;613;613;610;610;597;597;585;585;576;576;592;</t>
  </si>
  <si>
    <t>97;97;321;321;669;669;872;872;885;885;830;830;787;787;737;737;745;</t>
  </si>
  <si>
    <t>22;22;144;144;484;484;610;610;601;601;603;603;</t>
  </si>
  <si>
    <t>88;88;296;296;622;622;800;800;813;813;804;804;</t>
  </si>
  <si>
    <t>34;34;156;156;567;567;686;686;700;700;695;695;686;686;682;682;663;</t>
  </si>
  <si>
    <t>110;110;377;377;754;754;999;999;1059;1059;1025;1025;987;987;953;953;953;</t>
  </si>
  <si>
    <t>0;0;34;34;165;165;360;360;388;388;378;378;367;367;378;378;367;367;369;369;367;367;374;374;369;</t>
  </si>
  <si>
    <t>72;72;211;211;474;474;703;703;783;783;783;783;754;754;732;732;703;703;690;690;673;673;677;677;652;</t>
  </si>
  <si>
    <t>36;36;169;169;585;585;684;684;688;688;688;688;675;675;698;</t>
  </si>
  <si>
    <t>101;101;364;364;737;737;961;961;1016;1016;999;999;982;982;974;</t>
  </si>
  <si>
    <t>39;39;195;195;567;567;684;684;700;700;688;688;</t>
  </si>
  <si>
    <t>105;105;372;372;741;741;961;961;1012;1012;995;995;</t>
  </si>
  <si>
    <t>1.6</t>
  </si>
  <si>
    <t>0.55</t>
  </si>
  <si>
    <t>1.2</t>
  </si>
  <si>
    <t>0.9</t>
  </si>
  <si>
    <t>69;139;230;349;424;464;498;507;516;511;500;496;491;487;482;480;475;471;475;478;475;475;471;478;478;</t>
  </si>
  <si>
    <t>105;211;300;372;432;474;499;508;499;487;461;432;415;393;385;372;360;351;343;338;334;326;330;321;321;</t>
  </si>
  <si>
    <t>Prog =  32</t>
  </si>
  <si>
    <t>20;40;83;146;196;232;259;270;277;279;275;272;272;272;272;270;268;270;272;275;275;277;279;277;277;279;279;275;277;279;279;277;272;275;279;279;281;277;275;277;279;279;275;277;277;275;277;277;275;275;277;279;277;277;284;279;272;275;279;279;277;279;277;279;277;279;272;270;277;281;281;281;275;279;277;279;279;275;277;277;279;281;275;277;279;277;275;275;284;281;275;277;275;275;272;277;277;272;275;277;272;277;277;277;277;275;277;275;272;275;279;277;272;277;275;275;277;277;277;277;277;279;279;284;284;</t>
  </si>
  <si>
    <t>50;101;152;211;283;347;393;423;440;453;465;474;478;482;482;491;495;499;504;512;512;508;516;512;512;516;512;508;508;508;504;499;499;499;499;495;495;495;491;491;491;482;482;482;482;478;478;474;474;474;474;470;470;470;465;465;461;457;453;449;453;449;444;440;436;436;436;444;440;436;436;436;432;423;419;423;419;419;415;410;410;410;410;410;406;406;402;402;398;398;398;393;393;393;389;385;389;389;389;385;385;385;385;385;381;381;381;381;377;377;377;372;372;372;368;364;364;368;368;368;368;360;372;364;364;</t>
  </si>
  <si>
    <t>20;47;94;151;200;236;263;277;277;279;279;275;272;275;270;268;270;275;272;270;275;275;275;272;275;279;275;275;277;281;279;270;275;277;275;277;277;277;277;277;277;275;277;279;275;275;275;277;275;275;279;277;275;275;277;279;277;277;277;277;279;279;281;277;275;281;277;272;277;275;275;272;277;279;277;277;277;275;275;277;281;277;277;279;277;275;275;281;279;275;279;279;277;275;275;277;272;275;279;277;277;277;277;270;270;279;277;275;275;279;279;270;272;279;275;275;275;277;275;272;277;275;279;268;268;</t>
  </si>
  <si>
    <t>55;101;152;207;271;330;372;398;415;427;440;444;444;444;453;461;461;465;465;465;465;474;478;478;482;482;482;482;478;482;478;470;474;474;474;474;474;470;465;465;465;461;461;465;457;449;453;457;449;444;453;453;453;444;453;449;444;444;444;453;449;440;440;440;440;436;436;436;432;432;427;427;432;427;432;432;423;423;427;427;423;419;419;432;427;415;410;415;415;415;410;406;406;402;402;402;398;398;398;398;393;389;389;393;393;389;385;389;389;385;381;385;389;385;385;385;385;385;385;377;381;385;393;381;381;</t>
  </si>
  <si>
    <t>2;11;42;96;151;202;245;277;290;288;290;290;284;284;281;284;281;275;277;279;279;277;281;281;277;277;277;279;279;281;284;277;275;279;277;279;279;279;277;275;279;281;279;275;277;279;279;277;277;277;277;277;277;275;275;279;279;277;272;277;281;277;275;277;277;277;275;279;279;275;277;277;275;277;277;279;275;272;275;275;277;279;281;279;277;277;277;277;277;272;272;270;270;279;279;277;279;279;277;277;279;275;275;275;277;279;275;275;277;275;275;277;277;277;275;277;277;275;277;277;277;277;279;275;275;</t>
  </si>
  <si>
    <t>76;148;211;300;393;478;542;584;610;618;618;618;618;614;610;601;597;588;584;584;584;580;571;567;563;559;559;559;550;538;538;542;529;525;525;521;521;516;516;512;508;508;504;499;499;499;499;495;487;487;487;482;482;478;478;482;482;474;470;470;465;461;461;457;449;449;449;444;449;449;444;440;440;440;440;440;436;436;432;423;427;432;427;423;419;423;423;415;415;410;406;410;406;410;402;398;406;402;398;398;393;393;389;393;389;389;385;385;385;381;381;385;385;381;381;381;377;368;372;377;377;372;377;372;372;</t>
  </si>
  <si>
    <t>2;13;47;101;155;205;243;268;286;290;286;288;286;281;279;284;281;277;277;279;281;279;279;284;277;275;279;279;279;279;281;279;277;279;281;279;277;275;279;277;277;279;277;279;279;279;277;275;279;279;277;275;275;279;275;277;279;275;277;277;279;277;272;281;279;275;277;277;277;275;277;279;275;281;284;277;275;275;277;275;272;277;277;277;277;277;279;275;277;277;279;279;275;279;277;277;279;275;277;279;281;277;277;277;279;277;275;277;279;275;275;277;277;275;272;277;275;277;277;272;275;275;275;284;284;</t>
  </si>
  <si>
    <t>72;139;207;292;385;470;533;588;618;622;626;622;614;605;605;601;593;584;576;576;576;567;563;559;554;550;546;542;538;533;533;533;529;521;516;516;512;508;516;508;499;499;499;499;495;495;491;487;487;487;482;478;478;478;474;474;474;470;465;461;470;470;461;461;461;457;453;453;453;453;449;449;449;444;444;444;444;436;427;427;427;427;432;427;432;432;427;419;415;410;410;419;427;423;410;410;410;415;406;402;402;406;406;398;398;406;398;393;398;398;393;393;393;389;389;389;389;385;385;389;381;377;389;381;381;</t>
  </si>
  <si>
    <t>0;11;45;103;162;212;250;272;281;288;281;277;279;277;277;275;281;281;279;284;284;288;284;281;281;279;279;281;281;279;272;277;277;277;281;281;279;279;279;279;270;272;281;279;277;277;279;279;277;279;277;277;277;279;279;275;277;279;279;279;277;277;279;277;279;279;277;277;279;279;277;281;281;275;277;277;277;277;277;279;277;275;277;277;277;275;277;277;275;275;277;277;272;275;279;277;275;277;279;277;275;279;279;277;279;279;277;277;279;279;275;275;277;277;277;277;279;270;270;279;279;277;270;277;277;</t>
  </si>
  <si>
    <t>72;148;216;300;389;465;529;567;593;605;614;614;618;618;618;614;614;610;605;605;597;597;593;584;584;576;567;567;559;554;542;538;538;533;533;529;529;521;516;516;516;512;508;508;504;499;495;499;487;482;482;482;482;478;474;465;465;465;461;461;457;449;449;453;444;440;444;440;436;440;432;427;427;423;423;423;419;419;415;415;415;406;406;410;410;406;406;406;398;398;402;398;398;398;393;389;389;389;389;389;389;385;385;385;381;381;377;372;377;372;372;372;368;372;372;372;368;368;364;364;377;372;372;364;364;</t>
  </si>
  <si>
    <t>4;13;49;106;155;200;243;270;279;284;288;286;284;281;284;281;279;281;281;279;279;281;281;277;281;284;284;281;277;272;275;281;284;279;279;279;279;281;277;281;281;275;275;275;277;277;277;279;275;277;277;277;277;277;279;275;277;279;277;277;275;277;279;277;275;275;277;277;277;279;277;275;277;277;277;275;279;277;272;277;279;279;275;275;279;281;279;277;275;275;272;277;279;275;277;277;275;277;275;277;275;275;279;277;275;277;281;281;272;270;277;277;270;272;279;277;272;275;272;275;277;279;277;281;281;</t>
  </si>
  <si>
    <t>84;135;199;288;377;457;525;567;593;610;618;618;614;605;601;597;593;588;584;576;571;571;559;559;554;554;546;542;542;538;529;525;525;521;516;512;508;508;504;495;491;495;491;495;495;487;482;482;482;478;478;478;474;470;474;474;474;470;465;461;457;457;457;457;449;449;457;453;449;453;453;449;440;440;436;440;444;440;436;427;423;419;423;427;423;419;419;423;419;419;415;410;410;410;406;410;410;406;402;402;402;393;398;398;398;398;393;398;393;389;385;389;389;389;389;385;385;385;377;372;385;385;393;381;381;</t>
  </si>
  <si>
    <t>4;18;56;110;160;207;241;263;277;286;290;288;286;288;286;284;281;284;281;275;277;277;275;279;279;279;281;281;281;284;279;275;277;275;275;279;279;275;277;279;277;277;277;279;279;275;275;277;277;277;279;277;275;279;275;275;277;277;277;275;279;279;277;275;275;279;277;277;279;279;279;275;277;277;272;279;281;281;279;277;277;275;275;277;277;275;275;277;275;275;279;277;275;277;277;279;277;275;277;275;275;275;277;277;275;277;277;275;275;275;277;277;277;279;277;277;279;275;275;272;275;275;284;270;270;</t>
  </si>
  <si>
    <t>67;135;203;283;372;453;521;563;593;614;614;614;610;601;597;588;584;580;571;559;546;546;550;542;542;542;533;538;533;525;516;512;512;504;504;504;499;499;495;495;491;482;482;487;478;478;478;478;478;474;474;470;474;474;470;470;465;461;461;457;457;457;457;453;449;449;444;444;444;440;436;436;436;432;432;436;432;427;432;423;423;427;423;419;419;415;415;415;415;415;415;415;410;415;410;410;410;402;402;406;406;402;398;398;398;393;385;385;393;393;389;389;389;389;389;385;385;385;385;385;381;381;385;385;385;</t>
  </si>
  <si>
    <t>11;27;65;126;184;225;252;266;270;272;272;277;277;275;277;279;279;279;279;279;275;275;281;279;281;279;279;281;279;277;277;281;279;275;277;279;279;279;275;275;277;279;277;275;279;279;277;279;279;279;277;277;279;275;277;277;279;279;277;277;279;277;277;279;277;272;277;277;272;272;277;277;275;272;275;275;275;279;279;275;275;277;279;275;275;277;277;275;275;279;277;272;275;275;275;275;279;279;275;272;275;277;277;277;279;277;275;279;279;275;272;277;275;272;277;279;277;275;275;277;277;277;275;277;277;</t>
  </si>
  <si>
    <t>67;122;182;249;326;398;453;495;529;542;546;559;559;563;571;567;567;563;559;567;559;563;559;554;559;554;550;546;542;538;533;533;525;521;521;516;512;508;508;512;499;491;495;482;478;487;491;487;482;482;478;474;474;474;474;470;470;465;461;453;449;453;453;453;449;453;449;449;449;444;440;436;436;440;436;432;427;427;427;423;423;427;427;423;423;419;419;419;419;415;415;406;415;415;406;406;406;406;402;402;406;402;402;398;393;398;393;393;393;389;389;389;389;389;389;389;385;381;385;385;385;385;389;385;385;</t>
  </si>
  <si>
    <t>15;27;69;130;180;225;254;261;263;270;270;270;270;272;277;277;275;277;281;275;275;284;279;281;281;284;284;277;281;286;281;277;277;279;277;277;279;275;277;279;277;275;277;284;281;275;277;279;279;277;279;275;272;279;277;277;275;275;277;277;277;277;277;277;275;277;277;275;279;277;272;275;277;277;275;275;277;275;275;277;277;277;275;279;277;275;275;277;279;275;275;281;277;275;275;277;277;275;279;277;275;277;279;279;272;275;277;275;272;275;277;277;279;281;275;270;272;272;275;277;277;275;279;272;272;</t>
  </si>
  <si>
    <t>63;122;182;245;317;381;444;491;516;542;554;563;576;580;584;584;580;580;571;571;580;576;567;567;567;563;550;546;542;538;533;529;525;521;516;516;512;508;512;508;499;499;495;495;495;495;491;487;487;487;487;478;474;478;478;474;474;470;465;465;457;461;457;457;457;453;453;449;449;449;453;453;449;444;436;436;436;436;440;432;432;432;427;432;432;427;423;423;423;423;419;415;410;410;419;419;410;410;410;410;406;406;406;402;402;398;398;398;393;393;393;393;393;389;393;389;389;389;385;389;389;389;389;389;389;</t>
  </si>
  <si>
    <t>6;24;67;126;180;223;250;259;266;275;272;270;277;277;277;279;279;281;277;277;281;279;277;279;281;281;277;277;277;275;277;281;281;277;275;277;277;279;279;279;275;270;281;279;277;279;277;277;277;277;279;277;275;275;279;279;277;277;275;275;277;277;275;272;277;279;277;279;279;277;275;275;277;275;275;275;277;275;275;279;275;275;277;277;277;277;277;277;272;277;279;281;277;272;277;275;272;281;281;277;275;275;277;275;281;284;275;275;277;279;275;275;277;277;277;275;277;277;272;275;279;277;279;272;272;</t>
  </si>
  <si>
    <t>76;139;186;249;330;406;461;508;538;554;563;571;580;584;584;584;584;580;580;576;571;571;563;559;554;554;542;538;538;538;538;529;521;516;516;516;512;508;504;504;499;495;495;495;491;487;487;482;482;482;482;482;478;474;470;474;470;465;465;465;461;470;465;461;461;453;453;453;453;453;449;449;449;444;444;440;440;436;432;436;427;427;427;432;427;423;423;423;419;423;427;423;415;415;415;410;410;415;415;415;406;402;402;402;402;398;402;398;393;389;389;393;393;393;389;389;389;389;385;385;393;393;389;393;393;</t>
  </si>
  <si>
    <t>2;13;49;106;155;202;239;266;281;288;286;284;284;284;281;275;279;279;277;281;279;279;281;281;284;281;279;281;279;277;277;284;281;277;279;281;277;277;279;277;275;279;281;279;279;277;277;277;275;277;277;277;279;279;277;275;279;279;277;279;279;279;272;275;281;279;277;277;277;277;275;277;279;277;277;277;279;279;279;277;272;275;279;281;279;272;279;277;275;277;279;279;275;275;279;275;270;275;277;275;279;284;277;275;275;272;275;279;279;279;272;272;279;277;277;275;275;275;275;281;279;277;268;279;279;</t>
  </si>
  <si>
    <t>67;131;199;271;360;449;512;567;597;605;614;610;605;605;605;597;593;593;588;588;580;571;571;563;559;554;550;550;546;538;538;538;538;529;525;521;508;508;508;504;504;499;495;491;482;487;487;482;491;491;482;478;474;465;461;465;465;465;465;453;444;449;449;449;444;444;444;440;440;436;432;436;432;432;427;423;423;423;419;419;415;419;410;410;415;402;402;406;406;406;402;398;398;398;402;398;393;393;393;389;385;389;389;389;385;385;381;381;377;377;377;377;372;372;368;368;368;372;372;368;364;364;368;368;368;</t>
  </si>
  <si>
    <t>2;11;51;108;160;212;241;261;281;286;284;281;284;281;277;277;279;281;284;279;279;277;277;281;281;284;279;277;279;281;281;281;277;270;275;281;277;275;277;279;277;275;277;277;277;279;279;279;277;277;277;272;275;279;277;275;277;281;277;275;279;277;275;279;281;275;272;277;277;277;279;279;279;277;275;279;279;281;277;277;279;275;277;279;277;277;277;279;277;275;279;275;275;277;279;279;275;277;277;275;277;275;275;275;277;279;275;275;277;275;275;275;279;277;275;277;275;275;275;277;279;275;277;270;270;</t>
  </si>
  <si>
    <t>67;131;190;262;351;432;504;542;567;584;593;597;597;593;580;584;580;571;571;571;567;559;546;550;554;542;542;538;533;533;533;525;516;512;512;504;504;504;504;499;495;491;491;491;487;478;482;487;482;478;474;470;465;465;465;461;461;461;457;457;457;457;453;449;444;444;449;444;440;440;440;440;440;436;436;432;432;432;427;427;427;423;423;423;415;415;419;419;415;415;410;410;410;406;406;406;402;393;393;398;398;398;393;393;393;393;393;385;385;385;393;389;385;385;381;381;381;377;377;377;377;377;381;377;377;</t>
  </si>
  <si>
    <t>2;9;40;101;157;207;248;270;279;284;286;286;279;279;279;277;279;281;281;281;279;284;281;281;284;281;281;279;281;286;284;284;284;279;279;279;281;279;277;279;277;277;277;279;279;277;279;281;281;277;277;279;277;277;279;279;279;277;279;277;275;279;279;277;279;284;284;277;277;281;279;277;275;277;277;275;279;275;272;272;272;272;275;279;284;279;277;279;279;272;272;277;275;277;279;277;277;272;275;277;275;275;275;277;275;272;277;277;275;277;279;277;272;275;279;277;277;277;275;272;275;279;277;279;279;</t>
  </si>
  <si>
    <t>63;148;220;300;389;470;533;576;605;618;622;626;626;618;610;614;618;610;605;605;605;597;588;588;580;571;567;563;554;554;546;542;538;533;533;529;525;525;516;512;508;508;504;499;499;495;491;491;487;482;478;478;474;470;474;470;461;457;457;457;449;449;449;444;444;440;436;436;432;432;427;423;427;432;427;419;415;410;410;410;406;410;415;406;402;406;398;402;402;398;393;385;385;389;393;393;385;381;385;389;385;377;377;372;368;372;377;377;372;368;368;368;364;364;368;372;368;360;360;364;364;360;364;360;360;</t>
  </si>
  <si>
    <t>2;11;45;99;148;193;236;263;279;286;286;286;286;288;288;284;281;281;284;281;277;281;281;281;279;277;279;281;279;284;279;277;279;279;277;277;281;279;277;279;277;279;279;279;279;277;277;277;277;272;270;279;277;277;279;279;277;272;277;277;272;275;277;279;277;277;279;277;279;284;277;277;275;279;279;275;279;281;275;277;277;279;275;275;279;277;277;279;284;279;272;277;281;277;277;277;275;275;277;277;275;275;275;277;275;275;277;275;275;277;279;279;275;275;277;275;275;277;272;272;277;279;275;284;284;</t>
  </si>
  <si>
    <t>76;139;207;292;381;474;542;593;622;635;648;648;643;639;631;626;614;605;601;588;584;584;576;571;567;563;559;554;550;542;538;533;529;525;521;516;516;516;508;504;504;499;495;499;495;491;491;487;487;482;478;478;478;474;478;478;470;465;470;465;465;461;457;461;457;453;453;453;449;444;444;449;440;440;440;440;436;436;432;432;423;423;423;423;423;427;427;415;415;419;415;415;415;410;406;406;406;402;398;393;398;393;393;398;393;402;406;406;398;398;393;393;393;393;389;389;389;389;385;385;385;393;385;389;389;</t>
  </si>
  <si>
    <t>6;15;56;115;164;205;236;261;277;284;286;288;288;284;281;286;284;279;281;281;281;277;279;279;277;279;281;277;277;279;281;281;279;279;279;279;277;279;279;277;281;281;275;275;275;279;279;277;279;275;275;277;277;275;272;277;277;277;277;279;279;275;275;279;277;277;279;277;277;275;277;277;272;279;281;275;275;277;279;275;275;279;279;277;275;272;272;275;277;277;277;275;277;279;279;277;279;275;272;275;279;270;268;277;277;277;279;275;275;277;277;277;275;275;284;284;275;272;275;281;281;277;279;277;277;</t>
  </si>
  <si>
    <t>63;127;194;266;355;436;499;554;584;601;610;605;605;601;597;593;580;576;567;567;563;554;550;542;538;538;533;529;529;525;521;516;512;508;504;504;499;495;499;491;487;487;482;478;478;474;474;470;470;470;461;457;465;465;457;457;457;453;453;453;453;453;449;453;444;436;436;444;440;436;436;432;432;432;432;427;427;427;427;423;427;427;419;415;415;410;410;415;415;410;406;406;410;402;402;402;402;402;398;393;393;402;398;393;393;389;389;385;389;385;385;393;393;389;389;385;385;385;381;385;385;372;381;372;372;</t>
  </si>
  <si>
    <t>9;27;72;130;182;221;248;261;263;266;275;270;270;277;281;277;277;281;277;277;279;281;281;279;279;281;279;279;279;279;279;279;284;279;277;277;279;281;277;284;281;275;279;277;277;277;279;284;277;272;275;279;277;275;277;277;275;277;275;275;275;277;277;275;275;277;279;277;275;279;277;275;279;279;277;277;277;277;275;275;279;275;275;277;279;279;275;279;277;272;275;275;277;275;277;279;277;279;279;277;277;275;277;277;277;277;277;275;275;277;270;268;277;279;279;277;277;281;275;272;275;277;279;281;281;</t>
  </si>
  <si>
    <t>63;114;177;237;309;385;440;491;525;542;554;563;571;580;588;584;580;576;571;580;576;567;567;563;550;542;546;538;538;542;538;533;525;521;516;512;512;504;504;508;499;495;491;478;478;482;487;482;474;470;470;474;474;470;465;457;457;465;461;457;449;453;453;444;444;440;440;440;440;436;436;432;432;432;427;427;423;427;423;419;423;423;419;415;415;410;410;410;406;402;398;402;406;406;402;402;398;398;393;393;398;393;393;393;393;389;389;389;385;381;381;381;381;381;377;381;377;377;381;372;372;372;372;368;368;</t>
  </si>
  <si>
    <t>6;24;69;128;178;216;243;259;268;270;272;275;281;277;277;279;277;277;277;281;281;281;281;281;286;284;277;279;277;275;277;281;281;279;281;281;277;281;277;275;275;275;277;275;275;279;277;277;279;284;279;279;281;277;277;277;275;277;277;277;272;272;279;279;279;279;277;279;277;277;277;277;279;275;277;279;275;275;277;277;277;275;284;279;272;275;277;277;277;277;279;272;277;281;275;277;277;277;275;275;277;275;275;277;279;279;272;275;277;275;275;277;277;275;270;275;277;272;272;279;279;275;277;270;270;</t>
  </si>
  <si>
    <t>63;127;182;249;326;398;461;508;542;563;567;584;593;593;597;593;593;593;588;584;580;576;571;567;559;550;550;546;542;538;533;525;521;521;521;516;512;508;499;499;495;495;491;487;482;482;482;478;478;478;478;474;470;465;470;461;461;457;457;457;457;453;453;453;453;444;444;440;440;440;432;427;436;432;427;427;427;427;423;423;419;419;419;419;415;410;410;406;406;406;402;402;402;402;398;398;398;402;402;398;398;393;393;393;393;393;385;381;385;381;377;381;385;381;381;381;377;377;377;377;372;381;372;393;393;</t>
  </si>
  <si>
    <t>6;22;65;124;175;214;243;263;270;270;272;281;281;275;277;277;277;284;284;279;279;279;284;279;277;279;279;279;279;277;277;281;281;277;275;277;281;281;277;277;279;279;279;277;277;275;275;279;277;277;275;277;281;279;277;277;277;275;275;279;277;275;277;279;277;277;279;277;272;275;281;279;275;277;277;275;275;277;277;277;277;281;277;272;281;279;275;277;277;279;275;275;277;275;270;272;279;277;275;277;277;277;277;279;279;275;275;277;275;279;279;272;270;272;279;277;275;277;277;277;272;275;275;279;279;</t>
  </si>
  <si>
    <t>59;122;182;254;338;410;465;512;546;563;576;580;584;584;584;588;580;580;576;571;571;567;571;567;559;554;546;542;538;533;533;525;521;521;512;508;512;508;499;495;495;495;495;491;487;482;482;482;482;478;478;474;470;465;465;465;461;461;461;457;449;444;449;449;444;444;449;444;440;436;440;440;432;436;432;427;427;423;427;423;423;423;419;419;419;415;419;415;410;406;406;406;402;402;402;402;406;402;406;406;402;393;393;389;385;381;393;393;389;389;393;385;377;381;385;377;372;372;372;372;377;377;381;372;372;</t>
  </si>
  <si>
    <t>2;13;49;101;155;202;245;272;281;288;290;286;281;279;279;279;279;281;279;279;279;284;281;277;279;281;279;279;279;279;277;281;284;277;272;277;281;277;277;277;277;279;279;279;279;277;277;281;279;275;275;279;279;277;279;277;275;277;277;281;279;277;275;270;275;277;279;277;277;279;275;277;281;277;275;277;281;279;281;279;277;279;277;275;277;275;277;279;275;275;275;281;281;275;277;279;277;279;279;277;272;277;279;275;275;275;277;277;275;277;275;272;277;277;277;275;275;277;275;275;277;277;275;277;277;</t>
  </si>
  <si>
    <t>76;135;211;292;372;457;521;567;593;601;610;610;610;601;597;597;597;588;584;580;576;571;571;563;554;550;550;546;538;533;529;529;521;521;512;508;508;508;504;499;499;495;491;487;482;482;482;482;482;478;470;465;465;470;465;465;461;457;457;453;449;449;449;449;449;444;440;440;440;436;432;436;432;427;427;423;419;423;419;415;415;415;415;410;402;406;410;410;402;398;398;402;402;393;393;393;389;389;389;389;389;381;381;381;381;385;381;381;372;372;372;372;377;372;368;368;368;368;364;360;360;360;360;360;360;</t>
  </si>
  <si>
    <t>9;20;56;112;162;207;243;266;281;286;284;286;281;281;284;279;281;277;277;281;281;281;279;279;279;277;279;277;277;281;279;279;277;277;279;277;279;277;281;281;275;279;279;277;277;277;281;275;275;279;277;277;277;277;275;275;279;277;277;279;277;277;277;275;277;275;277;277;279;279;272;275;279;277;275;275;277;277;277;277;275;275;277;277;275;272;279;281;275;277;279;277;275;277;275;275;275;277;279;275;272;277;277;275;275;279;277;277;277;277;275;279;281;277;272;272;277;277;277;277;275;275;270;281;281;</t>
  </si>
  <si>
    <t>67;131;194;275;360;436;499;546;571;584;593;593;593;588;584;580;580;576;563;563;563;559;550;550;546;538;533;533;533;521;516;512;508;508;504;504;504;499;499;504;487;482;487;482;482;478;478;478;474;465;465;470;470;470;470;461;457;457;461;457;453;453;453;449;449;444;440;444;440;436;436;432;432;432;432;432;432;427;419;419;419;419;419;415;415;410;406;410;410;406;410;410;406;406;406;402;402;402;402;389;389;393;398;398;389;389;385;389;393;389;381;381;381;381;381;377;377;377;377;372;372;372;385;368;368;</t>
  </si>
  <si>
    <t>2;13;51;112;171;218;252;268;279;279;277;279;277;275;275;279;277;275;277;281;284;279;281;284;281;281;281;281;281;281;284;281;277;279;281;279;279;279;279;277;275;279;286;284;277;279;277;277;281;277;277;279;279;279;275;277;279;277;277;277;279;279;279;281;277;275;275;277;284;279;277;279;275;275;277;277;275;275;279;279;277;279;279;275;272;277;277;275;277;277;277;275;275;275;272;275;277;279;277;275;277;277;272;275;279;272;270;275;279;277;275;275;277;277;275;279;279;277;277;277;277;277;279;279;279;</t>
  </si>
  <si>
    <t>72;139;203;275;360;432;495;538;567;588;593;593;601;601;601;597;605;614;605;601;593;584;580;576;576;567;559;554;550;550;542;538;538;533;525;521;521;525;516;512;508;508;508;499;495;491;487;482;482;482;478;474;474;465;461;465;461;457;453;449;449;449;440;436;444;444;436;432;436;427;423;427;427;423;419;415;410;415;415;402;406;406;406;406;406;410;406;398;393;398;398;398;393;389;389;393;393;385;385;385;389;385;381;381;377;381;377;377;381;377;368;368;368;372;368;364;368;368;364;368;368;364;364;360;360;</t>
  </si>
  <si>
    <t>4;15;49;106;166;218;252;272;279;281;281;281;281;279;279;277;281;279;272;277;281;281;279;281;284;275;277;284;279;272;275;284;284;275;279;277;275;275;275;281;281;277;279;277;277;277;279;277;272;275;277;277;279;277;277;275;277;279;275;277;279;279;279;272;277;279;279;281;277;277;277;277;277;275;275;277;281;279;275;281;279;277;277;272;272;275;279;279;272;275;279;277;270;272;275;275;275;279;277;270;270;279;277;275;279;281;277;275;277;279;277;275;275;272;272;275;275;275;275;279;284;281;275;279;279;</t>
  </si>
  <si>
    <t>67;135;194;275;355;432;495;538;567;580;588;593;588;593;588;576;576;576;571;567;563;563;559;554;554;546;538;538;533;529;529;525;521;516;516;512;508;504;504;499;495;495;491;491;491;491;487;487;478;474;478;478;478;478;470;470;465;461;457;457;457;457;457;453;453;457;449;449;453;444;440;436;440;440;436;436;432;432;436;423;419;427;423;423;419;423;423;419;415;410;410;410;410;410;406;406;402;402;402;398;398;398;398;398;402;402;398;393;393;393;393;389;389;389;381;385;389;385;389;389;389;385;385;389;389;</t>
  </si>
  <si>
    <t>6;20;60;119;169;214;245;263;275;279;286;284;281;284;275;275;281;279;281;275;275;281;279;277;277;279;279;279;284;284;284;277;279;279;275;279;279;277;279;279;279;277;277;279;275;275;279;279;279;275;275;277;272;277;279;275;275;277;279;277;275;279;277;277;275;281;284;279;279;279;277;277;277;277;277;277;277;277;277;275;277;277;275;277;277;277;277;277;275;272;275;277;272;270;272;281;281;275;277;272;272;275;277;277;275;277;279;277;277;277;277;277;277;279;275;272;275;279;277;275;279;279;284;275;275;</t>
  </si>
  <si>
    <t>67;131;190;258;338;419;482;525;554;571;580;584;580;576;576;576;571;563;563;563;554;550;550;546;542;538;533;533;529;525;521;521;516;512;508;508;504;508;504;495;495;495;495;491;487;482;482;482;478;474;474;474;470;474;474;470;470;465;465;461;457;457;457;457;453;449;453;453;453;449;444;444;444;436;436;436;436;436;427;423;427;427;427;423;423;419;419;419;423;423;419;415;410;410;415;415;410;410;406;406;406;402;406;398;398;402;393;393;389;389;393;402;402;393;393;389;389;389;389;389;393;389;385;389;389;</t>
  </si>
  <si>
    <t>9;24;67;130;182;221;248;261;268;270;272;272;275;272;275;277;272;277;279;275;277;284;286;281;284;284;279;281;277;272;272;277;281;275;270;272;279;279;277;277;279;277;279;279;279;279;277;279;277;272;275;279;281;277;279;281;277;277;279;279;275;272;279;279;277;275;277;279;279;277;277;275;275;277;277;275;275;279;277;275;279;279;277;277;277;277;275;277;279;279;275;277;279;277;275;281;284;272;270;277;279;277;279;281;279;277;277;277;275;277;279;277;279;277;281;277;270;275;279;275;272;277;272;279;279;</t>
  </si>
  <si>
    <t>67;122;186;249;321;389;449;491;521;546;563;571;571;571;576;576;576;580;580;576;571;567;567;563;559;550;546;542;533;533;529;521;521;516;508;508;508;508;504;504;499;495;491;491;487;487;487;482;478;478;478;474;474;474;470;470;470;465;457;457;457;457;453;453;453;449;444;444;440;440;436;436;432;432;432;427;432;432;427;427;423;423;423;419;419;419;419;415;415;415;415;415;406;410;415;410;406;406;406;398;398;402;398;398;402;398;393;389;389;393;393;389;393;389;385;385;385;381;377;381;381;381;381;385;385;</t>
  </si>
  <si>
    <t>9;27;69;124;178;223;250;263;272;279;277;277;279;277;275;270;272;279;275;279;284;279;279;279;279;277;279;281;284;279;277;281;279;277;279;277;277;279;279;279;277;275;279;277;275;275;272;272;277;279;277;277;279;279;279;275;275;277;277;277;277;281;281;275;277;275;272;277;281;279;275;277;279;277;277;277;279;279;277;279;275;275;277;277;277;272;275;272;272;277;277;277;277;277;277;275;279;284;275;275;272;275;277;275;281;279;275;275;277;281;277;272;275;275;277;277;277;279;275;279;277;275;268;277;277;</t>
  </si>
  <si>
    <t>63;127;190;258;326;398;457;504;533;550;563;567;567;571;571;576;576;567;567;567;567;567;559;559;550;550;542;538;533;529;529;521;516;512;512;512;508;499;495;495;491;491;487;491;478;474;478;478;482;482;478;478;478;470;470;465;465;465;465;465;465;461;457;453;453;453;453;444;449;449;440;436;436;436;436;432;436;427;427;432;427;423;423;423;423;415;415;415;419;419;415;410;402;406;415;410;406;406;402;398;398;402;402;398;402;398;402;402;398;393;389;389;389;389;389;389;385;385;381;381;385;381;385;385;385;</t>
  </si>
  <si>
    <t>2;18;67;126;173;218;252;268;272;279;277;277;277;277;277;275;279;279;277;281;279;281;281;284;284;277;279;281;284;286;279;279;281;277;277;277;279;277;279;279;277;277;277;277;270;268;277;279;279;277;279;277;275;277;279;275;277;277;279;279;277;279;277;277;277;277;275;272;277;279;272;275;277;279;279;275;277;277;275;279;275;277;277;279;279;275;279;281;277;277;275;277;275;275;277;275;279;277;277;277;270;277;279;277;277;277;279;275;275;277;275;279;279;277;277;275;277;277;277;277;277;281;277;277;277;</t>
  </si>
  <si>
    <t>63;127;186;258;334;410;470;508;533;559;571;571;576;576;576;580;580;580;571;567;567;563;559;554;546;546;538;538;533;529;525;516;512;512;512;512;504;504;499;495;499;495;491;487;482;478;482;491;487;478;478;470;465;465;470;470;465;465;465;461;457;457;453;449;444;444;449;444;444;444;440;440;440;440;436;436;432;432;432;427;427;427;427;427;427;419;423;423;415;415;419;410;406;410;406;406;402;402;406;406;398;398;402;402;398;393;393;393;393;389;385;385;385;389;389;385;385;389;385;385;381;381;385;389;389;</t>
  </si>
  <si>
    <t>2;13;47;101;157;202;243;275;284;286;288;286;288;284;281;284;281;279;277;281;284;279;279;286;286;279;279;281;277;275;277;281;279;277;284;279;275;281;279;277;277;277;279;279;279;279;277;275;275;277;277;277;279;275;277;279;277;279;277;279;281;275;275;279;281;281;277;279;279;279;279;277;275;272;277;279;275;277;277;281;277;272;279;275;275;279;279;277;275;275;279;277;277;277;277;277;275;279;277;277;279;275;277;277;277;277;275;275;277;277;275;275;277;275;275;277;277;277;277;281;281;270;275;272;272;</t>
  </si>
  <si>
    <t>72;144;207;292;385;470;542;584;614;631;635;635;626;622;614;614;610;601;597;593;584;576;576;571;567;559;554;550;550;542;538;538;525;521;521;521;516;516;512;508;504;504;504;499;495;491;491;487;482;482;482;478;474;474;474;474;474;470;470;470;470;461;457;457;457;457;449;444;444;440;436;436;432;427;432;432;423;423;427;423;423;419;419;415;410;410;410;410;406;402;406;402;398;398;398;393;393;393;393;389;385;389;385;385;381;372;368;377;381;381;377;372;372;368;368;372;372;368;368;372;368;364;377;360;360;</t>
  </si>
  <si>
    <t>2;13;47;101;157;207;248;270;286;290;286;288;284;281;284;279;284;279;277;281;279;281;277;279;281;277;281;281;281;281;281;284;279;279;281;277;277;277;277;279;277;279;279;277;277;279;279;277;277;279;277;277;277;279;277;275;279;277;277;277;279;279;275;277;279;277;277;275;277;277;277;281;279;275;275;277;279;272;275;279;277;277;277;277;277;275;279;272;272;279;277;277;275;277;279;272;275;279;275;272;275;279;277;275;277;277;277;277;275;272;272;279;281;277;275;275;279;275;275;286;284;275;261;275;275;</t>
  </si>
  <si>
    <t>72;144;207;288;381;465;533;584;614;626;635;635;622;618;610;605;605;601;593;584;576;571;567;571;567;559;554;546;533;529;533;529;525;525;521;516;516;512;512;512;504;499;495;495;495;495;491;491;491;482;487;482;470;474;482;474;474;474;465;461;461;461;461;457;457;457;453;449;449;444;440;440;440;440;436;436;436;432;427;423;423;427;427;427;423;419;419;419;423;415;415;415;410;406;406;402;402;402;402;398;398;398;398;398;398;389;393;389;385;389;389;389;385;385;389;389;377;372;381;385;381;381;385;393;393;</t>
  </si>
  <si>
    <t>2;9;40;96;160;216;252;272;281;281;281;281;281;279;277;279;279;279;279;279;286;286;281;281;279;281;279;281;279;275;279;284;281;275;279;281;275;275;279;277;279;279;279;277;277;281;279;279;281;277;281;279;277;277;272;275;277;279;279;275;279;279;277;277;279;279;275;277;279;277;277;281;279;275;275;277;275;275;279;279;277;275;277;279;277;279;279;279;275;275;281;279;277;277;275;270;272;277;277;275;275;277;275;275;277;277;275;270;272;277;277;275;277;272;270;279;277;275;275;277;279;277;281;272;272;</t>
  </si>
  <si>
    <t>80;156;232;317;406;487;542;580;610;626;639;639;635;635;631;631;631;631;618;614;610;601;593;588;580;576;571;563;559;563;559;550;546;542;533;533;533;533;529;521;521;516;512;512;508;504;495;491;491;491;487;482;478;474;470;470;470;465;461;457;457;457;449;440;436;444;444;440;436;427;423;432;423;423;423;423;423;415;415;415;415;415;415;415;406;406;410;406;406;406;402;393;393;393;393;389;393;393;389;389;385;385;381;381;385;381;381;377;377;377;372;377;377;377;377;372;372;368;364;364;368;368;368;368;368;</t>
  </si>
  <si>
    <t>2;15;49;101;155;209;245;266;279;286;290;288;286;286;284;279;279;284;281;281;284;281;279;279;284;284;279;279;281;284;281;277;277;277;279;281;279;277;277;279;277;272;277;275;272;279;281;281;275;275;279;279;277;277;277;272;270;279;279;275;277;284;281;272;277;277;272;277;279;279;277;277;277;275;275;279;277;279;277;275;277;272;275;279;275;272;275;279;277;277;281;277;281;279;275;277;275;277;277;277;277;272;277;275;272;279;279;275;275;275;277;275;279;284;279;275;275;277;275;272;277;275;281;272;272;</t>
  </si>
  <si>
    <t>76;148;216;296;385;470;542;584;610;626;631;631;631;626;622;614;610;605;601;593;588;588;580;567;563;559;550;542;542;538;533;533;529;525;521;521;521;516;512;508;504;491;491;491;491;491;491;487;482;487;482;478;478;474;470;465;457;457;461;461;457;457;457;453;449;449;444;444;440;444;440;436;432;427;432;432;427;419;419;423;419;415;415;415;419;415;410;410;410;410;410;406;402;402;402;402;398;398;398;398;398;393;393;393;389;389;389;385;381;385;385;381;381;381;381;381;381;372;368;368;372;377;377;381;381;</t>
  </si>
  <si>
    <t>6;15;54;110;166;212;245;270;279;281;286;286;286;288;284;284;281;281;281;279;277;281;281;281;279;281;279;279;281;281;281;277;281;279;275;277;279;279;277;277;281;277;277;279;275;275;275;279;281;279;275;275;277;277;277;277;275;279;281;275;275;277;277;277;277;279;277;277;270;272;277;275;277;281;275;272;277;277;277;275;277;277;275;279;281;279;275;277;277;272;272;275;277;275;277;279;272;270;279;277;277;279;279;277;272;275;279;279;277;277;279;275;275;279;277;277;272;275;277;275;277;277;281;277;277;</t>
  </si>
  <si>
    <t>80;148;203;283;372;457;525;567;597;614;622;622;618;618;614;601;593;584;580;576;567;563;554;546;542;542;538;538;529;533;529;521;512;508;508;504;504;499;495;491;495;495;487;482;482;482;478;478;474;470;465;470;465;461;461;461;461;457;453;457;453;440;444;444;449;453;449;444;440;440;440;436;432;436;436;432;427;427;423;423;423;423;423;419;419;415;410;410;410;410;410;410;415;410;402;406;415;410;402;402;402;406;406;398;398;398;402;402;393;393;393;389;389;393;389;389;393;389;385;385;385;381;381;381;381;</t>
  </si>
  <si>
    <t>6;24;69;128;178;218;248;261;266;272;277;277;275;275;279;281;277;279;275;279;284;284;284;281;281;281;281;281;277;275;277;284;279;277;281;279;279;281;279;279;277;277;279;275;275;277;277;277;277;279;281;279;279;284;284;277;277;277;275;275;281;281;275;272;279;263;261;279;279;279;275;277;281;275;275;279;279;277;277;281;279;275;277;277;277;277;277;277;277;277;279;277;272;275;277;275;275;277;277;279;275;275;275;272;277;279;279;277;277;277;275;277;279;275;270;275;279;275;272;279;279;275;275;277;277;</t>
  </si>
  <si>
    <t>63;122;182;254;330;406;470;516;550;576;588;593;597;605;605;605;605;601;593;588;588;584;576;571;567;563;559;554;542;529;533;533;529;525;521;525;516;512;516;512;508;499;499;495;491;491;487;487;482;478;482;474;474;470;470;465;457;457;461;457;457;449;449;444;449;444;440;440;440;436;436;436;436;432;423;427;427;423;423;419;419;423;423;419;415;410;410;406;410;406;406;402;402;402;402;398;402;398;393;393;393;393;389;389;385;385;389;385;389;389;385;381;381;381;377;372;381;385;377;372;372;377;372;372;372;</t>
  </si>
  <si>
    <t>6;22;67;128;180;214;243;261;266;272;275;277;277;275;279;281;284;281;279;281;281;284;284;279;279;281;281;279;277;275;275;279;279;284;284;275;277;279;277;279;281;279;275;275;279;277;275;277;277;277;277;279;279;277;277;277;277;277;277;279;277;275;277;279;277;277;284;284;275;277;279;277;272;275;279;277;275;277;277;272;275;279;279;275;275;277;275;277;279;279;275;275;279;275;275;279;281;279;272;277;277;275;277;279;277;275;275;275;279;279;277;277;275;272;277;277;275;277;277;277;275;275;272;279;279;</t>
  </si>
  <si>
    <t>63;127;186;254;330;402;465;516;550;576;588;601;605;605;605;601;601;597;593;593;584;580;576;563;559;559;554;546;546;538;533;533;525;516;516;516;512;508;504;499;499;499;495;491;487;482;482;482;478;482;482;478;478;474;470;470;465;461;461;461;457;453;457;453;449;444;449;444;440;436;440;432;432;432;432;427;427;427;427;427;423;423;423;423;415;415;415;415;415;406;406;410;406;406;402;406;406;402;402;398;402;402;398;398;398;393;402;402;393;389;389;389;389;389;385;385;381;381;385;389;385;377;381;368;368;</t>
  </si>
  <si>
    <t>2;20;63;119;171;214;245;263;275;279;275;279;281;281;284;279;279;279;277;279;279;281;281;279;286;284;279;277;277;279;277;277;277;272;277;279;281;281;277;277;277;275;277;277;279;275;277;277;275;277;279;277;272;275;281;277;279;281;275;277;275;281;279;275;277;277;275;277;279;277;275;277;284;279;275;275;279;279;275;277;279;275;272;275;277;272;275;279;277;277;277;281;279;275;279;275;275;275;277;277;272;275;279;277;277;281;279;275;275;279;277;277;277;277;275;272;277;277;277;277;277;277;272;279;279;</t>
  </si>
  <si>
    <t>80;144;194;271;355;432;495;542;571;593;605;597;597;601;601;601;597;593;588;584;576;571;563;554;554;554;550;542;538;542;533;529;529;521;516;516;516;516;508;504;499;499;499;495;491;491;491;487;478;478;482;482;478;478;474;470;465;461;465;470;465;457;465;457;449;453;453;449;444;449;444;444;440;436;436;432;432;432;423;427;423;423;427;423;419;419;419;419;410;410;406;406;415;410;406;406;402;402;402;406;402;398;402;398;393;398;398;389;389;393;389;389;389;389;385;381;381;381;385;389;385;377;377;377;377;</t>
  </si>
  <si>
    <t>2;13;47;106;162;207;241;270;281;284;288;286;284;279;279;281;279;279;281;284;284;281;284;279;277;279;279;279;279;281;279;277;281;277;277;277;277;279;277;279;284;281;277;275;277;279;277;277;275;275;275;277;279;277;277;279;277;279;277;277;277;275;279;279;275;277;279;279;275;275;279;281;279;275;277;272;272;279;272;272;279;281;279;272;275;277;277;277;275;275;277;277;277;275;275;281;279;275;272;277;279;279;275;272;277;277;279;284;275;268;272;277;277;275;279;284;279;277;277;275;277;279;279;279;279;</t>
  </si>
  <si>
    <t>76;144;211;292;381;465;533;580;605;626;631;626;631;626;618;618;610;610;605;597;593;588;584;576;563;559;563;559;554;550;546;542;542;533;529;529;525;525;521;521;516;512;508;504;499;499;499;495;495;482;482;482;482;482;478;478;474;470;470;470;465;461;461;461;449;444;444;440;444;444;444;436;432;432;432;427;423;423;427;423;419;419;423;415;410;415;419;415;406;402;402;402;402;402;398;393;398;398;393;398;393;389;389;385;385;385;385;385;381;377;377;381;377;377;372;377;381;377;372;368;368;372;368;377;377;</t>
  </si>
  <si>
    <t>6;15;49;101;146;196;241;272;286;288;288;281;281;286;284;281;281;284;281;277;281;281;281;284;279;284;281;279;281;279;281;279;284;284;275;277;279;279;277;277;279;277;279;281;272;275;279;279;277;275;281;277;277;279;275;275;277;279;279;272;277;279;281;281;275;277;277;277;279;275;277;277;279;281;272;272;284;281;279;277;275;277;277;279;270;272;279;281;279;272;275;279;277;277;275;277;277;277;279;275;275;277;279;277;270;275;277;275;275;277;275;275;279;279;275;270;275;279;277;272;272;277;275;272;272;</t>
  </si>
  <si>
    <t>72;139;207;292;381;465;533;593;622;639;648;652;643;639;635;631;622;614;610;605;597;588;588;580;576;571;563;559;559;554;546;546;546;533;529;529;525;525;521;521;516;508;508;512;508;504;499;495;495;499;499;491;487;482;482;478;474;474;474;470;470;465;461;461;461;457;453;449;453;453;449;444;444;444;440;436;440;440;444;440;432;432;427;427;427;419;419;423;423;419;419;415;410;415;410;415;410;402;406;406;402;402;402;402;393;393;393;393;393;393;393;389;389;389;389;385;385;385;385;385;381;381;377;385;385;</t>
  </si>
  <si>
    <t>2;9;49;110;164;214;250;268;277;277;279;277;275;275;277;279;279;281;281;279;284;288;286;284;281;281;277;279;281;281;281;277;281;279;275;281;277;279;281;279;284;279;279;284;279;277;277;279;281;279;277;277;279;277;277;284;279;279;284;281;277;277;277;277;277;279;279;275;277;279;277;275;277;277;277;277;277;275;272;277;281;279;277;279;279;277;275;279;281;277;277;279;277;275;277;279;277;275;279;279;275;275;277;275;272;277;277;279;279;279;275;272;275;277;279;281;277;277;275;270;275;277;281;270;270;</t>
  </si>
  <si>
    <t>80;152;220;300;385;465;529;576;605;626;639;639;643;648;652;648;639;635;631;626;622;618;610;601;593;588;580;571;567;563;563;554;550;542;538;538;538;529;525;525;525;516;512;512;512;508;504;504;499;491;495;495;487;482;474;474;478;474;470;465;461;461;457;453;453;449;444;440;440;440;436;432;432;432;432;427;423;427;423;423;423;423;419;410;415;410;406;406;402;402;402;402;402;402;402;398;393;393;393;398;389;389;385;385;385;385;385;381;381;381;381;377;377;377;377;377;377;372;368;368;377;372;372;372;372;</t>
  </si>
  <si>
    <t>0;15;54;108;160;207;245;266;279;277;279;284;281;284;286;279;279;284;288;286;281;281;281;279;279;281;281;279;281;284;281;277;277;281;279;279;279;279;277;275;277;275;275;279;277;277;275;277;279;277;275;279;279;279;275;275;277;277;277;275;277;277;277;277;275;279;281;277;275;275;279;279;275;277;279;277;277;279;279;277;275;275;275;277;279;279;277;275;279;275;275;277;279;279;275;279;281;277;275;277;275;272;275;281;277;272;275;275;275;272;277;277;275;279;279;275;279;281;281;275;272;275;277;279;279;</t>
  </si>
  <si>
    <t>67;139;207;292;385;474;538;580;614;639;643;643;643;643;639;631;622;618;618;614;601;597;588;580;567;567;563;554;554;554;546;542;538;529;529;525;521;516;512;512;508;512;512;508;504;495;495;499;495;487;487;487;482;487;482;478;487;478;470;474;474;461;461;461;461;461;457;457;453;453;453;453;449;444;444;440;440;427;423;427;432;432;427;423;427;432;423;423;423;423;419;419;415;415;419;415;415;410;410;406;406;406;402;406;402;406;406;389;393;402;402;402;393;389;398;402;402;393;389;389;389;389;389;393;393;</t>
  </si>
  <si>
    <t>2;15;56;112;169;212;243;266;279;286;290;293;288;281;281;281;281;279;277;284;281;277;281;281;279;281;281;284;279;272;275;275;275;279;284;281;277;279;277;277;277;281;281;275;275;277;279;279;279;279;277;275;277;277;279;279;279;281;277;275;277;275;277;277;277;275;272;277;275;275;279;279;279;281;284;277;275;279;281;277;275;275;277;279;277;277;277;275;275;277;277;275;277;279;277;275;277;277;275;275;277;277;277;275;277;275;272;272;272;275;277;279;279;277;279;279;275;275;275;275;275;275;277;275;275;</t>
  </si>
  <si>
    <t>67;144;211;288;377;453;521;567;601;618;618;622;622;618;614;601;597;593;593;588;580;571;567;563;563;554;554;550;533;529;533;533;529;529;529;525;521;508;504;504;499;504;499;495;491;487;491;487;491;487;482;482;478;478;478;470;470;470;470;470;461;457;457;461;461;465;453;444;444;444;444;440;444;444;440;440;436;436;436;432;432;432;427;423;423;423;423;423;423;423;427;419;419;423;419;419;415;410;410;410;415;410;402;402;402;402;393;389;398;398;402;406;398;393;398;393;393;398;398;393;393;389;393;389;389;</t>
  </si>
  <si>
    <t>4;15;56;117;175;221;252;266;270;279;279;275;272;272;277;277;279;279;279;279;281;284;284;281;284;286;281;277;281;286;279;277;277;277;279;279;277;275;279;281;279;277;277;279;277;275;277;279;279;277;277;279;279;279;279;279;275;277;279;279;277;281;277;275;277;277;279;279;284;281;275;272;277;284;279;275;277;279;279;275;275;277;277;281;279;272;275;277;277;272;275;279;277;279;281;279;277;272;277;277;277;279;279;279;275;275;281;277;275;277;277;275;272;279;279;275;275;277;277;275;277;277;275;279;279;</t>
  </si>
  <si>
    <t>76;148;207;283;368;436;495;542;567;588;597;605;614;614;614;610;610;614;610;605;593;593;593;584;584;580;571;563;554;550;546;546;542;533;533;533;529;525;521;521;516;512;512;508;499;495;499;499;495;495;491;487;482;478;478;478;478;474;470;470;470;465;461;461;461;453;453;453;453;449;449;444;440;440;440;436;432;432;432;427;432;432;427;427;423;423;419;423;419;410;415;415;415;415;410;410;410;406;406;406;402;402;402;402;398;398;402;398;393;398;398;393;393;389;389;389;389;385;389;389;385;385;389;389;389;</t>
  </si>
  <si>
    <t>4;18;54;115;173;218;250;270;272;277;279;277;279;277;277;281;279;279;277;281;279;277;281;284;281;281;279;281;279;272;275;279;281;279;281;279;277;279;279;279;277;279;279;275;275;279;277;277;275;275;284;281;279;277;275;277;279;277;275;275;277;277;277;277;277;277;277;279;277;277;279;279;281;277;277;277;275;275;275;277;277;279;281;277;277;275;284;279;268;275;275;270;272;275;275;275;277;279;275;275;277;277;275;272;277;272;270;279;279;279;275;275;277;272;277;279;277;277;275;277;275;272;270;277;277;</t>
  </si>
  <si>
    <t>72;135;207;279;364;444;499;546;571;593;605;610;614;614;614;610;610;610;601;593;597;588;584;584;576;571;567;559;554;550;542;538;538;533;525;525;525;521;516;512;508;508;504;508;504;499;495;495;491;491;495;487;478;478;478;474;474;474;474;465;465;474;465;461;461;457;457;453;453;449;444;444;444;449;440;432;436;432;432;432;427;432;436;432;423;427;427;419;415;419;415;415;415;415;410;410;415;406;410;415;410;406;402;393;393;398;398;398;402;402;398;393;393;389;393;393;389;385;385;385;385;385;377;381;381;</t>
  </si>
  <si>
    <t>6;13;51;117;173;216;245;270;279;277;281;281;279;277;277;284;279;279;284;281;281;279;281;284;279;281;281;279;279;281;284;279;277;279;277;279;277;279;277;277;281;279;277;279;279;279;279;277;279;275;272;277;279;277;275;277;277;275;277;277;277;275;277;279;279;279;277;277;275;277;284;277;272;275;277;277;275;279;279;272;275;277;277;275;275;279;275;270;272;277;275;272;277;277;275;277;277;277;275;277;281;277;275;277;277;275;275;281;277;275;277;277;277;275;277;277;275;275;279;275;275;275;279;272;272;</t>
  </si>
  <si>
    <t>72;135;199;271;355;440;499;550;580;593;601;610;610;614;614;610;610;605;593;593;597;588;580;576;567;563;559;554;542;533;542;538;533;533;529;525;516;512;516;516;512;512;504;504;508;499;495;495;495;495;491;487;482;482;478;470;474;474;470;474;470;470;465;465;465;461;457;457;457;453;449;444;444;444;449;440;436;436;440;440;436;436;436;432;427;427;427;427;423;427;427;423;423;427;423;423;419;419;419;419;410;402;406;406;406;406;398;398;402;402;398;398;398;398;398;398;393;389;385;389;385;381;385;389;389;</t>
  </si>
  <si>
    <t>0;9;42;87;139;193;241;266;279;284;284;288;284;281;279;279;284;284;281;277;279;284;279;281;281;279;281;279;281;286;284;279;272;277;281;281;281;275;275;277;277;279;279;279;277;275;284;279;275;279;279;284;279;277;281;277;277;281;281;275;275;277;275;275;277;279;279;277;279;279;277;277;277;279;279;277;279;275;272;277;279;277;275;277;279;277;277;277;277;279;279;277;275;279;279;277;277;272;277;275;275;277;277;275;275;279;279;275;279;279;275;272;272;279;281;277;277;277;270;270;279;279;281;277;277;</t>
  </si>
  <si>
    <t>76;144;216;296;389;478;546;593;631;648;652;656;656;648;643;643;631;626;626;618;614;605;601;593;584;580;571;567;567;563;559;554;550;546;538;538;538;529;525;525;521;516;516;512;512;508;508;504;504;504;495;491;491;482;487;482;478;482;478;470;465;465;470;461;457;457;457;457;453;457;453;449;449;444;440;440;440;440;432;427;427;427;423;423;427;419;415;415;415;410;410;410;410;406;406;402;398;398;393;393;393;398;393;385;385;389;389;385;393;385;377;377;381;381;377;372;372;377;372;372;377;385;385;377;377;</t>
  </si>
  <si>
    <t>2;13;45;94;146;198;239;261;279;281;281;288;286;286;284;284;286;281;281;284;284;281;277;288;286;279;281;281;284;284;281;279;279;279;279;277;277;277;279;277;277;281;279;284;284;277;279;277;277;279;277;277;277;277;277;277;277;277;281;281;279;275;272;277;277;277;279;275;275;277;279;279;275;275;277;279;279;275;281;277;275;275;277;281;279;275;277;275;277;284;277;272;272;279;279;275;275;270;272;277;277;277;275;277;277;277;275;272;279;279;275;277;277;279;277;279;277;272;277;279;277;275;272;281;281;</t>
  </si>
  <si>
    <t>76;139;203;288;385;474;542;593;622;643;648;648;652;648;643;639;635;626;614;610;605;597;593;584;580;571;571;563;559;554;550;554;550;533;529;538;525;521;525;521;516;516;512;508;504;504;508;504;499;495;495;491;487;487;487;482;482;487;482;474;474;470;470;470;465;465;465;461;449;449;457;457;453;453;453;449;440;436;440;440;436;436;432;436;436;432;423;419;423;423;419;419;415;415;419;419;415;410;415;415;410;410;406;406;406;402;402;402;406;410;393;393;398;398;389;389;393;393;389;385;381;381;385;393;393;</t>
  </si>
  <si>
    <t>2;6;42;99;153;200;239;268;279;279;281;277;277;279;281;281;277;284;286;286;286;284;284;281;281;284;281;281;281;279;277;279;284;281;279;279;279;281;279;279;279;277;277;279;279;277;277;279;279;277;279;281;277;275;277;279;279;277;277;279;279;279;279;277;277;279;279;277;272;281;281;275;275;279;279;277;281;281;272;275;279;279;277;275;281;281;277;277;275;275;275;279;279;275;279;279;275;275;272;275;275;275;277;279;277;275;279;279;275;272;277;277;275;275;277;277;275;277;275;277;277;275;275;277;277;</t>
  </si>
  <si>
    <t>80;156;232;313;393;478;546;597;626;648;660;665;669;669;669;665;660;656;648;639;639;631;618;610;601;593;588;576;571;571;567;559;550;550;546;538;533;533;529;529;529;525;516;512;512;508;499;495;491;491;487;482;482;478;470;470;470;470;470;453;449;453;453;453;449;444;449;444;436;432;432;427;427;427;423;419;419;419;419;410;406;410;406;410;410;402;402;410;410;406;406;402;402;398;393;393;393;389;381;385;385;381;381;385;385;381;381;381;381;385;381;377;372;372;368;368;368;368;368;368;368;368;372;368;368;</t>
  </si>
  <si>
    <t>2;13;45;94;148;198;236;266;279;281;284;284;286;286;279;284;286;284;284;284;286;281;284;286;281;284;281;284;284;279;281;277;275;277;277;279;275;277;279;277;277;277;279;277;277;277;275;279;281;277;277;275;281;281;275;275;275;275;277;277;277;272;275;279;279;279;277;281;281;275;277;277;275;275;279;279;275;277;279;275;275;277;277;275;277;279;277;277;277;279;277;272;277;279;279;277;275;277;272;275;279;277;275;275;279;272;268;279;279;277;277;277;277;275;277;277;275;272;272;277;277;275;277;272;272;</t>
  </si>
  <si>
    <t>76;144;211;296;389;478;542;593;631;648;652;665;665;652;643;643;635;626;618;610;605;601;593;588;580;571;567;554;550;546;542;538;533;529;525;525;516;512;516;512;508;504;499;499;499;495;491;487;487;487;487;478;478;478;474;470;474;470;465;465;461;461;461;457;457;457;453;453;449;449;444;444;444;440;440;444;440;436;436;432;427;427;427;427;427;423;419;419;415;419;419;419;415;419;419;410;410;406;402;406;402;402;402;398;398;398;398;402;402;398;393;393;393;389;389;389;389;385;385;385;385;381;381;385;385;</t>
  </si>
  <si>
    <t>2;15;47;101;157;202;239;263;272;281;288;286;284;284;286;281;281;286;281;281;281;281;284;284;284;279;279;284;279;272;277;281;279;277;281;279;284;284;277;272;272;284;284;275;277;279;277;275;275;279;281;279;277;277;277;277;275;277;277;281;279;275;275;277;279;275;275;277;277;272;272;279;277;275;277;279;277;275;277;277;275;277;279;277;275;275;279;275;272;277;279;281;279;277;279;277;277;279;275;275;275;279;275;272;277;275;275;277;275;277;272;275;281;277;277;277;277;277;279;279;275;275;266;277;277;</t>
  </si>
  <si>
    <t>76;139;203;279;372;461;525;571;610;631;639;643;643;635;631;626;622;618;601;597;593;584;584;576;567;567;571;563;550;542;542;538;533;529;525;521;508;504;512;512;508;504;504;499;495;499;495;487;487;491;491;482;482;478;478;478;478;474;470;470;474;482;470;461;461;457;457;453;453;449;449;449;444;436;440;440;436;432;440;440;432;427;432;432;432;423;423;427;427;423;423;423;423;423;419;415;415;410;406;402;406;406;406;402;402;402;398;402;406;406;398;393;393;393;393;389;389;389;389;389;385;381;381;385;385;</t>
  </si>
  <si>
    <t>4;15;56;115;166;207;241;261;266;270;277;281;281;279;281;279;281;281;281;284;281;284;281;281;284;281;284;281;281;284;279;279;279;279;277;277;279;279;279;279;279;277;275;277;279;275;277;277;279;277;277;279;277;277;279;279;277;275;277;277;275;277;277;277;275;279;284;279;275;275;275;275;272;279;277;275;279;279;277;277;277;279;275;275;279;279;277;272;275;272;268;270;279;279;277;277;279;277;277;281;279;277;272;277;277;272;277;279;279;275;277;279;275;277;279;275;277;277;277;277;272;277;272;284;284;</t>
  </si>
  <si>
    <t>72;144;203;271;355;436;508;554;593;618;631;643;652;648;639;643;643;635;631;622;614;610;601;593;588;584;571;563;567;563;554;550;546;542;538;538;533;529;521;512;512;512;508;508;508;504;499;499;495;491;487;487;482;478;478;478;474;470;470;470;461;457;465;461;453;453;453;453;449;444;449;444;440;444;436;432;436;436;427;423;432;432;427;432;427;423;423;415;415;415;415;419;419;410;406;410;415;410;406;406;402;398;393;389;393;393;398;398;393;393;393;389;389;389;389;389;385;385;389;393;389;385;381;398;398;</t>
  </si>
  <si>
    <t>2;13;54;108;160;207;241;261;275;281;284;279;279;284;279;277;279;281;281;279;284;286;284;281;279;281;281;281;281;281;281;279;279;281;275;277;279;277;279;277;279;279;277;279;277;277;279;277;277;277;281;279;279;281;277;275;277;279;277;275;279;281;277;272;279;284;275;275;277;277;275;275;279;279;275;279;279;275;275;277;277;277;275;279;279;275;275;275;277;277;277;277;275;275;275;275;275;275;277;272;272;279;277;275;275;277;277;275;277;277;275;275;279;279;275;275;272;272;277;277;279;277;284;279;279;</t>
  </si>
  <si>
    <t>72;139;203;279;372;457;525;576;610;635;639;648;648;643;635;631;631;622;618;614;605;597;593;584;576;571;567;563;559;550;546;542;542;542;533;529;529;529;525;521;516;508;512;512;508;504;499;499;499;495;495;487;487;487;482;482;478;478;474;470;470;465;465;461;457;457;457;453;453;453;453;453;449;440;440;440;440;444;436;432;436;436;436;436;427;423;423;423;423;419;415;419;415;415;415;410;410;415;410;410;410;402;398;406;402;398;402;398;402;406;393;393;393;393;398;393;389;393;393;389;389;389;389;393;393;</t>
  </si>
  <si>
    <t>0;13;51;106;155;200;236;263;279;284;286;281;281;284;284;284;281;286;284;279;284;281;279;281;281;281;275;279;284;284;281;277;279;279;279;281;277;277;277;275;275;275;277;279;277;279;277;281;279;277;279;275;277;279;279;279;275;277;279;279;279;277;277;277;277;281;277;275;277;277;277;275;279;279;275;277;281;279;275;277;279;275;272;277;277;277;275;277;277;272;279;279;275;275;277;279;275;275;279;277;277;275;277;277;275;277;275;272;275;279;277;272;277;279;275;275;272;272;275;275;279;277;286;268;268;</t>
  </si>
  <si>
    <t>67;135;207;288;381;461;529;576;605;631;643;643;643;639;635;626;622;614;610;605;597;601;588;580;576;571;567;559;554;550;542;542;538;533;533;529;525;525;525;521;516;512;508;508;512;512;508;508;499;491;491;487;482;487;482;482;478;478;474;470;474;474;470;470;465;461;461;461;457;453;453;453;449;453;444;444;449;444;440;444;444;436;436;436;432;436;432;427;427;423;432;427;423;419;419;415;415;415;415;406;410;415;410;410;410;410;406;402;402;406;402;402;402;402;398;393;393;393;393;398;398;398;402;393;393;</t>
  </si>
  <si>
    <t>2;13;56;112;160;207;243;263;275;279;277;277;279;279;281;279;281;284;284;284;284;281;281;286;284;281;279;279;284;284;279;279;275;275;279;281;281;277;281;281;277;279;279;279;277;277;281;279;277;279;279;279;275;277;281;279;277;279;277;277;275;281;279;275;279;279;277;277;279;279;277;279;277;277;277;277;277;275;275;279;279;272;272;279;277;275;277;277;277;277;279;277;272;277;279;279;275;270;277;277;277;279;277;277;277;277;277;275;277;277;275;277;275;277;275;275;279;275;272;277;279;277;281;281;281;</t>
  </si>
  <si>
    <t>67;139;207;288;377;453;516;563;597;618;635;639;648;648;639;639;639;635;622;618;614;601;593;588;584;576;571;567;563;554;550;546;542;538;533;529;525;521;521;516;512;512;508;504;499;495;499;487;487;487;487;482;478;482;478;470;470;465;461;461;453;453;453;453;444;444;444;440;440;444;436;436;436;432;432;432;427;427;423;419;415;419;419;410;410;410;406;410;406;406;406;398;393;402;402;398;389;385;393;393;393;385;385;385;385;385;385;385;385;381;377;377;377;372;372;372;372;368;364;368;372;372;372;351;351;</t>
  </si>
  <si>
    <t>4;13;51;112;164;205;239;266;268;275;281;284;281;279;281;279;281;281;284;284;279;286;286;279;279;281;281;277;279;284;281;279;279;279;279;275;277;279;277;277;279;279;275;277;277;275;277;277;277;277;277;277;277;275;275;277;277;277;279;279;277;277;277;277;279;279;279;277;275;277;277;275;272;275;277;277;281;279;277;275;277;281;277;275;277;277;279;275;277;277;275;277;277;275;275;275;279;279;275;275;275;275;277;277;277;277;279;275;275;275;275;277;275;275;275;277;277;277;281;275;270;279;275;284;284;</t>
  </si>
  <si>
    <t>67;139;194;275;372;449;516;567;593;614;626;631;631;622;618;622;618;614;605;597;588;584;580;571;563;554;550;546;542;542;538;529;529;525;521;516;516;512;512;504;504;504;504;504;499;495;495;495;499;495;487;482;482;478;474;474;478;474;474;474;474;470;470;465;457;453;457;453;453;449;444;449;449;444;444;436;440;444;440;432;432;432;432;427;427;427;427;427;423;419;419;419;419;419;415;419;415;415;415;410;406;402;406;406;402;402;398;402;398;398;402;406;402;398;389;389;393;389;389;389;385;389;389;389;389;</t>
  </si>
  <si>
    <t>6;20;56;112;157;198;241;261;272;281;281;284;281;284;286;281;284;284;281;281;279;284;281;281;286;284;279;277;279;281;279;279;281;281;279;275;277;277;277;281;277;275;277;279;277;275;275;279;277;275;275;279;277;277;275;275;277;275;281;279;272;275;277;277;275;275;279;279;277;275;277;279;277;277;275;275;279;277;277;279;279;279;277;277;279;275;275;277;279;275;272;279;277;272;275;277;277;272;277;281;277;275;275;277;275;272;275;279;277;275;277;279;277;277;277;272;275;277;277;277;275;277;275;286;286;</t>
  </si>
  <si>
    <t>67;131;194;279;372;444;512;576;605;631;639;635;635;631;626;618;610;601;597;588;580;576;571;563;559;550;546;542;546;550;542;533;529;525;516;512;512;512;504;504;504;499;504;499;495;495;491;491;495;482;478;482;482;482;482;482;478;470;470;474;474;470;465;470;470;457;457;457;457;457;457;453;453;449;449;449;444;444;440;444;449;440;436;436;432;436;436;432;427;427;427;423;423;423;427;423;419;419;415;419;419;419;410;406;402;402;406;410;406;406;406;402;402;402;402;398;393;402;398;389;389;389;393;393;393;</t>
  </si>
  <si>
    <t>2;6;40;92;148;202;245;266;272;275;279;277;275;277;279;281;281;284;281;284;288;286;284;281;284;284;279;281;281;281;281;281;279;277;281;281;277;277;277;281;284;277;279;279;277;275;275;279;279;279;281;277;279;279;279;275;270;277;281;281;281;281;279;277;275;279;277;277;277;279;277;275;277;279;279;279;279;277;277;277;279;277;275;275;277;277;275;275;277;277;277;277;277;275;277;279;277;277;277;277;275;272;279;277;272;272;275;279;277;279;279;275;275;277;279;277;272;277;277;275;275;272;275;268;268;</t>
  </si>
  <si>
    <t>88;165;232;313;410;495;563;610;643;660;669;677;682;690;694;682;677;673;660;652;652;648;639;626;622;618;614;605;597;597;593;584;580;576;571;571;563;559;554;550;546;542;538;533;525;525;525;521;512;512;512;508;504;499;495;495;491;487;487;482;478;474;470;470;470;465;461;461;457;449;449;449;444;444;444;436;432;436;440;432;427;432;427;427;427;423;419;419;419;415;415;415;406;398;406;410;406;402;402;402;398;398;398;393;393;393;398;398;393;393;393;385;389;393;393;389;385;385;381;377;377;377;377;372;372;</t>
  </si>
  <si>
    <t>4;18;56;108;157;200;236;266;277;281;281;281;277;281;286;281;286;286;284;281;281;284;281;281;284;279;279;279;279;281;279;279;279;277;277;279;281;279;277;279;277;277;277;275;272;275;279;277;277;277;277;277;275;279;281;275;277;277;281;281;277;279;277;275;279;279;277;275;275;277;275;277;277;277;277;277;279;277;275;286;281;272;275;277;279;275;277;277;275;275;277;277;275;275;277;275;275;272;275;277;275;277;279;275;275;277;277;272;275;275;275;277;279;279;272;272;281;281;275;275;272;275;275;277;277;</t>
  </si>
  <si>
    <t>67;135;203;283;377;461;529;580;610;631;643;652;656;652;648;643;635;631;622;610;601;593;588;580;576;576;563;559;554;546;542;538;533;529;525;525;525;521;512;504;512;512;508;499;495;499;504;499;491;487;491;491;487;482;482;482;478;478;482;478;474;470;465;461;461;465;461;457;457;453;453;453;449;444;449;444;444;444;440;436;436;436;432;427;432;427;427;427;423;423;419;410;415;415;415;419;415;406;406;406;406;415;410;406;406;410;410;402;402;402;402;398;402;402;393;393;398;398;393;389;389;393;389;393;393;</t>
  </si>
  <si>
    <t>2;18;49;96;155;207;241;266;279;277;275;277;284;284;281;279;279;284;284;286;286;281;281;284;284;281;281;284;279;275;277;279;279;281;281;281;277;279;277;275;277;277;281;281;277;277;277;277;279;281;279;277;279;277;275;277;284;281;275;279;279;277;277;277;279;275;275;279;277;275;277;277;277;272;277;277;275;277;277;279;277;275;277;272;275;277;272;275;277;281;281;272;275;279;279;277;275;284;281;275;275;275;277;275;277;277;277;279;275;275;275;277;277;275;275;277;277;277;275;281;275;268;266;272;272;</t>
  </si>
  <si>
    <t>72;139;207;296;385;470;538;588;622;635;643;652;656;660;656;648;643;639;635;626;618;610;605;601;593;580;576;576;567;559;554;554;546;542;538;538;533;529;529;516;516;521;512;508;508;508;508;508;508;504;499;495;487;482;478;478;478;474;474;474;474;474;470;465;465;461;457;453;449;449;440;444;453;444;432;436;440;436;432;436;436;432;432;427;427;427;423;419;419;419;419;419;419;415;410;410;410;410;406;402;406;402;402;398;402;406;398;398;393;393;389;389;393;393;389;389;389;385;389;389;385;385;381;385;385;</t>
  </si>
  <si>
    <t>4;15;49;103;160;202;234;259;277;277;279;281;284;281;277;279;284;284;281;281;286;284;284;284;284;284;281;281;281;277;277;279;279;279;279;277;275;279;279;277;279;279;281;279;277;281;277;275;277;277;279;279;279;279;275;277;279;277;275;275;281;277;275;277;275;277;279;279;279;275;279;281;277;275;272;275;277;275;279;277;272;272;279;279;275;275;275;281;279;275;275;275;277;277;272;272;277;284;279;275;277;275;275;277;275;275;270;277;284;275;275;277;277;275;270;275;275;275;277;277;277;275;279;279;279;</t>
  </si>
  <si>
    <t>72;144;211;288;377;470;538;584;618;643;652;656;660;660;656;648;643;635;631;626;618;610;597;588;584;584;571;563;554;546;542;538;546;542;538;538;529;525;521;516;521;516;516;512;508;499;499;504;495;495;495;491;491;495;491;487;487;487;482;478;482;482;474;474;470;470;470;461;461;461;457;457;453;457;453;444;444;449;449;449;440;432;436;436;440;436;432;432;427;427;427;423;423;423;423;423;419;419;419;419;419;415;410;410;406;406;406;402;402;406;406;398;398;402;393;385;389;398;393;385;377;381;389;389;389;</t>
  </si>
  <si>
    <t>2;15;51;108;162;212;243;261;272;281;281;279;281;279;281;281;284;286;281;286;286;284;284;281;281;277;277;284;279;266;270;284;284;279;279;279;277;279;279;279;277;279;281;281;281;277;277;277;275;277;279;279;279;277;279;277;277;279;277;279;277;275;277;277;279;277;275;277;277;277;275;275;279;277;277;277;277;277;277;281;279;275;277;277;275;275;277;281;277;275;277;279;277;277;277;275;275;277;277;277;277;279;277;275;275;275;277;277;277;277;275;275;277;275;275;275;277;279;272;275;275;275;272;275;275;</t>
  </si>
  <si>
    <t>84;152;207;283;381;465;533;580;610;626;639;643;648;648;643;639;635;626;622;618;610;601;593;584;580;580;576;559;554;550;554;550;542;538;533;529;525;516;512;512;516;512;508;508;504;504;495;487;482;482;482;482;478;474;470;465;465;461;453;457;453;457;457;449;444;449;440;436;444;444;436;436;436;432;427;427;427;427;423;419;419;415;415;410;410;410;406;415;415;402;402;402;393;393;398;398;393;398;398;393;389;389;393;385;381;385;381;377;381;385;381;377;377;377;377;377;372;377;377;372;372;368;372;372;372;</t>
  </si>
  <si>
    <t>4;20;58;117;164;205;241;263;275;279;281;284;284;281;281;281;284;281;281;284;281;281;284;281;279;281;281;279;279;279;277;277;277;279;272;272;281;279;279;277;277;279;275;277;281;277;275;275;277;275;275;279;279;275;275;277;277;275;275;279;272;275;279;277;277;275;279;277;275;277;284;281;272;275;275;277;277;277;275;275;277;281;279;275;279;277;275;272;277;275;277;281;277;277;277;277;279;275;277;277;275;277;275;279;279;272;272;275;277;281;279;277;275;275;275;275;277;277;277;275;275;279;275;286;286;</t>
  </si>
  <si>
    <t>67;135;203;283;368;453;516;563;593;614;626;626;626;622;610;605;605;601;593;588;584;580;576;567;554;546;546;546;538;529;525;525;525;521;508;504;508;508;504;504;504;499;495;504;499;487;487;487;482;478;478;478;474;470;470;470;465;470;465;461;453;453;461;457;457;449;449;449;444;440;444;436;432;436;440;440;432;427;427;423;423;423;419;427;427;423;419;415;415;410;410;415;415;410;406;402;402;402;398;398;398;398;398;398;393;389;389;389;389;389;385;385;385;385;385;377;381;385;381;385;385;381;372;389;389;</t>
  </si>
  <si>
    <t>4;18;56;112;155;198;239;263;275;279;286;284;288;288;286;284;279;284;281;281;286;281;281;279;281;284;281;281;281;277;279;279;279;277;275;279;279;277;275;275;279;277;277;279;277;277;277;277;277;275;279;279;279;277;279;279;275;277;279;277;277;281;281;275;275;275;277;279;277;277;275;268;275;279;275;272;272;277;277;277;279;275;277;279;281;279;275;275;277;275;277;277;275;275;277;277;275;277;279;277;277;275;277;277;275;275;275;277;275;277;281;277;275;277;277;279;277;277;277;275;281;279;286;275;275;</t>
  </si>
  <si>
    <t>55;118;194;283;368;449;521;576;614;631;643;648;639;631;626;626;618;605;597;588;580;571;567;563;554;550;546;542;538;538;533;529;521;525;521;516;508;504;504;499;495;495;495;495;491;491;487;487;487;487;478;478;478;478;478;474;470;465;470;474;465;457;457;457;457;457;457;453;449;449;449;444;440;440;432;436;436;436;436;432;432;436;436;432;432;432;427;423;419;419;423;427;423;419;419;415;410;410;415;410;410;410;410;406;402;402;402;398;398;402;402;398;393;393;398;393;385;385;389;389;398;393;419;385;385;</t>
  </si>
  <si>
    <t>0;9;40;92;148;200;239;261;270;277;275;272;279;284;286;281;284;288;284;288;284;281;286;284;284;275;275;284;281;277;275;284;286;281;281;279;277;277;279;281;277;275;279;279;279;279;281;279;277;284;284;279;277;277;279;277;275;279;279;277;277;277;275;275;279;279;277;279;281;279;275;275;277;279;279;275;277;279;277;277;277;277;277;277;279;275;277;284;279;275;277;277;272;272;279;277;275;279;281;279;275;275;275;272;272;277;279;277;277;277;272;275;277;275;272;275;277;279;277;279;277;272;272;272;272;</t>
  </si>
  <si>
    <t>80;169;241;317;410;495;563;610;643;660;682;690;694;694;694;690;686;677;673;660;652;643;639;631;622;610;597;593;593;584;580;580;576;571;559;554;554;546;542;542;533;525;529;529;525;516;512;508;499;499;499;495;487;487;487;478;474;474;474;470;465;461;457;449;453;461;444;440;444;444;449;444;444;440;432;436;432;432;423;423;427;423;419;415;415;410;410;410;410;406;398;402;402;398;393;389;393;393;389;393;385;381;385;385;385;385;381;377;377;377;377;372;368;372;368;368;368;368;368;368;364;368;368;364;364;</t>
  </si>
  <si>
    <t>4;13;47;101;155;198;230;259;275;284;290;288;284;281;284;286;281;284;286;284;270;270;286;284;284;284;281;281;279;279;277;279;281;277;281;279;275;279;277;275;277;277;277;275;277;275;275;281;281;277;275;279;284;279;277;281;279;275;277;277;275;275;277;277;277;277;279;279;277;277;279;279;279;277;281;277;272;277;275;272;272;277;279;275;275;279;275;279;281;281;279;272;275;275;277;275;277;279;272;272;279;277;277;279;277;272;272;281;279;277;279;281;275;270;275;277;277;277;275;275;277;277;279;277;277;</t>
  </si>
  <si>
    <t>67;135;203;288;381;457;529;580;618;643;652;660;652;643;643;639;631;622;618;614;601;593;588;584;580;567;559;559;550;546;542;533;529;529;529;525;516;512;516;508;504;499;499;499;499;495;491;491;487;487;491;487;478;474;470;465;474;470;465;465;465;465;461;461;461;457;453;453;449;453;449;444;440;440;436;440;440;432;432;427;423;423;427;427;427;423;419;423;419;419;419;410;419;415;410;410;402;402;402;406;406;406;406;402;402;402;402;406;406;393;393;393;389;385;385;385;389;385;385;385;381;385;385;385;385;</t>
  </si>
  <si>
    <t>2;11;49;101;151;200;234;259;272;272;279;279;281;286;281;281;281;286;288;279;286;288;284;284;281;284;281;281;288;293;286;272;277;277;272;279;279;279;279;277;277;277;279;281;279;279;279;281;279;277;279;277;277;277;272;275;277;279;279;277;279;281;279;275;272;277;275;277;279;277;279;277;279;277;270;275;279;279;279;275;275;272;275;277;275;277;275;275;275;275;279;279;275;275;277;279;277;277;279;275;272;272;279;279;275;277;275;275;277;279;277;272;279;279;275;275;277;277;275;277;279;279;279;270;270;</t>
  </si>
  <si>
    <t>76;144;211;296;385;465;533;588;618;639;652;656;660;665;660;652;648;639;635;626;614;605;597;588;584;580;571;563;559;559;550;538;533;533;529;525;521;525;521;521;516;516;512;508;512;504;495;495;491;491;487;482;482;482;482;474;470;470;470;465;465;461;461;461;453;453;453;457;453;444;449;440;440;440;436;436;436;432;419;415;427;423;419;415;410;406;410;410;415;415;406;410;410;410;402;406;410;402;402;393;389;402;406;393;393;393;393;389;389;393;393;389;389;385;389;393;385;381;381;377;377;377;381;372;372;</t>
  </si>
  <si>
    <t>2;11;47;103;155;198;239;263;272;277;279;279;279;281;284;281;281;288;288;286;284;284;286;281;281;281;281;279;281;281;275;279;281;281;279;277;277;279;279;279;275;275;279;275;277;275;279;281;279;277;277;277;277;275;277;279;275;277;277;277;277;277;277;275;275;279;279;277;277;277;275;275;275;277;279;275;277;275;275;277;279;277;275;277;279;275;281;284;277;277;275;277;277;275;277;277;275;275;275;279;279;277;277;277;277;275;277;277;275;277;277;275;277;279;281;275;272;277;279;277;277;279;277;279;279;</t>
  </si>
  <si>
    <t>72;139;207;283;372;461;529;580;618;635;648;652;656;652;648;643;643;639;631;618;614;605;597;584;576;576;567;559;559;554;546;542;538;533;529;529;529;521;521;521;512;504;499;504;504;499;495;495;495;491;487;487;478;474;478;478;478;474;474;474;470;465;465;461;457;457;453;453;453;453;453;449;444;444;444;440;440;432;436;440;440;440;436;440;432;427;427;423;427;423;419;419;419;415;415;415;410;410;410;415;415;415;410;406;406;406;406;406;402;402;402;398;398;393;393;398;398;398;389;389;393;389;398;385;385;</t>
  </si>
  <si>
    <t>2;9;47;110;164;207;234;252;268;272;275;277;277;281;281;281;286;286;290;288;286;288;284;288;286;277;279;279;284;286;279;275;275;279;279;281;281;277;279;281;279;277;277;279;277;277;281;277;279;279;279;279;275;277;281;279;275;277;279;279;279;279;277;275;275;277;275;275;279;279;279;277;275;277;279;281;279;277;277;279;275;275;277;279;275;272;275;275;277;275;277;279;275;277;279;279;277;275;277;277;275;272;277;279;281;279;275;275;275;277;277;275;277;279;279;277;275;275;275;275;279;277;279;277;277;</t>
  </si>
  <si>
    <t>72;139;207;288;377;449;516;571;605;626;643;660;665;665;669;665;652;648;639;635;626;614;605;601;593;584;576;571;567;559;554;550;546;546;546;538;533;529;529;525;521;516;512;512;508;504;504;499;499;499;491;487;487;482;487;478;470;470;465;465;461;461;461;453;449;453;449;444;440;444;444;436;432;432;436;436;432;427;427;427;427;423;419;415;415;419;415;419;415;406;406;410;406;410;410;410;410;398;398;398;398;402;402;393;389;389;389;389;389;389;389;385;385;385;385;389;385;377;381;381;381;381;385;377;377;</t>
  </si>
  <si>
    <t>4;15;51;112;164;202;236;259;272;275;275;279;279;284;286;286;286;284;286;286;281;281;281;279;281;281;284;279;279;286;281;277;275;279;279;277;277;277;279;277;277;279;277;277;281;281;277;277;279;277;277;277;277;279;277;277;277;275;279;281;277;275;277;281;281;275;277;275;277;277;277;277;275;277;279;277;275;275;277;277;275;277;275;275;277;279;281;279;277;281;277;275;275;279;277;275;277;272;275;277;279;277;272;279;281;277;277;275;279;277;275;277;275;275;275;275;275;277;277;277;272;275;270;284;284;</t>
  </si>
  <si>
    <t>67;139;199;279;372;453;521;571;601;622;635;643;648;648;643;635;626;622;610;605;593;584;580;571;567;563;554;554;546;542;538;533;529;529;525;521;512;512;508;504;508;504;499;499;504;499;495;495;491;487;482;478;474;482;478;478;478;474;474;474;470;470;465;465;465;461;457;457;453;453;449;449;449;444;444;444;440;436;436;436;427;423;432;432;432;432;427;427;427;423;423;419;415;415;415;415;410;410;415;415;410;410;410;406;406;402;402;402;402;402;398;398;398;393;393;393;393;393;389;393;389;385;385;393;393;</t>
  </si>
  <si>
    <t>2;13;54;110;151;191;234;259;272;281;286;288;288;290;290;286;284;281;288;286;281;281;281;281;279;281;281;277;281;284;275;272;279;281;281;277;279;279;277;279;279;277;275;279;279;275;272;275;277;277;275;277;277;277;275;275;277;272;277;277;275;275;275;281;279;277;279;281;279;277;275;275;272;279;279;275;277;279;279;277;275;277;277;277;279;275;277;275;277;277;275;277;279;277;277;277;277;277;277;279;277;275;275;279;277;275;275;275;275;275;277;277;275;277;279;277;275;277;275;272;277;279;277;279;279;</t>
  </si>
  <si>
    <t>72;135;199;275;368;457;529;580;618;643;656;656;652;643;635;631;618;605;601;593;588;580;571;567;559;559;554;546;538;529;529;525;516;516;521;512;508;504;504;499;495;495;495;491;495;491;482;478;478;482;482;482;482;478;474;474;470;470;465;470;470;470;465;470;465;461;461;457;449;449;453;453;444;440;440;440;436;440;440;436;432;432;427;427;432;432;427;423;423;423;419;423;419;419;423;419;415;415;415;415;410;406;402;402;398;402;402;402;402;398;393;393;398;398;398;402;398;389;389;389;385;389;381;393;393;</t>
  </si>
  <si>
    <t>20;49;90;146;198;230;248;259;261;259;257;263;261;266;270;272;272;272;275;277;275;279;279;279;279;277;284;281;277;279;279;281;279;279;281;279;279;281;279;277;275;281;279;277;277;277;277;279;281;279;277;277;279;279;279;279;281;279;277;279;277;279;275;279;281;275;277;281;279;277;277;279;277;277;279;277;277;277;275;272;275;279;277;275;277;277;277;277;275;275;277;277;277;277;275;275;277;277;275;275;277;277;277;277;281;279;272;275;277;277;275;279;275;272;277;277;279;275;277;279;272;275;270;279;279;</t>
  </si>
  <si>
    <t>59;97;139;194;258;321;368;402;432;457;478;495;512;525;542;550;559;563;559;559;559;563;563;559;554;550;550;550;546;542;538;533;533;529;516;512;512;512;504;504;504;495;495;491;487;491;491;482;482;478;474;465;461;461;457;453;453;449;449;444;440;440;436;432;432;427;427;427;423;423;419;415;410;410;410;410;410;402;398;398;402;398;393;389;389;389;389;389;385;381;385;381;377;377;372;372;377;381;372;368;372;377;372;368;364;364;360;360;364;355;355;360;355;351;351;351;351;347;347;347;343;330;347;317;317;</t>
  </si>
  <si>
    <t>24;56;103;160;202;236;250;257;261;261;266;263;261;263;263;270;272;275;275;275;277;277;277;279;281;279;277;279;281;281;281;279;277;275;272;279;279;277;279;279;279;277;279;279;275;277;279;281;281;275;279;279;277;281;279;277;277;281;284;277;277;277;277;277;277;281;279;277;279;275;275;277;277;277;275;277;279;277;272;275;279;277;277;279;277;277;275;279;275;272;279;277;277;277;277;279;279;277;279;277;275;275;277;275;270;277;279;277;277;275;275;277;279;281;277;272;275;277;275;275;279;277;284;272;272;</t>
  </si>
  <si>
    <t>55;93;131;177;232;292;343;377;410;436;453;470;482;499;512;521;533;533;533;542;538;538;533;533;529;525;516;516;516;516;508;504;504;499;495;495;491;487;487;491;487;482;482;478;474;474;470;461;461;465;461;457;453;453;453;453;453;444;440;440;436;440;436;432;427;427;427;423;419;419;415;415;410;410;410;406;406;406;402;398;398;398;393;393;393;389;389;389;385;381;389;389;381;381;372;377;377;377;372;368;368;368;364;364;368;364;364;368;364;360;360;360;364;364;364;355;355;360;355;355;351;347;334;351;351;</t>
  </si>
  <si>
    <t>0;6;29;81;142;198;236;252;268;272;275;279;281;286;284;286;290;288;288;286;286;286;281;286;284;281;281;281;281;281;284;281;279;281;279;277;272;277;284;281;277;279;281;281;277;279;281;277;279;279;279;279;279;281;277;279;281;277;277;277;279;279;277;279;279;279;277;279;277;277;277;277;279;277;275;279;277;275;277;279;277;275;277;279;279;279;279;275;272;272;279;279;275;277;277;279;277;277;279;277;279;277;277;277;281;279;272;275;279;277;277;277;279;277;275;275;277;277;279;277;277;275;277;272;272;</t>
  </si>
  <si>
    <t>84;173;254;334;427;516;588;643;682;703;715;728;737;737;732;720;711;703;690;682;669;660;652;639;635;622;614;614;610;601;597;593;588;588;576;563;559;554;567;559;546;546;538;529;529;529;525;516;516;508;508;504;499;499;491;487;482;478;474;470;474;474;470;465;465;461;457;453;449;449;444;449;449;436;436;436;436;432;427;427;427;423;423;423;419;415;410;415;406;402;410;415;415;402;398;398;398;402;402;398;398;398;393;393;389;385;385;377;377;385;385;385;385;385;381;377;377;377;368;368;377;372;381;372;372;</t>
  </si>
  <si>
    <t>2;11;42;96;148;196;230;257;270;275;284;286;286;288;288;288;284;286;290;284;284;286;281;281;281;284;281;277;279;281;281;277;277;277;277;279;279;279;275;272;279;279;275;275;277;279;277;279;279;277;279;284;281;277;272;277;279;277;277;275;272;272;279;277;272;277;279;279;277;277;277;275;275;272;270;275;277;279;279;275;277;277;277;277;275;277;277;277;281;277;275;277;279;279;275;275;277;275;279;281;272;270;277;284;279;277;277;277;275;275;279;277;275;275;275;275;275;277;277;272;277;277;284;272;272;</t>
  </si>
  <si>
    <t>76;139;203;288;381;478;554;605;643;669;682;698;690;677;669;656;648;635;635;635;622;610;605;597;584;576;576;567;559;554;550;550;546;542;538;533;533;529;525;521;516;512;516;512;516;516;508;512;508;508;504;491;491;491;487;482;482;478;482;478;474;470;470;470;465;461;465;465;461;461;461;457;453;453;449;444;453;449;440;444;436;440;440;436;436;432;432;432;432;432;427;423;427;423;419;423;419;419;419;415;410;419;419;415;406;406;410;410;402;402;410;402;402;398;398;398;398;393;393;385;393;398;415;393;393;</t>
  </si>
  <si>
    <t>2;11;40;87;144;193;234;259;270;281;286;281;288;288;288;288;286;288;284;281;288;288;288;284;284;286;281;281;284;281;277;277;281;279;277;279;277;277;279;279;279;275;279;277;277;279;279;279;277;279;279;277;277;279;277;275;275;279;279;277;277;279;279;275;275;277;275;277;281;279;277;275;277;277;277;277;272;275;277;277;277;275;279;279;279;279;277;281;277;277;277;275;277;277;281;277;272;277;277;277;275;275;277;272;277;277;277;279;277;279;272;270;277;275;275;277;277;279;275;275;277;277;279;275;275;</t>
  </si>
  <si>
    <t>76;148;220;305;406;495;567;622;660;682;694;694;694;690;686;682;669;660;652;643;635;626;618;614;601;593;584;584;584;571;563;559;550;550;546;538;538;533;533;533;525;525;525;521;516;512;508;508;504;499;499;495;495;491;491;491;482;478;478;478;474;465;465;465;465;465;457;457;457;453;453;449;440;444;444;436;436;436;432;432;432;436;427;423;436;436;432;427;423;419;419;419;415;415;410;406;406;406;406;402;402;398;402;406;402;402;398;402;398;393;393;389;389;389;389;389;385;385;381;381;385;381;385;385;385;</t>
  </si>
  <si>
    <t>2;11;47;96;148;198;234;252;261;275;279;281;286;288;286;286;286;286;286;288;288;284;284;281;284;284;281;284;279;275;277;281;281;277;275;279;279;277;277;279;279;277;279;277;281;281;279;279;277;277;279;277;277;277;279;277;277;279;277;275;272;277;279;277;279;279;277;277;277;277;277;279;281;277;270;275;277;277;272;275;277;279;279;279;279;275;277;281;279;272;275;277;272;270;279;277;277;277;277;277;275;275;277;270;272;279;281;279;275;275;275;272;279;277;275;272;275;279;272;272;279;279;284;275;275;</t>
  </si>
  <si>
    <t>93;144;216;292;389;478;546;597;639;669;682;690;690;686;677;677;669;660;648;639;635;618;610;605;593;584;580;571;567;563;559;554;550;550;542;538;538;533;533;538;533;525;516;516;516;512;512;516;512;504;499;499;495;491;491;491;487;487;482;482;478;478;478;474;478;474;470;465;465;461;457;453;453;453;440;440;444;440;444;440;436;436;436;436;432;427;432;432;427;415;419;423;423;423;423;419;415;419;415;419;423;419;410;406;410;415;410;406;402;393;398;398;393;393;398;406;406;398;398;402;402;393;402;385;385;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</si>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</sst>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66F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E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0" fontId="2" fillId="8" borderId="31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0" fillId="7" borderId="69" xfId="0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0" fillId="0" borderId="15" xfId="0" applyBorder="1"/>
    <xf numFmtId="2" fontId="4" fillId="0" borderId="15" xfId="0" applyNumberFormat="1" applyFont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/>
    <xf numFmtId="0" fontId="0" fillId="3" borderId="15" xfId="0" applyFill="1" applyBorder="1"/>
    <xf numFmtId="0" fontId="0" fillId="0" borderId="15" xfId="0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5" borderId="15" xfId="0" applyFill="1" applyBorder="1"/>
    <xf numFmtId="0" fontId="0" fillId="2" borderId="15" xfId="0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13" borderId="15" xfId="0" applyFill="1" applyBorder="1" applyAlignment="1">
      <alignment horizontal="center" vertical="center"/>
    </xf>
    <xf numFmtId="14" fontId="0" fillId="13" borderId="15" xfId="0" applyNumberForma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 wrapText="1"/>
    </xf>
    <xf numFmtId="2" fontId="4" fillId="15" borderId="15" xfId="0" applyNumberFormat="1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14" fontId="0" fillId="13" borderId="15" xfId="0" applyNumberFormat="1" applyFill="1" applyBorder="1" applyAlignment="1" applyProtection="1">
      <alignment horizontal="center" vertical="center"/>
    </xf>
    <xf numFmtId="14" fontId="0" fillId="13" borderId="15" xfId="0" applyNumberForma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2" fillId="4" borderId="7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164" fontId="0" fillId="15" borderId="15" xfId="0" applyNumberFormat="1" applyFill="1" applyBorder="1" applyAlignment="1">
      <alignment horizontal="center" vertical="center"/>
    </xf>
    <xf numFmtId="1" fontId="0" fillId="15" borderId="15" xfId="0" applyNumberFormat="1" applyFill="1" applyBorder="1" applyAlignment="1">
      <alignment horizontal="center" vertical="center"/>
    </xf>
    <xf numFmtId="164" fontId="3" fillId="6" borderId="15" xfId="0" applyNumberFormat="1" applyFont="1" applyFill="1" applyBorder="1" applyAlignment="1">
      <alignment horizontal="center" vertical="center"/>
    </xf>
    <xf numFmtId="1" fontId="3" fillId="6" borderId="15" xfId="0" applyNumberFormat="1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9" fontId="0" fillId="4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6" fillId="15" borderId="15" xfId="0" applyNumberFormat="1" applyFont="1" applyFill="1" applyBorder="1" applyAlignment="1">
      <alignment horizontal="center" vertical="center"/>
    </xf>
    <xf numFmtId="164" fontId="1" fillId="6" borderId="15" xfId="0" applyNumberFormat="1" applyFont="1" applyFill="1" applyBorder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1" fontId="6" fillId="15" borderId="15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 wrapText="1"/>
    </xf>
    <xf numFmtId="1" fontId="1" fillId="6" borderId="15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164" fontId="5" fillId="15" borderId="15" xfId="0" applyNumberFormat="1" applyFont="1" applyFill="1" applyBorder="1" applyAlignment="1">
      <alignment horizontal="center" vertical="center"/>
    </xf>
    <xf numFmtId="1" fontId="5" fillId="15" borderId="15" xfId="0" applyNumberFormat="1" applyFont="1" applyFill="1" applyBorder="1" applyAlignment="1">
      <alignment horizontal="center" vertical="center"/>
    </xf>
    <xf numFmtId="1" fontId="0" fillId="6" borderId="15" xfId="0" applyNumberForma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14" fontId="0" fillId="13" borderId="34" xfId="0" applyNumberFormat="1" applyFill="1" applyBorder="1" applyAlignment="1" applyProtection="1">
      <alignment horizontal="center" vertical="center"/>
    </xf>
    <xf numFmtId="0" fontId="0" fillId="15" borderId="34" xfId="0" applyFill="1" applyBorder="1" applyAlignment="1">
      <alignment horizontal="center"/>
    </xf>
    <xf numFmtId="0" fontId="0" fillId="0" borderId="34" xfId="0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2" fontId="0" fillId="6" borderId="34" xfId="0" applyNumberFormat="1" applyFill="1" applyBorder="1" applyAlignment="1">
      <alignment horizontal="center" vertical="center"/>
    </xf>
    <xf numFmtId="1" fontId="0" fillId="6" borderId="34" xfId="0" applyNumberFormat="1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 applyProtection="1">
      <alignment horizontal="center" vertical="center"/>
    </xf>
    <xf numFmtId="0" fontId="0" fillId="15" borderId="13" xfId="0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2" fontId="0" fillId="6" borderId="13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4" xfId="0" applyBorder="1" applyAlignment="1">
      <alignment horizontal="center"/>
    </xf>
    <xf numFmtId="0" fontId="0" fillId="0" borderId="74" xfId="0" applyFill="1" applyBorder="1" applyAlignment="1">
      <alignment horizontal="center" vertical="center"/>
    </xf>
    <xf numFmtId="0" fontId="3" fillId="6" borderId="74" xfId="0" applyFont="1" applyFill="1" applyBorder="1" applyAlignment="1">
      <alignment horizontal="center" vertical="center"/>
    </xf>
    <xf numFmtId="2" fontId="0" fillId="6" borderId="74" xfId="0" applyNumberFormat="1" applyFill="1" applyBorder="1" applyAlignment="1">
      <alignment horizontal="center" vertical="center"/>
    </xf>
    <xf numFmtId="1" fontId="0" fillId="6" borderId="74" xfId="0" applyNumberFormat="1" applyFill="1" applyBorder="1" applyAlignment="1">
      <alignment horizontal="center" vertical="center"/>
    </xf>
    <xf numFmtId="0" fontId="0" fillId="13" borderId="74" xfId="0" applyFill="1" applyBorder="1" applyAlignment="1">
      <alignment horizontal="center"/>
    </xf>
    <xf numFmtId="14" fontId="0" fillId="13" borderId="74" xfId="0" applyNumberFormat="1" applyFill="1" applyBorder="1" applyAlignment="1" applyProtection="1">
      <alignment horizontal="center" vertical="center"/>
    </xf>
    <xf numFmtId="0" fontId="0" fillId="15" borderId="74" xfId="0" applyFill="1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67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11" borderId="67" xfId="0" applyFont="1" applyFill="1" applyBorder="1" applyAlignment="1">
      <alignment horizontal="center" vertical="center" wrapText="1"/>
    </xf>
    <xf numFmtId="0" fontId="2" fillId="11" borderId="49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9" borderId="66" xfId="0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14" fontId="2" fillId="11" borderId="66" xfId="0" applyNumberFormat="1" applyFont="1" applyFill="1" applyBorder="1" applyAlignment="1">
      <alignment horizontal="center" vertical="center" wrapText="1"/>
    </xf>
    <xf numFmtId="14" fontId="2" fillId="11" borderId="30" xfId="0" applyNumberFormat="1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9" borderId="67" xfId="0" applyFont="1" applyFill="1" applyBorder="1" applyAlignment="1">
      <alignment horizontal="center" vertical="center" wrapText="1"/>
    </xf>
    <xf numFmtId="0" fontId="2" fillId="9" borderId="49" xfId="0" applyFont="1" applyFill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9" borderId="42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64" fontId="2" fillId="15" borderId="36" xfId="0" applyNumberFormat="1" applyFont="1" applyFill="1" applyBorder="1" applyAlignment="1">
      <alignment horizontal="center" vertical="center" wrapText="1"/>
    </xf>
    <xf numFmtId="164" fontId="2" fillId="15" borderId="19" xfId="0" applyNumberFormat="1" applyFont="1" applyFill="1" applyBorder="1" applyAlignment="1">
      <alignment horizontal="center" vertical="center" wrapText="1"/>
    </xf>
    <xf numFmtId="1" fontId="2" fillId="15" borderId="36" xfId="0" applyNumberFormat="1" applyFont="1" applyFill="1" applyBorder="1" applyAlignment="1">
      <alignment horizontal="center" vertical="center" wrapText="1"/>
    </xf>
    <xf numFmtId="1" fontId="2" fillId="15" borderId="19" xfId="0" applyNumberFormat="1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8" borderId="59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1" fontId="2" fillId="6" borderId="40" xfId="0" applyNumberFormat="1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4" borderId="72" xfId="0" applyFont="1" applyFill="1" applyBorder="1" applyAlignment="1">
      <alignment horizontal="center" vertical="center" wrapText="1"/>
    </xf>
    <xf numFmtId="0" fontId="2" fillId="4" borderId="7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5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4" borderId="56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6" borderId="41" xfId="0" applyNumberFormat="1" applyFont="1" applyFill="1" applyBorder="1" applyAlignment="1">
      <alignment horizontal="center" vertical="center" wrapText="1"/>
    </xf>
    <xf numFmtId="164" fontId="2" fillId="6" borderId="25" xfId="0" applyNumberFormat="1" applyFont="1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/>
    </xf>
    <xf numFmtId="2" fontId="0" fillId="12" borderId="15" xfId="0" applyNumberFormat="1" applyFill="1" applyBorder="1"/>
  </cellXfs>
  <cellStyles count="1">
    <cellStyle name="Normal" xfId="0" builtinId="0"/>
  </cellStyles>
  <dxfs count="27"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</dxf>
    <dxf>
      <fill>
        <patternFill>
          <bgColor theme="4" tint="0.79998168889431442"/>
        </patternFill>
      </fill>
    </dxf>
    <dxf>
      <fill>
        <patternFill>
          <bgColor rgb="FFFF9BFF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E9494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E9494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I369"/>
  <sheetViews>
    <sheetView tabSelected="1" workbookViewId="0">
      <pane xSplit="1" ySplit="3" topLeftCell="CK277" activePane="bottomRight" state="frozen"/>
      <selection activeCell="BS49" sqref="BS49"/>
      <selection pane="topRight" activeCell="BS49" sqref="BS49"/>
      <selection pane="bottomLeft" activeCell="BS49" sqref="BS49"/>
      <selection pane="bottomRight" activeCell="CU299" sqref="CU299"/>
    </sheetView>
  </sheetViews>
  <sheetFormatPr baseColWidth="10" defaultColWidth="9.140625" defaultRowHeight="15" x14ac:dyDescent="0.25"/>
  <cols>
    <col min="1" max="1" width="9.140625" style="12"/>
    <col min="12" max="12" width="18.140625" bestFit="1" customWidth="1"/>
    <col min="55" max="55" width="9.140625" style="14"/>
    <col min="56" max="56" width="48.28515625" bestFit="1" customWidth="1"/>
    <col min="63" max="63" width="9.140625" style="13"/>
    <col min="64" max="64" width="9.140625" style="12"/>
    <col min="65" max="65" width="9.140625" style="11"/>
    <col min="66" max="66" width="9.140625" style="1"/>
    <col min="67" max="67" width="9.140625" style="5"/>
    <col min="68" max="68" width="9.140625" style="11"/>
    <col min="69" max="69" width="9.140625" style="8"/>
    <col min="70" max="71" width="9.140625" style="5"/>
    <col min="72" max="72" width="9.140625" style="8"/>
    <col min="73" max="74" width="9.140625" style="5"/>
    <col min="75" max="81" width="9.140625" style="10"/>
    <col min="82" max="82" width="9.140625" style="9"/>
    <col min="83" max="83" width="9.140625" style="1"/>
    <col min="84" max="84" width="39.5703125" style="2" bestFit="1" customWidth="1"/>
    <col min="85" max="86" width="9.140625" style="8"/>
    <col min="87" max="87" width="9.140625" style="7"/>
    <col min="88" max="88" width="9.140625" style="1"/>
    <col min="89" max="89" width="9.140625" style="8"/>
    <col min="90" max="95" width="9.140625" style="5"/>
    <col min="96" max="96" width="9.140625" style="7"/>
    <col min="97" max="98" width="9.140625" style="5"/>
    <col min="99" max="99" width="9.140625" style="6"/>
    <col min="100" max="106" width="9.140625" style="5"/>
    <col min="107" max="107" width="9.140625" style="4"/>
    <col min="108" max="108" width="30" style="3" customWidth="1"/>
    <col min="109" max="109" width="9.140625" style="2"/>
    <col min="110" max="113" width="9.140625" style="1"/>
  </cols>
  <sheetData>
    <row r="1" spans="1:113" s="19" customFormat="1" ht="58.9" customHeight="1" thickBot="1" x14ac:dyDescent="0.3">
      <c r="A1" s="174" t="s">
        <v>336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6"/>
      <c r="BB1" s="30"/>
      <c r="BC1" s="159" t="s">
        <v>335</v>
      </c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1"/>
      <c r="CF1" s="177" t="s">
        <v>334</v>
      </c>
      <c r="CG1" s="179" t="s">
        <v>333</v>
      </c>
      <c r="CH1" s="180"/>
      <c r="CI1" s="180"/>
      <c r="CJ1" s="181"/>
      <c r="CK1" s="159" t="s">
        <v>332</v>
      </c>
      <c r="CL1" s="160"/>
      <c r="CM1" s="160"/>
      <c r="CN1" s="160"/>
      <c r="CO1" s="160"/>
      <c r="CP1" s="160"/>
      <c r="CQ1" s="160"/>
      <c r="CR1" s="160"/>
      <c r="CS1" s="160"/>
      <c r="CT1" s="160"/>
      <c r="CU1" s="160"/>
      <c r="CV1" s="160"/>
      <c r="CW1" s="160"/>
      <c r="CX1" s="160"/>
      <c r="CY1" s="160"/>
      <c r="CZ1" s="160"/>
      <c r="DA1" s="160"/>
      <c r="DB1" s="160"/>
      <c r="DC1" s="160"/>
      <c r="DD1" s="161"/>
      <c r="DE1" s="162" t="s">
        <v>331</v>
      </c>
      <c r="DF1" s="150" t="s">
        <v>330</v>
      </c>
      <c r="DG1" s="150" t="s">
        <v>329</v>
      </c>
      <c r="DH1" s="153" t="s">
        <v>328</v>
      </c>
      <c r="DI1" s="156" t="s">
        <v>327</v>
      </c>
    </row>
    <row r="2" spans="1:113" s="20" customFormat="1" ht="29.45" customHeight="1" thickBot="1" x14ac:dyDescent="0.3">
      <c r="A2" s="184" t="s">
        <v>326</v>
      </c>
      <c r="B2" s="134" t="s">
        <v>325</v>
      </c>
      <c r="C2" s="136" t="s">
        <v>324</v>
      </c>
      <c r="D2" s="134" t="s">
        <v>323</v>
      </c>
      <c r="E2" s="134" t="s">
        <v>322</v>
      </c>
      <c r="F2" s="134" t="s">
        <v>321</v>
      </c>
      <c r="G2" s="134" t="s">
        <v>320</v>
      </c>
      <c r="H2" s="134" t="s">
        <v>319</v>
      </c>
      <c r="I2" s="146" t="s">
        <v>318</v>
      </c>
      <c r="J2" s="148" t="s">
        <v>317</v>
      </c>
      <c r="K2" s="140" t="s">
        <v>316</v>
      </c>
      <c r="L2" s="142" t="s">
        <v>315</v>
      </c>
      <c r="M2" s="144" t="s">
        <v>314</v>
      </c>
      <c r="N2" s="138" t="s">
        <v>313</v>
      </c>
      <c r="O2" s="138" t="s">
        <v>312</v>
      </c>
      <c r="P2" s="138" t="s">
        <v>311</v>
      </c>
      <c r="Q2" s="138" t="s">
        <v>310</v>
      </c>
      <c r="R2" s="138" t="s">
        <v>309</v>
      </c>
      <c r="S2" s="138" t="s">
        <v>308</v>
      </c>
      <c r="T2" s="186" t="s">
        <v>307</v>
      </c>
      <c r="U2" s="188" t="s">
        <v>306</v>
      </c>
      <c r="V2" s="172" t="s">
        <v>305</v>
      </c>
      <c r="W2" s="138" t="s">
        <v>304</v>
      </c>
      <c r="X2" s="138" t="s">
        <v>303</v>
      </c>
      <c r="Y2" s="138" t="s">
        <v>302</v>
      </c>
      <c r="Z2" s="138" t="s">
        <v>301</v>
      </c>
      <c r="AA2" s="186" t="s">
        <v>300</v>
      </c>
      <c r="AB2" s="190" t="s">
        <v>299</v>
      </c>
      <c r="AC2" s="172" t="s">
        <v>298</v>
      </c>
      <c r="AD2" s="138" t="s">
        <v>297</v>
      </c>
      <c r="AE2" s="138" t="s">
        <v>296</v>
      </c>
      <c r="AF2" s="138" t="s">
        <v>295</v>
      </c>
      <c r="AG2" s="138" t="s">
        <v>294</v>
      </c>
      <c r="AH2" s="138" t="s">
        <v>293</v>
      </c>
      <c r="AI2" s="138" t="s">
        <v>292</v>
      </c>
      <c r="AJ2" s="138" t="s">
        <v>291</v>
      </c>
      <c r="AK2" s="138" t="s">
        <v>290</v>
      </c>
      <c r="AL2" s="192" t="s">
        <v>289</v>
      </c>
      <c r="AM2" s="138" t="s">
        <v>288</v>
      </c>
      <c r="AN2" s="138" t="s">
        <v>287</v>
      </c>
      <c r="AO2" s="138" t="s">
        <v>286</v>
      </c>
      <c r="AP2" s="138" t="s">
        <v>285</v>
      </c>
      <c r="AQ2" s="138" t="s">
        <v>284</v>
      </c>
      <c r="AR2" s="138" t="s">
        <v>283</v>
      </c>
      <c r="AS2" s="138" t="s">
        <v>282</v>
      </c>
      <c r="AT2" s="138" t="s">
        <v>281</v>
      </c>
      <c r="AU2" s="138" t="s">
        <v>280</v>
      </c>
      <c r="AV2" s="138" t="s">
        <v>279</v>
      </c>
      <c r="AW2" s="138" t="s">
        <v>278</v>
      </c>
      <c r="AX2" s="138" t="s">
        <v>277</v>
      </c>
      <c r="AY2" s="138" t="s">
        <v>276</v>
      </c>
      <c r="AZ2" s="138" t="s">
        <v>275</v>
      </c>
      <c r="BA2" s="194" t="s">
        <v>274</v>
      </c>
      <c r="BB2" s="29"/>
      <c r="BC2" s="196" t="s">
        <v>273</v>
      </c>
      <c r="BD2" s="198" t="s">
        <v>272</v>
      </c>
      <c r="BE2" s="200" t="s">
        <v>271</v>
      </c>
      <c r="BF2" s="200" t="s">
        <v>270</v>
      </c>
      <c r="BG2" s="200" t="s">
        <v>269</v>
      </c>
      <c r="BH2" s="200" t="s">
        <v>268</v>
      </c>
      <c r="BI2" s="200" t="s">
        <v>267</v>
      </c>
      <c r="BJ2" s="204" t="s">
        <v>266</v>
      </c>
      <c r="BK2" s="209" t="s">
        <v>265</v>
      </c>
      <c r="BL2" s="204" t="s">
        <v>264</v>
      </c>
      <c r="BM2" s="205" t="s">
        <v>263</v>
      </c>
      <c r="BN2" s="221" t="s">
        <v>262</v>
      </c>
      <c r="BO2" s="223" t="s">
        <v>261</v>
      </c>
      <c r="BP2" s="207" t="s">
        <v>260</v>
      </c>
      <c r="BQ2" s="201" t="s">
        <v>259</v>
      </c>
      <c r="BR2" s="202"/>
      <c r="BS2" s="203"/>
      <c r="BT2" s="215" t="s">
        <v>258</v>
      </c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7"/>
      <c r="CF2" s="178"/>
      <c r="CG2" s="182"/>
      <c r="CH2" s="183"/>
      <c r="CI2" s="183"/>
      <c r="CJ2" s="183"/>
      <c r="CK2" s="169" t="s">
        <v>257</v>
      </c>
      <c r="CL2" s="170"/>
      <c r="CM2" s="170"/>
      <c r="CN2" s="170"/>
      <c r="CO2" s="170"/>
      <c r="CP2" s="170"/>
      <c r="CQ2" s="171"/>
      <c r="CR2" s="169" t="s">
        <v>678</v>
      </c>
      <c r="CS2" s="170"/>
      <c r="CT2" s="170"/>
      <c r="CU2" s="170"/>
      <c r="CV2" s="170"/>
      <c r="CW2" s="170"/>
      <c r="CX2" s="170"/>
      <c r="CY2" s="170"/>
      <c r="CZ2" s="170"/>
      <c r="DA2" s="170"/>
      <c r="DB2" s="171"/>
      <c r="DC2" s="165" t="s">
        <v>256</v>
      </c>
      <c r="DD2" s="167" t="s">
        <v>255</v>
      </c>
      <c r="DE2" s="163"/>
      <c r="DF2" s="151"/>
      <c r="DG2" s="151"/>
      <c r="DH2" s="154"/>
      <c r="DI2" s="157"/>
    </row>
    <row r="3" spans="1:113" s="20" customFormat="1" ht="60.6" customHeight="1" thickBot="1" x14ac:dyDescent="0.3">
      <c r="A3" s="185"/>
      <c r="B3" s="135"/>
      <c r="C3" s="137"/>
      <c r="D3" s="135"/>
      <c r="E3" s="135"/>
      <c r="F3" s="135"/>
      <c r="G3" s="135"/>
      <c r="H3" s="135"/>
      <c r="I3" s="147"/>
      <c r="J3" s="149"/>
      <c r="K3" s="141"/>
      <c r="L3" s="143"/>
      <c r="M3" s="145"/>
      <c r="N3" s="139"/>
      <c r="O3" s="139"/>
      <c r="P3" s="139"/>
      <c r="Q3" s="139"/>
      <c r="R3" s="139"/>
      <c r="S3" s="139"/>
      <c r="T3" s="187"/>
      <c r="U3" s="189"/>
      <c r="V3" s="173"/>
      <c r="W3" s="139"/>
      <c r="X3" s="139"/>
      <c r="Y3" s="139"/>
      <c r="Z3" s="139"/>
      <c r="AA3" s="187"/>
      <c r="AB3" s="191"/>
      <c r="AC3" s="173"/>
      <c r="AD3" s="139"/>
      <c r="AE3" s="139"/>
      <c r="AF3" s="139"/>
      <c r="AG3" s="139"/>
      <c r="AH3" s="139"/>
      <c r="AI3" s="139"/>
      <c r="AJ3" s="139"/>
      <c r="AK3" s="139"/>
      <c r="AL3" s="193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95"/>
      <c r="BB3" s="28"/>
      <c r="BC3" s="197"/>
      <c r="BD3" s="199"/>
      <c r="BE3" s="135"/>
      <c r="BF3" s="135"/>
      <c r="BG3" s="135"/>
      <c r="BH3" s="135"/>
      <c r="BI3" s="135"/>
      <c r="BJ3" s="147"/>
      <c r="BK3" s="210"/>
      <c r="BL3" s="147"/>
      <c r="BM3" s="206"/>
      <c r="BN3" s="222"/>
      <c r="BO3" s="224"/>
      <c r="BP3" s="208"/>
      <c r="BQ3" s="27" t="s">
        <v>254</v>
      </c>
      <c r="BR3" s="26" t="s">
        <v>253</v>
      </c>
      <c r="BS3" s="25" t="s">
        <v>252</v>
      </c>
      <c r="BT3" s="24" t="s">
        <v>251</v>
      </c>
      <c r="BU3" s="218" t="s">
        <v>250</v>
      </c>
      <c r="BV3" s="219"/>
      <c r="BW3" s="211" t="s">
        <v>249</v>
      </c>
      <c r="BX3" s="212"/>
      <c r="BY3" s="212" t="s">
        <v>248</v>
      </c>
      <c r="BZ3" s="212"/>
      <c r="CA3" s="212" t="s">
        <v>247</v>
      </c>
      <c r="CB3" s="212"/>
      <c r="CC3" s="64" t="s">
        <v>246</v>
      </c>
      <c r="CD3" s="65" t="s">
        <v>245</v>
      </c>
      <c r="CE3" s="66" t="s">
        <v>680</v>
      </c>
      <c r="CF3" s="23" t="s">
        <v>244</v>
      </c>
      <c r="CG3" s="213" t="s">
        <v>243</v>
      </c>
      <c r="CH3" s="214"/>
      <c r="CI3" s="22" t="s">
        <v>242</v>
      </c>
      <c r="CJ3" s="21"/>
      <c r="CK3" s="67">
        <v>2</v>
      </c>
      <c r="CL3" s="68">
        <v>3</v>
      </c>
      <c r="CM3" s="68">
        <v>4</v>
      </c>
      <c r="CN3" s="68">
        <v>5</v>
      </c>
      <c r="CO3" s="68">
        <v>6</v>
      </c>
      <c r="CP3" s="68">
        <v>7</v>
      </c>
      <c r="CQ3" s="69">
        <v>8</v>
      </c>
      <c r="CR3" s="67" t="s">
        <v>241</v>
      </c>
      <c r="CS3" s="68" t="s">
        <v>240</v>
      </c>
      <c r="CT3" s="68" t="s">
        <v>239</v>
      </c>
      <c r="CU3" s="68" t="s">
        <v>238</v>
      </c>
      <c r="CV3" s="68" t="s">
        <v>237</v>
      </c>
      <c r="CW3" s="68" t="s">
        <v>236</v>
      </c>
      <c r="CX3" s="68" t="s">
        <v>235</v>
      </c>
      <c r="CY3" s="68" t="s">
        <v>234</v>
      </c>
      <c r="CZ3" s="68" t="s">
        <v>233</v>
      </c>
      <c r="DA3" s="68" t="s">
        <v>232</v>
      </c>
      <c r="DB3" s="69" t="s">
        <v>231</v>
      </c>
      <c r="DC3" s="166"/>
      <c r="DD3" s="168"/>
      <c r="DE3" s="164"/>
      <c r="DF3" s="152"/>
      <c r="DG3" s="152"/>
      <c r="DH3" s="155"/>
      <c r="DI3" s="158"/>
    </row>
    <row r="4" spans="1:113" s="70" customFormat="1" ht="15.75" customHeight="1" thickBot="1" x14ac:dyDescent="0.3">
      <c r="A4" s="70">
        <v>120993</v>
      </c>
      <c r="B4" s="70" t="s">
        <v>6</v>
      </c>
      <c r="C4" s="71">
        <v>2</v>
      </c>
      <c r="D4" s="70">
        <v>2</v>
      </c>
      <c r="E4" s="70">
        <v>0</v>
      </c>
      <c r="F4" s="70">
        <v>2</v>
      </c>
      <c r="G4" s="70">
        <v>631</v>
      </c>
      <c r="H4" s="70">
        <v>0</v>
      </c>
      <c r="I4" s="70">
        <v>15</v>
      </c>
      <c r="J4" s="49" t="s">
        <v>230</v>
      </c>
      <c r="K4" s="49" t="s">
        <v>229</v>
      </c>
      <c r="L4" s="50">
        <v>45418.695729166669</v>
      </c>
      <c r="M4" s="70">
        <v>0</v>
      </c>
      <c r="N4" s="70">
        <v>0</v>
      </c>
      <c r="O4" s="70">
        <v>0</v>
      </c>
      <c r="R4" s="70" t="s">
        <v>34</v>
      </c>
      <c r="S4" s="70" t="b">
        <v>0</v>
      </c>
      <c r="T4" s="70">
        <v>0.5</v>
      </c>
      <c r="U4" s="72">
        <v>9</v>
      </c>
      <c r="V4" s="70">
        <v>1</v>
      </c>
      <c r="W4" s="70">
        <v>0</v>
      </c>
      <c r="X4" s="70">
        <v>2000</v>
      </c>
      <c r="Y4" s="70">
        <v>0</v>
      </c>
      <c r="Z4" s="70">
        <v>10</v>
      </c>
      <c r="AA4" s="70">
        <v>0</v>
      </c>
      <c r="AB4" s="73">
        <v>30</v>
      </c>
      <c r="AC4" s="70">
        <v>0</v>
      </c>
      <c r="AD4" s="70">
        <v>10</v>
      </c>
      <c r="AE4" s="70">
        <v>0</v>
      </c>
      <c r="AF4" s="70">
        <v>2000</v>
      </c>
      <c r="AG4" s="70">
        <v>2</v>
      </c>
      <c r="AH4" s="70">
        <v>9.69</v>
      </c>
      <c r="AI4" s="70">
        <v>673</v>
      </c>
      <c r="AJ4" s="70">
        <v>0</v>
      </c>
      <c r="AK4" s="70">
        <v>157</v>
      </c>
      <c r="AL4" s="70">
        <v>0</v>
      </c>
      <c r="AM4" s="70" t="s">
        <v>2</v>
      </c>
      <c r="AN4" s="70">
        <v>0</v>
      </c>
      <c r="AO4" s="70">
        <v>30</v>
      </c>
      <c r="AP4" s="70">
        <v>0</v>
      </c>
      <c r="AW4" s="70" t="b">
        <v>0</v>
      </c>
      <c r="AZ4" s="70" t="s">
        <v>34</v>
      </c>
      <c r="BB4" s="34"/>
      <c r="BC4" s="70">
        <v>1</v>
      </c>
      <c r="BD4" s="220" t="s">
        <v>228</v>
      </c>
      <c r="BE4" s="34"/>
      <c r="BF4" s="70">
        <v>1.2</v>
      </c>
      <c r="BG4" s="70">
        <v>0</v>
      </c>
      <c r="BH4" s="70">
        <v>0</v>
      </c>
      <c r="BI4" s="70">
        <v>0</v>
      </c>
      <c r="BJ4" s="70">
        <v>1.2</v>
      </c>
      <c r="BK4" s="70">
        <v>5.5</v>
      </c>
      <c r="BL4" s="70">
        <v>6</v>
      </c>
      <c r="BM4" s="70" t="s">
        <v>1</v>
      </c>
      <c r="BN4" s="60">
        <f t="shared" ref="BN4:BN35" si="0">D4</f>
        <v>2</v>
      </c>
      <c r="BO4" s="74">
        <f t="shared" ref="BO4:BO35" si="1">U4</f>
        <v>9</v>
      </c>
      <c r="BP4" s="75">
        <v>350</v>
      </c>
      <c r="BQ4" s="76">
        <v>5.23</v>
      </c>
      <c r="BR4" s="76">
        <v>5.1840000000000002</v>
      </c>
      <c r="BS4" s="76">
        <v>5.2070000000000007</v>
      </c>
      <c r="BT4" s="40"/>
      <c r="BU4" s="40"/>
      <c r="BV4" s="77">
        <v>0</v>
      </c>
      <c r="BW4" s="40"/>
      <c r="BX4" s="77">
        <v>0</v>
      </c>
      <c r="BY4" s="40"/>
      <c r="BZ4" s="77"/>
      <c r="CA4" s="40"/>
      <c r="CB4" s="77"/>
      <c r="CC4" s="40"/>
      <c r="CD4" s="40"/>
      <c r="CE4" s="78"/>
      <c r="CF4" s="79" t="s">
        <v>679</v>
      </c>
      <c r="CG4" s="70">
        <v>5.2070000000000007</v>
      </c>
      <c r="CH4" s="70" t="str">
        <f t="shared" ref="CH4:CH35" si="2" xml:space="preserve"> IF(DI4="D", " ",BT4)</f>
        <v xml:space="preserve"> </v>
      </c>
      <c r="CI4" s="70">
        <f t="shared" ref="CI4:CI35" si="3">IF(MIN(BF4,BJ4)=0.55,  2.68,          IF(MIN(BF4,BJ4)=0.8,     3.56,          IF(MIN(BF4,BJ4)=0.9,      3.81,             IF(MIN(BF4,BJ4)=1,     4.06,                IF(MIN(BF4,BJ4)=1.2,        4.57,             IF(MIN(BF4,BJ4)=1.6,          5.08  ))))))</f>
        <v>4.57</v>
      </c>
      <c r="CJ4" s="70">
        <v>0</v>
      </c>
      <c r="CK4" s="70">
        <v>0</v>
      </c>
      <c r="CL4" s="70">
        <v>0</v>
      </c>
      <c r="CM4" s="70">
        <v>0</v>
      </c>
      <c r="CN4" s="70">
        <v>0</v>
      </c>
      <c r="CO4" s="70">
        <v>0</v>
      </c>
      <c r="CP4" s="70">
        <v>0</v>
      </c>
      <c r="CQ4" s="70">
        <v>0</v>
      </c>
      <c r="CR4" s="80">
        <v>1</v>
      </c>
      <c r="CS4" s="70">
        <v>0</v>
      </c>
      <c r="CT4" s="70">
        <v>0</v>
      </c>
      <c r="CU4" s="81">
        <v>0</v>
      </c>
      <c r="CV4" s="70">
        <v>0</v>
      </c>
      <c r="CW4" s="70">
        <v>0</v>
      </c>
      <c r="CX4" s="70">
        <v>0</v>
      </c>
      <c r="CY4" s="70">
        <v>0</v>
      </c>
      <c r="CZ4" s="70">
        <v>0</v>
      </c>
      <c r="DA4" s="70">
        <v>0</v>
      </c>
      <c r="DB4" s="70">
        <v>0</v>
      </c>
      <c r="DC4" s="18">
        <f t="shared" ref="DC4:DC35" si="4">IF(CR4 + CU4 + CJ4 &gt; 0, 1,0)</f>
        <v>1</v>
      </c>
      <c r="DD4" s="82">
        <v>1</v>
      </c>
      <c r="DE4" s="70">
        <v>694.28571428571433</v>
      </c>
      <c r="DF4" s="70">
        <v>0</v>
      </c>
      <c r="DG4" s="70">
        <v>0</v>
      </c>
      <c r="DH4" s="82">
        <v>694.28571428571433</v>
      </c>
      <c r="DI4" s="70" t="s">
        <v>0</v>
      </c>
    </row>
    <row r="5" spans="1:113" s="70" customFormat="1" ht="15.75" thickBot="1" x14ac:dyDescent="0.3">
      <c r="A5" s="70">
        <v>120994</v>
      </c>
      <c r="B5" s="70" t="s">
        <v>6</v>
      </c>
      <c r="C5" s="71">
        <v>2</v>
      </c>
      <c r="D5" s="70">
        <v>2</v>
      </c>
      <c r="E5" s="70">
        <v>0</v>
      </c>
      <c r="F5" s="70">
        <v>2</v>
      </c>
      <c r="G5" s="70">
        <v>632</v>
      </c>
      <c r="H5" s="70">
        <v>0</v>
      </c>
      <c r="I5" s="70">
        <v>15</v>
      </c>
      <c r="J5" s="49" t="s">
        <v>227</v>
      </c>
      <c r="K5" s="49" t="s">
        <v>226</v>
      </c>
      <c r="L5" s="50">
        <v>45418.695787037039</v>
      </c>
      <c r="M5" s="70">
        <v>0</v>
      </c>
      <c r="N5" s="70">
        <v>0</v>
      </c>
      <c r="O5" s="70">
        <v>0</v>
      </c>
      <c r="R5" s="70" t="s">
        <v>34</v>
      </c>
      <c r="S5" s="70" t="b">
        <v>0</v>
      </c>
      <c r="T5" s="70">
        <v>0.5</v>
      </c>
      <c r="U5" s="72">
        <v>9</v>
      </c>
      <c r="V5" s="70">
        <v>1</v>
      </c>
      <c r="W5" s="70">
        <v>0</v>
      </c>
      <c r="X5" s="70">
        <v>2000</v>
      </c>
      <c r="Y5" s="70">
        <v>0</v>
      </c>
      <c r="Z5" s="70">
        <v>10</v>
      </c>
      <c r="AA5" s="70">
        <v>0</v>
      </c>
      <c r="AB5" s="73">
        <v>30</v>
      </c>
      <c r="AC5" s="70">
        <v>0</v>
      </c>
      <c r="AD5" s="70">
        <v>10</v>
      </c>
      <c r="AE5" s="70">
        <v>0</v>
      </c>
      <c r="AF5" s="70">
        <v>2000</v>
      </c>
      <c r="AG5" s="70">
        <v>2</v>
      </c>
      <c r="AH5" s="70">
        <v>9.4600000000000009</v>
      </c>
      <c r="AI5" s="70">
        <v>626</v>
      </c>
      <c r="AJ5" s="70">
        <v>0</v>
      </c>
      <c r="AK5" s="70">
        <v>146</v>
      </c>
      <c r="AL5" s="70">
        <v>0</v>
      </c>
      <c r="AM5" s="70" t="s">
        <v>2</v>
      </c>
      <c r="AN5" s="70">
        <v>0</v>
      </c>
      <c r="AO5" s="70">
        <v>30</v>
      </c>
      <c r="AP5" s="70">
        <v>0</v>
      </c>
      <c r="AW5" s="70" t="b">
        <v>0</v>
      </c>
      <c r="AZ5" s="70" t="s">
        <v>34</v>
      </c>
      <c r="BB5" s="34"/>
      <c r="BC5" s="70">
        <f>BC4+1</f>
        <v>2</v>
      </c>
      <c r="BD5" s="220"/>
      <c r="BE5" s="34"/>
      <c r="BF5" s="70">
        <v>1.2</v>
      </c>
      <c r="BG5" s="70">
        <v>0</v>
      </c>
      <c r="BH5" s="70">
        <v>0</v>
      </c>
      <c r="BI5" s="70">
        <v>0</v>
      </c>
      <c r="BJ5" s="70">
        <v>1.2</v>
      </c>
      <c r="BK5" s="70">
        <v>5.5</v>
      </c>
      <c r="BL5" s="70">
        <v>6</v>
      </c>
      <c r="BM5" s="70" t="s">
        <v>1</v>
      </c>
      <c r="BN5" s="60">
        <f t="shared" si="0"/>
        <v>2</v>
      </c>
      <c r="BO5" s="74">
        <f t="shared" si="1"/>
        <v>9</v>
      </c>
      <c r="BP5" s="75">
        <v>350</v>
      </c>
      <c r="BQ5" s="76">
        <v>5.3070000000000004</v>
      </c>
      <c r="BR5" s="76">
        <v>5.43</v>
      </c>
      <c r="BS5" s="76">
        <v>5.3685</v>
      </c>
      <c r="BT5" s="40"/>
      <c r="BU5" s="40"/>
      <c r="BV5" s="77">
        <v>0</v>
      </c>
      <c r="BW5" s="40"/>
      <c r="BX5" s="77">
        <v>0</v>
      </c>
      <c r="BY5" s="40"/>
      <c r="BZ5" s="77"/>
      <c r="CA5" s="40"/>
      <c r="CB5" s="77"/>
      <c r="CC5" s="40"/>
      <c r="CD5" s="40"/>
      <c r="CE5" s="78"/>
      <c r="CF5" s="79" t="s">
        <v>679</v>
      </c>
      <c r="CG5" s="70">
        <v>5.3685</v>
      </c>
      <c r="CH5" s="70" t="str">
        <f t="shared" si="2"/>
        <v xml:space="preserve"> </v>
      </c>
      <c r="CI5" s="70">
        <f t="shared" si="3"/>
        <v>4.57</v>
      </c>
      <c r="CJ5" s="70">
        <v>0</v>
      </c>
      <c r="CK5" s="70">
        <v>0</v>
      </c>
      <c r="CL5" s="70">
        <v>0</v>
      </c>
      <c r="CM5" s="70">
        <v>0</v>
      </c>
      <c r="CN5" s="70">
        <v>0</v>
      </c>
      <c r="CO5" s="70">
        <v>0</v>
      </c>
      <c r="CP5" s="70">
        <v>0</v>
      </c>
      <c r="CQ5" s="70">
        <v>0</v>
      </c>
      <c r="CR5" s="80">
        <v>1</v>
      </c>
      <c r="CS5" s="70">
        <v>0</v>
      </c>
      <c r="CT5" s="70">
        <v>0</v>
      </c>
      <c r="CU5" s="81">
        <v>0</v>
      </c>
      <c r="CV5" s="70">
        <v>0</v>
      </c>
      <c r="CW5" s="70">
        <v>0</v>
      </c>
      <c r="CX5" s="70">
        <v>0</v>
      </c>
      <c r="CY5" s="70">
        <v>0</v>
      </c>
      <c r="CZ5" s="70">
        <v>0</v>
      </c>
      <c r="DA5" s="70">
        <v>0</v>
      </c>
      <c r="DB5" s="70">
        <v>0</v>
      </c>
      <c r="DC5" s="18">
        <f t="shared" si="4"/>
        <v>1</v>
      </c>
      <c r="DD5" s="82">
        <v>1</v>
      </c>
      <c r="DE5" s="70">
        <v>694.28571428571433</v>
      </c>
      <c r="DF5" s="70">
        <v>0</v>
      </c>
      <c r="DG5" s="70">
        <v>0</v>
      </c>
      <c r="DH5" s="82">
        <v>694.28571428571433</v>
      </c>
      <c r="DI5" s="70" t="s">
        <v>0</v>
      </c>
    </row>
    <row r="6" spans="1:113" s="70" customFormat="1" ht="15.75" customHeight="1" thickBot="1" x14ac:dyDescent="0.3">
      <c r="A6" s="70">
        <v>121569</v>
      </c>
      <c r="B6" s="70" t="s">
        <v>6</v>
      </c>
      <c r="C6" s="71">
        <v>2</v>
      </c>
      <c r="D6" s="70">
        <v>2</v>
      </c>
      <c r="E6" s="70">
        <v>0</v>
      </c>
      <c r="F6" s="70">
        <v>2</v>
      </c>
      <c r="G6" s="70">
        <v>395</v>
      </c>
      <c r="H6" s="70">
        <v>0</v>
      </c>
      <c r="I6" s="70">
        <v>15</v>
      </c>
      <c r="J6" s="49" t="s">
        <v>225</v>
      </c>
      <c r="K6" s="49" t="s">
        <v>224</v>
      </c>
      <c r="L6" s="50">
        <v>45419.438796296301</v>
      </c>
      <c r="M6" s="70">
        <v>0</v>
      </c>
      <c r="N6" s="70">
        <v>0</v>
      </c>
      <c r="O6" s="70">
        <v>0</v>
      </c>
      <c r="R6" s="70" t="s">
        <v>34</v>
      </c>
      <c r="S6" s="70" t="b">
        <v>0</v>
      </c>
      <c r="T6" s="70">
        <v>0.5</v>
      </c>
      <c r="U6" s="72">
        <v>9</v>
      </c>
      <c r="V6" s="70">
        <v>1</v>
      </c>
      <c r="W6" s="70">
        <v>0</v>
      </c>
      <c r="X6" s="70">
        <v>2000</v>
      </c>
      <c r="Y6" s="70">
        <v>0</v>
      </c>
      <c r="Z6" s="70">
        <v>10</v>
      </c>
      <c r="AA6" s="70">
        <v>0</v>
      </c>
      <c r="AB6" s="73">
        <v>30</v>
      </c>
      <c r="AC6" s="70">
        <v>0</v>
      </c>
      <c r="AD6" s="70">
        <v>10</v>
      </c>
      <c r="AE6" s="70">
        <v>0</v>
      </c>
      <c r="AF6" s="70">
        <v>2000</v>
      </c>
      <c r="AG6" s="70">
        <v>2</v>
      </c>
      <c r="AH6" s="70">
        <v>9.66</v>
      </c>
      <c r="AI6" s="70">
        <v>673</v>
      </c>
      <c r="AJ6" s="70">
        <v>0</v>
      </c>
      <c r="AK6" s="70">
        <v>157</v>
      </c>
      <c r="AL6" s="70">
        <v>0</v>
      </c>
      <c r="AM6" s="70" t="s">
        <v>2</v>
      </c>
      <c r="AN6" s="70">
        <v>0</v>
      </c>
      <c r="AO6" s="70">
        <v>30</v>
      </c>
      <c r="AP6" s="70">
        <v>0</v>
      </c>
      <c r="AW6" s="70" t="b">
        <v>0</v>
      </c>
      <c r="AZ6" s="70" t="s">
        <v>34</v>
      </c>
      <c r="BB6" s="34"/>
      <c r="BC6" s="70">
        <v>3</v>
      </c>
      <c r="BD6" s="220" t="s">
        <v>223</v>
      </c>
      <c r="BE6" s="34"/>
      <c r="BF6" s="70">
        <v>1.2</v>
      </c>
      <c r="BG6" s="70">
        <v>0</v>
      </c>
      <c r="BH6" s="70">
        <v>0</v>
      </c>
      <c r="BI6" s="70">
        <v>0</v>
      </c>
      <c r="BJ6" s="70">
        <v>1.2</v>
      </c>
      <c r="BK6" s="70">
        <v>5.5</v>
      </c>
      <c r="BL6" s="70">
        <v>6</v>
      </c>
      <c r="BM6" s="70" t="s">
        <v>1</v>
      </c>
      <c r="BN6" s="60">
        <f t="shared" si="0"/>
        <v>2</v>
      </c>
      <c r="BO6" s="74">
        <f t="shared" si="1"/>
        <v>9</v>
      </c>
      <c r="BP6" s="75">
        <v>350</v>
      </c>
      <c r="BQ6" s="76">
        <v>4.431</v>
      </c>
      <c r="BR6" s="76">
        <v>4.83</v>
      </c>
      <c r="BS6" s="76">
        <v>4.6304999999999996</v>
      </c>
      <c r="BT6" s="40"/>
      <c r="BU6" s="40"/>
      <c r="BV6" s="77">
        <v>0</v>
      </c>
      <c r="BW6" s="40"/>
      <c r="BX6" s="77">
        <v>0</v>
      </c>
      <c r="BY6" s="40"/>
      <c r="BZ6" s="77"/>
      <c r="CA6" s="40"/>
      <c r="CB6" s="77"/>
      <c r="CC6" s="40"/>
      <c r="CD6" s="40"/>
      <c r="CE6" s="78"/>
      <c r="CF6" s="79" t="s">
        <v>679</v>
      </c>
      <c r="CG6" s="70">
        <v>4.6304999999999996</v>
      </c>
      <c r="CH6" s="70" t="str">
        <f t="shared" si="2"/>
        <v xml:space="preserve"> </v>
      </c>
      <c r="CI6" s="70">
        <f t="shared" si="3"/>
        <v>4.57</v>
      </c>
      <c r="CJ6" s="70">
        <v>0</v>
      </c>
      <c r="CK6" s="70">
        <v>0</v>
      </c>
      <c r="CL6" s="70">
        <v>0</v>
      </c>
      <c r="CM6" s="70">
        <v>0</v>
      </c>
      <c r="CN6" s="70">
        <v>0</v>
      </c>
      <c r="CO6" s="70">
        <v>0</v>
      </c>
      <c r="CP6" s="70">
        <v>0</v>
      </c>
      <c r="CQ6" s="70">
        <v>0</v>
      </c>
      <c r="CR6" s="80">
        <v>1</v>
      </c>
      <c r="CS6" s="70">
        <v>0</v>
      </c>
      <c r="CT6" s="70">
        <v>0</v>
      </c>
      <c r="CU6" s="81">
        <v>0</v>
      </c>
      <c r="CV6" s="70">
        <v>0</v>
      </c>
      <c r="CW6" s="70">
        <v>0</v>
      </c>
      <c r="CX6" s="70">
        <v>0</v>
      </c>
      <c r="CY6" s="70">
        <v>0</v>
      </c>
      <c r="CZ6" s="70">
        <v>0</v>
      </c>
      <c r="DA6" s="70">
        <v>0</v>
      </c>
      <c r="DB6" s="70">
        <v>0</v>
      </c>
      <c r="DC6" s="18">
        <f t="shared" si="4"/>
        <v>1</v>
      </c>
      <c r="DD6" s="82">
        <v>1</v>
      </c>
      <c r="DE6" s="70">
        <v>694.28571428571433</v>
      </c>
      <c r="DF6" s="70">
        <v>0</v>
      </c>
      <c r="DG6" s="70">
        <v>0</v>
      </c>
      <c r="DH6" s="82">
        <v>694.28571428571433</v>
      </c>
      <c r="DI6" s="70" t="s">
        <v>0</v>
      </c>
    </row>
    <row r="7" spans="1:113" s="70" customFormat="1" ht="15.75" thickBot="1" x14ac:dyDescent="0.3">
      <c r="A7" s="70">
        <v>121570</v>
      </c>
      <c r="B7" s="70" t="s">
        <v>6</v>
      </c>
      <c r="C7" s="71">
        <v>2</v>
      </c>
      <c r="D7" s="70">
        <v>2</v>
      </c>
      <c r="E7" s="70">
        <v>0</v>
      </c>
      <c r="F7" s="70">
        <v>2</v>
      </c>
      <c r="G7" s="70">
        <v>396</v>
      </c>
      <c r="H7" s="70">
        <v>0</v>
      </c>
      <c r="I7" s="70">
        <v>15</v>
      </c>
      <c r="J7" s="49" t="s">
        <v>222</v>
      </c>
      <c r="K7" s="49" t="s">
        <v>221</v>
      </c>
      <c r="L7" s="50">
        <v>45419.441400463002</v>
      </c>
      <c r="M7" s="70">
        <v>0</v>
      </c>
      <c r="N7" s="70">
        <v>0</v>
      </c>
      <c r="O7" s="70">
        <v>0</v>
      </c>
      <c r="R7" s="70" t="s">
        <v>34</v>
      </c>
      <c r="S7" s="70" t="b">
        <v>0</v>
      </c>
      <c r="T7" s="70">
        <v>0.5</v>
      </c>
      <c r="U7" s="72">
        <v>9</v>
      </c>
      <c r="V7" s="70">
        <v>1</v>
      </c>
      <c r="W7" s="70">
        <v>0</v>
      </c>
      <c r="X7" s="70">
        <v>2000</v>
      </c>
      <c r="Y7" s="70">
        <v>0</v>
      </c>
      <c r="Z7" s="70">
        <v>10</v>
      </c>
      <c r="AA7" s="70">
        <v>0</v>
      </c>
      <c r="AB7" s="73">
        <v>30</v>
      </c>
      <c r="AC7" s="70">
        <v>0</v>
      </c>
      <c r="AD7" s="70">
        <v>10</v>
      </c>
      <c r="AE7" s="70">
        <v>0</v>
      </c>
      <c r="AF7" s="70">
        <v>2000</v>
      </c>
      <c r="AG7" s="70">
        <v>2</v>
      </c>
      <c r="AH7" s="70">
        <v>9.5</v>
      </c>
      <c r="AI7" s="70">
        <v>643</v>
      </c>
      <c r="AJ7" s="70">
        <v>0</v>
      </c>
      <c r="AK7" s="70">
        <v>150</v>
      </c>
      <c r="AL7" s="70">
        <v>0</v>
      </c>
      <c r="AM7" s="70" t="s">
        <v>2</v>
      </c>
      <c r="AN7" s="70">
        <v>0</v>
      </c>
      <c r="AO7" s="70">
        <v>30</v>
      </c>
      <c r="AP7" s="70">
        <v>0</v>
      </c>
      <c r="AW7" s="70" t="b">
        <v>0</v>
      </c>
      <c r="AZ7" s="70" t="s">
        <v>34</v>
      </c>
      <c r="BB7" s="34"/>
      <c r="BC7" s="70">
        <v>4</v>
      </c>
      <c r="BD7" s="220"/>
      <c r="BE7" s="34"/>
      <c r="BF7" s="70">
        <v>1.2</v>
      </c>
      <c r="BG7" s="70">
        <v>0</v>
      </c>
      <c r="BH7" s="70">
        <v>0</v>
      </c>
      <c r="BI7" s="70">
        <v>0</v>
      </c>
      <c r="BJ7" s="70">
        <v>1.2</v>
      </c>
      <c r="BK7" s="70">
        <v>5.5</v>
      </c>
      <c r="BL7" s="70">
        <v>6</v>
      </c>
      <c r="BM7" s="70" t="s">
        <v>1</v>
      </c>
      <c r="BN7" s="60">
        <f t="shared" si="0"/>
        <v>2</v>
      </c>
      <c r="BO7" s="74">
        <f t="shared" si="1"/>
        <v>9</v>
      </c>
      <c r="BP7" s="75">
        <v>350</v>
      </c>
      <c r="BQ7" s="76">
        <v>4.9669999999999996</v>
      </c>
      <c r="BR7" s="76">
        <v>4.5659999999999998</v>
      </c>
      <c r="BS7" s="76">
        <v>4.7664999999999997</v>
      </c>
      <c r="BT7" s="40"/>
      <c r="BU7" s="40"/>
      <c r="BV7" s="77">
        <v>0</v>
      </c>
      <c r="BW7" s="40"/>
      <c r="BX7" s="77">
        <v>0</v>
      </c>
      <c r="BY7" s="40"/>
      <c r="BZ7" s="77"/>
      <c r="CA7" s="40"/>
      <c r="CB7" s="77"/>
      <c r="CC7" s="40"/>
      <c r="CD7" s="40"/>
      <c r="CE7" s="78"/>
      <c r="CF7" s="79" t="s">
        <v>679</v>
      </c>
      <c r="CG7" s="70">
        <v>4.7664999999999997</v>
      </c>
      <c r="CH7" s="70" t="str">
        <f t="shared" si="2"/>
        <v xml:space="preserve"> </v>
      </c>
      <c r="CI7" s="70">
        <f t="shared" si="3"/>
        <v>4.57</v>
      </c>
      <c r="CJ7" s="70">
        <v>0</v>
      </c>
      <c r="CK7" s="70">
        <v>0</v>
      </c>
      <c r="CL7" s="70">
        <v>0</v>
      </c>
      <c r="CM7" s="70">
        <v>0</v>
      </c>
      <c r="CN7" s="70">
        <v>0</v>
      </c>
      <c r="CO7" s="70">
        <v>0</v>
      </c>
      <c r="CP7" s="70">
        <v>0</v>
      </c>
      <c r="CQ7" s="70">
        <v>0</v>
      </c>
      <c r="CR7" s="80">
        <v>1</v>
      </c>
      <c r="CS7" s="70">
        <v>0</v>
      </c>
      <c r="CT7" s="70">
        <v>0</v>
      </c>
      <c r="CU7" s="81">
        <v>0</v>
      </c>
      <c r="CV7" s="70">
        <v>0</v>
      </c>
      <c r="CW7" s="70">
        <v>0</v>
      </c>
      <c r="CX7" s="70">
        <v>0</v>
      </c>
      <c r="CY7" s="70">
        <v>0</v>
      </c>
      <c r="CZ7" s="70">
        <v>0</v>
      </c>
      <c r="DA7" s="70">
        <v>0</v>
      </c>
      <c r="DB7" s="70">
        <v>0</v>
      </c>
      <c r="DC7" s="18">
        <f t="shared" si="4"/>
        <v>1</v>
      </c>
      <c r="DD7" s="82">
        <v>1</v>
      </c>
      <c r="DE7" s="70">
        <v>694.28571428571433</v>
      </c>
      <c r="DF7" s="70">
        <v>0</v>
      </c>
      <c r="DG7" s="70">
        <v>0</v>
      </c>
      <c r="DH7" s="82">
        <v>694.28571428571433</v>
      </c>
      <c r="DI7" s="70" t="s">
        <v>0</v>
      </c>
    </row>
    <row r="8" spans="1:113" s="70" customFormat="1" ht="15" customHeight="1" thickBot="1" x14ac:dyDescent="0.3">
      <c r="A8" s="70">
        <v>122027</v>
      </c>
      <c r="B8" s="70" t="s">
        <v>6</v>
      </c>
      <c r="C8" s="71">
        <v>2</v>
      </c>
      <c r="D8" s="70">
        <v>2</v>
      </c>
      <c r="E8" s="70">
        <v>0</v>
      </c>
      <c r="F8" s="70">
        <v>2</v>
      </c>
      <c r="G8" s="70">
        <v>247</v>
      </c>
      <c r="H8" s="70">
        <v>0</v>
      </c>
      <c r="I8" s="70">
        <v>15</v>
      </c>
      <c r="J8" s="49" t="s">
        <v>220</v>
      </c>
      <c r="K8" s="49" t="s">
        <v>219</v>
      </c>
      <c r="L8" s="50">
        <v>45419.699930555602</v>
      </c>
      <c r="M8" s="70">
        <v>0</v>
      </c>
      <c r="N8" s="70">
        <v>0</v>
      </c>
      <c r="O8" s="70">
        <v>0</v>
      </c>
      <c r="R8" s="70" t="s">
        <v>34</v>
      </c>
      <c r="S8" s="70" t="b">
        <v>0</v>
      </c>
      <c r="T8" s="70">
        <v>0.5</v>
      </c>
      <c r="U8" s="72">
        <v>9</v>
      </c>
      <c r="V8" s="70">
        <v>1</v>
      </c>
      <c r="W8" s="70">
        <v>0</v>
      </c>
      <c r="X8" s="70">
        <v>2000</v>
      </c>
      <c r="Y8" s="70">
        <v>0</v>
      </c>
      <c r="Z8" s="70">
        <v>10</v>
      </c>
      <c r="AA8" s="70">
        <v>0</v>
      </c>
      <c r="AB8" s="73">
        <v>30</v>
      </c>
      <c r="AC8" s="70">
        <v>0</v>
      </c>
      <c r="AD8" s="70">
        <v>10</v>
      </c>
      <c r="AE8" s="70">
        <v>0</v>
      </c>
      <c r="AF8" s="70">
        <v>2000</v>
      </c>
      <c r="AG8" s="70">
        <v>2</v>
      </c>
      <c r="AH8" s="70">
        <v>9.64</v>
      </c>
      <c r="AI8" s="70">
        <v>686</v>
      </c>
      <c r="AJ8" s="70">
        <v>0</v>
      </c>
      <c r="AK8" s="70">
        <v>161</v>
      </c>
      <c r="AL8" s="70">
        <v>0</v>
      </c>
      <c r="AM8" s="70" t="s">
        <v>2</v>
      </c>
      <c r="AN8" s="70">
        <v>0</v>
      </c>
      <c r="AO8" s="70">
        <v>30</v>
      </c>
      <c r="AP8" s="70">
        <v>0</v>
      </c>
      <c r="AW8" s="70" t="b">
        <v>0</v>
      </c>
      <c r="AZ8" s="70" t="s">
        <v>34</v>
      </c>
      <c r="BB8" s="34"/>
      <c r="BC8" s="70">
        <v>7</v>
      </c>
      <c r="BD8" s="220" t="s">
        <v>218</v>
      </c>
      <c r="BE8" s="34"/>
      <c r="BF8" s="70">
        <v>1.2</v>
      </c>
      <c r="BG8" s="70">
        <v>0</v>
      </c>
      <c r="BH8" s="70">
        <v>0</v>
      </c>
      <c r="BI8" s="70">
        <v>0</v>
      </c>
      <c r="BJ8" s="70">
        <v>1.2</v>
      </c>
      <c r="BK8" s="70">
        <v>5.5</v>
      </c>
      <c r="BL8" s="70">
        <v>6</v>
      </c>
      <c r="BM8" s="70" t="s">
        <v>1</v>
      </c>
      <c r="BN8" s="60">
        <f t="shared" si="0"/>
        <v>2</v>
      </c>
      <c r="BO8" s="74">
        <f t="shared" si="1"/>
        <v>9</v>
      </c>
      <c r="BP8" s="75">
        <v>350</v>
      </c>
      <c r="BQ8" s="76">
        <v>5.4290000000000003</v>
      </c>
      <c r="BR8" s="76">
        <v>5.2210000000000001</v>
      </c>
      <c r="BS8" s="76">
        <v>5.3250000000000002</v>
      </c>
      <c r="BT8" s="40"/>
      <c r="BU8" s="40"/>
      <c r="BV8" s="77">
        <v>0</v>
      </c>
      <c r="BW8" s="40"/>
      <c r="BX8" s="77">
        <v>0</v>
      </c>
      <c r="BY8" s="40"/>
      <c r="BZ8" s="77"/>
      <c r="CA8" s="40"/>
      <c r="CB8" s="77"/>
      <c r="CC8" s="40"/>
      <c r="CD8" s="40"/>
      <c r="CE8" s="78"/>
      <c r="CF8" s="79" t="s">
        <v>679</v>
      </c>
      <c r="CG8" s="70">
        <v>5.3250000000000002</v>
      </c>
      <c r="CH8" s="70" t="str">
        <f t="shared" si="2"/>
        <v xml:space="preserve"> </v>
      </c>
      <c r="CI8" s="70">
        <f t="shared" si="3"/>
        <v>4.57</v>
      </c>
      <c r="CJ8" s="70">
        <v>0</v>
      </c>
      <c r="CK8" s="70">
        <v>0</v>
      </c>
      <c r="CL8" s="70">
        <v>0</v>
      </c>
      <c r="CM8" s="70">
        <v>0</v>
      </c>
      <c r="CN8" s="70">
        <v>0</v>
      </c>
      <c r="CO8" s="70">
        <v>0</v>
      </c>
      <c r="CP8" s="70">
        <v>0</v>
      </c>
      <c r="CQ8" s="70">
        <v>0</v>
      </c>
      <c r="CR8" s="80">
        <v>1</v>
      </c>
      <c r="CS8" s="70">
        <v>0</v>
      </c>
      <c r="CT8" s="70">
        <v>0</v>
      </c>
      <c r="CU8" s="81">
        <v>0</v>
      </c>
      <c r="CV8" s="70">
        <v>0</v>
      </c>
      <c r="CW8" s="70">
        <v>0</v>
      </c>
      <c r="CX8" s="70">
        <v>0</v>
      </c>
      <c r="CY8" s="70">
        <v>0</v>
      </c>
      <c r="CZ8" s="70">
        <v>0</v>
      </c>
      <c r="DA8" s="70">
        <v>0</v>
      </c>
      <c r="DB8" s="70">
        <v>0</v>
      </c>
      <c r="DC8" s="18">
        <f t="shared" si="4"/>
        <v>1</v>
      </c>
      <c r="DD8" s="82">
        <v>1</v>
      </c>
      <c r="DE8" s="70">
        <v>694.28571428571433</v>
      </c>
      <c r="DF8" s="70">
        <v>0</v>
      </c>
      <c r="DG8" s="70">
        <v>0</v>
      </c>
      <c r="DH8" s="82">
        <v>694.28571428571433</v>
      </c>
      <c r="DI8" s="70" t="s">
        <v>0</v>
      </c>
    </row>
    <row r="9" spans="1:113" s="70" customFormat="1" ht="15.75" thickBot="1" x14ac:dyDescent="0.3">
      <c r="A9" s="70">
        <v>122028</v>
      </c>
      <c r="B9" s="70" t="s">
        <v>6</v>
      </c>
      <c r="C9" s="71">
        <v>2</v>
      </c>
      <c r="D9" s="70">
        <v>2</v>
      </c>
      <c r="E9" s="70">
        <v>0</v>
      </c>
      <c r="F9" s="70">
        <v>2</v>
      </c>
      <c r="G9" s="70">
        <v>248</v>
      </c>
      <c r="H9" s="70">
        <v>0</v>
      </c>
      <c r="I9" s="70">
        <v>15</v>
      </c>
      <c r="J9" s="49" t="s">
        <v>217</v>
      </c>
      <c r="K9" s="49" t="s">
        <v>216</v>
      </c>
      <c r="L9" s="50">
        <v>45419.699988425898</v>
      </c>
      <c r="M9" s="70">
        <v>0</v>
      </c>
      <c r="N9" s="70">
        <v>0</v>
      </c>
      <c r="O9" s="70">
        <v>0</v>
      </c>
      <c r="R9" s="70" t="s">
        <v>34</v>
      </c>
      <c r="S9" s="70" t="b">
        <v>0</v>
      </c>
      <c r="T9" s="70">
        <v>0.5</v>
      </c>
      <c r="U9" s="72">
        <v>9</v>
      </c>
      <c r="V9" s="70">
        <v>1</v>
      </c>
      <c r="W9" s="70">
        <v>0</v>
      </c>
      <c r="X9" s="70">
        <v>2000</v>
      </c>
      <c r="Y9" s="70">
        <v>0</v>
      </c>
      <c r="Z9" s="70">
        <v>10</v>
      </c>
      <c r="AA9" s="70">
        <v>0</v>
      </c>
      <c r="AB9" s="73">
        <v>30</v>
      </c>
      <c r="AC9" s="70">
        <v>0</v>
      </c>
      <c r="AD9" s="70">
        <v>10</v>
      </c>
      <c r="AE9" s="70">
        <v>0</v>
      </c>
      <c r="AF9" s="70">
        <v>2000</v>
      </c>
      <c r="AG9" s="70">
        <v>2</v>
      </c>
      <c r="AH9" s="70">
        <v>9.5399999999999991</v>
      </c>
      <c r="AI9" s="70">
        <v>639</v>
      </c>
      <c r="AJ9" s="70">
        <v>0</v>
      </c>
      <c r="AK9" s="70">
        <v>150</v>
      </c>
      <c r="AL9" s="70">
        <v>0</v>
      </c>
      <c r="AM9" s="70" t="s">
        <v>2</v>
      </c>
      <c r="AN9" s="70">
        <v>0</v>
      </c>
      <c r="AO9" s="70">
        <v>30</v>
      </c>
      <c r="AP9" s="70">
        <v>0</v>
      </c>
      <c r="AW9" s="70" t="b">
        <v>0</v>
      </c>
      <c r="AZ9" s="70" t="s">
        <v>34</v>
      </c>
      <c r="BB9" s="34"/>
      <c r="BC9" s="70">
        <v>8</v>
      </c>
      <c r="BD9" s="220"/>
      <c r="BE9" s="34"/>
      <c r="BF9" s="70">
        <v>1.2</v>
      </c>
      <c r="BG9" s="70">
        <v>0</v>
      </c>
      <c r="BH9" s="70">
        <v>0</v>
      </c>
      <c r="BI9" s="70">
        <v>0</v>
      </c>
      <c r="BJ9" s="70">
        <v>1.2</v>
      </c>
      <c r="BK9" s="70">
        <v>5.5</v>
      </c>
      <c r="BL9" s="70">
        <v>6</v>
      </c>
      <c r="BM9" s="70" t="s">
        <v>1</v>
      </c>
      <c r="BN9" s="60">
        <f t="shared" si="0"/>
        <v>2</v>
      </c>
      <c r="BO9" s="74">
        <f t="shared" si="1"/>
        <v>9</v>
      </c>
      <c r="BP9" s="75">
        <v>350</v>
      </c>
      <c r="BQ9" s="76">
        <v>5.9470000000000001</v>
      </c>
      <c r="BR9" s="76">
        <v>5.4729999999999999</v>
      </c>
      <c r="BS9" s="76">
        <v>5.71</v>
      </c>
      <c r="BT9" s="40"/>
      <c r="BU9" s="40"/>
      <c r="BV9" s="77">
        <v>0</v>
      </c>
      <c r="BW9" s="40"/>
      <c r="BX9" s="77">
        <v>0</v>
      </c>
      <c r="BY9" s="40"/>
      <c r="BZ9" s="77"/>
      <c r="CA9" s="40"/>
      <c r="CB9" s="77"/>
      <c r="CC9" s="40"/>
      <c r="CD9" s="40"/>
      <c r="CE9" s="78"/>
      <c r="CF9" s="79" t="s">
        <v>679</v>
      </c>
      <c r="CG9" s="70">
        <v>5.71</v>
      </c>
      <c r="CH9" s="70" t="str">
        <f t="shared" si="2"/>
        <v xml:space="preserve"> </v>
      </c>
      <c r="CI9" s="70">
        <f t="shared" si="3"/>
        <v>4.57</v>
      </c>
      <c r="CJ9" s="70">
        <v>0</v>
      </c>
      <c r="CK9" s="70">
        <v>0</v>
      </c>
      <c r="CL9" s="70">
        <v>0</v>
      </c>
      <c r="CM9" s="70">
        <v>0</v>
      </c>
      <c r="CN9" s="70">
        <v>0</v>
      </c>
      <c r="CO9" s="70">
        <v>0</v>
      </c>
      <c r="CP9" s="70">
        <v>0</v>
      </c>
      <c r="CQ9" s="70">
        <v>0</v>
      </c>
      <c r="CR9" s="80">
        <v>1</v>
      </c>
      <c r="CS9" s="70">
        <v>0</v>
      </c>
      <c r="CT9" s="70">
        <v>0</v>
      </c>
      <c r="CU9" s="81">
        <v>0</v>
      </c>
      <c r="CV9" s="70">
        <v>0</v>
      </c>
      <c r="CW9" s="70">
        <v>0</v>
      </c>
      <c r="CX9" s="70">
        <v>0</v>
      </c>
      <c r="CY9" s="70">
        <v>0</v>
      </c>
      <c r="CZ9" s="70">
        <v>0</v>
      </c>
      <c r="DA9" s="70">
        <v>0</v>
      </c>
      <c r="DB9" s="70">
        <v>0</v>
      </c>
      <c r="DC9" s="18">
        <f t="shared" si="4"/>
        <v>1</v>
      </c>
      <c r="DD9" s="82">
        <v>1</v>
      </c>
      <c r="DE9" s="70">
        <v>694.28571428571433</v>
      </c>
      <c r="DF9" s="70">
        <v>0</v>
      </c>
      <c r="DG9" s="70">
        <v>0</v>
      </c>
      <c r="DH9" s="82">
        <v>694.28571428571433</v>
      </c>
      <c r="DI9" s="70" t="s">
        <v>0</v>
      </c>
    </row>
    <row r="10" spans="1:113" s="70" customFormat="1" ht="15.75" thickBot="1" x14ac:dyDescent="0.3">
      <c r="A10" s="70">
        <v>127673</v>
      </c>
      <c r="B10" s="70" t="s">
        <v>6</v>
      </c>
      <c r="C10" s="71">
        <v>60</v>
      </c>
      <c r="D10" s="70">
        <v>60</v>
      </c>
      <c r="E10" s="70">
        <v>0</v>
      </c>
      <c r="F10" s="70">
        <v>60</v>
      </c>
      <c r="G10" s="70">
        <v>504</v>
      </c>
      <c r="H10" s="70">
        <v>0</v>
      </c>
      <c r="I10" s="70">
        <v>15</v>
      </c>
      <c r="J10" s="49" t="s">
        <v>215</v>
      </c>
      <c r="K10" s="49" t="s">
        <v>214</v>
      </c>
      <c r="L10" s="50">
        <v>45432.578726851898</v>
      </c>
      <c r="M10" s="70">
        <v>0</v>
      </c>
      <c r="N10" s="70">
        <v>0</v>
      </c>
      <c r="O10" s="70">
        <v>0</v>
      </c>
      <c r="R10" s="70" t="s">
        <v>34</v>
      </c>
      <c r="S10" s="70" t="b">
        <v>0</v>
      </c>
      <c r="T10" s="70">
        <v>0.01</v>
      </c>
      <c r="U10" s="83">
        <v>5</v>
      </c>
      <c r="V10" s="70">
        <v>0.01</v>
      </c>
      <c r="W10" s="70">
        <v>0</v>
      </c>
      <c r="X10" s="70">
        <v>2000</v>
      </c>
      <c r="Y10" s="70">
        <v>0</v>
      </c>
      <c r="Z10" s="70">
        <v>10</v>
      </c>
      <c r="AA10" s="70">
        <v>0</v>
      </c>
      <c r="AB10" s="73">
        <v>30</v>
      </c>
      <c r="AC10" s="70">
        <v>0</v>
      </c>
      <c r="AD10" s="70">
        <v>10</v>
      </c>
      <c r="AE10" s="70">
        <v>0</v>
      </c>
      <c r="AF10" s="70">
        <v>2000</v>
      </c>
      <c r="AG10" s="70">
        <v>2</v>
      </c>
      <c r="AH10" s="70">
        <v>5.28</v>
      </c>
      <c r="AI10" s="70">
        <v>546</v>
      </c>
      <c r="AJ10" s="70">
        <v>0</v>
      </c>
      <c r="AK10" s="70">
        <v>65</v>
      </c>
      <c r="AL10" s="70">
        <v>0</v>
      </c>
      <c r="AM10" s="70" t="s">
        <v>2</v>
      </c>
      <c r="AN10" s="70">
        <v>0</v>
      </c>
      <c r="AO10" s="70">
        <v>30</v>
      </c>
      <c r="AP10" s="70">
        <v>0</v>
      </c>
      <c r="AW10" s="70" t="b">
        <v>0</v>
      </c>
      <c r="AZ10" s="70" t="s">
        <v>34</v>
      </c>
      <c r="BB10" s="34"/>
      <c r="BC10" s="70">
        <v>9</v>
      </c>
      <c r="BD10" s="220"/>
      <c r="BE10" s="34"/>
      <c r="BF10" s="70">
        <v>1.2</v>
      </c>
      <c r="BG10" s="70">
        <v>0</v>
      </c>
      <c r="BH10" s="70">
        <v>0</v>
      </c>
      <c r="BI10" s="70">
        <v>0</v>
      </c>
      <c r="BJ10" s="70">
        <v>1.2</v>
      </c>
      <c r="BK10" s="70">
        <v>5.5</v>
      </c>
      <c r="BL10" s="70">
        <v>6</v>
      </c>
      <c r="BM10" s="70" t="s">
        <v>1</v>
      </c>
      <c r="BN10" s="60">
        <f t="shared" si="0"/>
        <v>60</v>
      </c>
      <c r="BO10" s="84">
        <f t="shared" si="1"/>
        <v>5</v>
      </c>
      <c r="BP10" s="75">
        <v>200</v>
      </c>
      <c r="BQ10" s="76">
        <v>4.1349999999999998</v>
      </c>
      <c r="BR10" s="76">
        <v>4.1349999999999998</v>
      </c>
      <c r="BS10" s="76">
        <v>4.1349999999999998</v>
      </c>
      <c r="BT10" s="40"/>
      <c r="BU10" s="40"/>
      <c r="BV10" s="77">
        <v>0</v>
      </c>
      <c r="BW10" s="40"/>
      <c r="BX10" s="77">
        <v>0</v>
      </c>
      <c r="BY10" s="40"/>
      <c r="BZ10" s="77"/>
      <c r="CA10" s="40"/>
      <c r="CB10" s="77"/>
      <c r="CC10" s="40"/>
      <c r="CD10" s="40"/>
      <c r="CE10" s="78"/>
      <c r="CF10" s="79" t="s">
        <v>163</v>
      </c>
      <c r="CG10" s="70">
        <v>4.1349999999999998</v>
      </c>
      <c r="CH10" s="70" t="str">
        <f t="shared" si="2"/>
        <v xml:space="preserve"> </v>
      </c>
      <c r="CI10" s="70">
        <f t="shared" si="3"/>
        <v>4.57</v>
      </c>
      <c r="CJ10" s="81">
        <v>0</v>
      </c>
      <c r="CK10" s="70">
        <v>0</v>
      </c>
      <c r="CL10" s="70">
        <v>0</v>
      </c>
      <c r="CM10" s="70">
        <v>0</v>
      </c>
      <c r="CN10" s="70">
        <v>0</v>
      </c>
      <c r="CO10" s="70">
        <v>0</v>
      </c>
      <c r="CP10" s="80">
        <v>1</v>
      </c>
      <c r="CQ10" s="70">
        <v>0</v>
      </c>
      <c r="CR10" s="70">
        <v>0</v>
      </c>
      <c r="CS10" s="70">
        <v>0</v>
      </c>
      <c r="CT10" s="70">
        <v>0</v>
      </c>
      <c r="CU10" s="81">
        <v>1</v>
      </c>
      <c r="CV10" s="70">
        <v>0</v>
      </c>
      <c r="CW10" s="70">
        <v>0</v>
      </c>
      <c r="CX10" s="70">
        <v>0</v>
      </c>
      <c r="CY10" s="70">
        <v>0</v>
      </c>
      <c r="CZ10" s="70">
        <v>0</v>
      </c>
      <c r="DA10" s="70">
        <v>0</v>
      </c>
      <c r="DB10" s="70">
        <v>0</v>
      </c>
      <c r="DC10" s="18">
        <f t="shared" si="4"/>
        <v>1</v>
      </c>
      <c r="DD10" s="82">
        <v>2</v>
      </c>
      <c r="DE10" s="70">
        <v>375</v>
      </c>
      <c r="DF10" s="70">
        <v>0</v>
      </c>
      <c r="DG10" s="70">
        <v>0</v>
      </c>
      <c r="DH10" s="82">
        <v>375</v>
      </c>
      <c r="DI10" s="70" t="s">
        <v>0</v>
      </c>
    </row>
    <row r="11" spans="1:113" s="70" customFormat="1" ht="15.75" thickBot="1" x14ac:dyDescent="0.3">
      <c r="A11" s="70">
        <v>127675</v>
      </c>
      <c r="B11" s="70" t="s">
        <v>6</v>
      </c>
      <c r="C11" s="71">
        <v>60</v>
      </c>
      <c r="D11" s="70">
        <v>60</v>
      </c>
      <c r="E11" s="70">
        <v>0</v>
      </c>
      <c r="F11" s="70">
        <v>60</v>
      </c>
      <c r="G11" s="70">
        <v>506</v>
      </c>
      <c r="H11" s="70">
        <v>0</v>
      </c>
      <c r="I11" s="70">
        <v>15</v>
      </c>
      <c r="J11" s="49" t="s">
        <v>213</v>
      </c>
      <c r="K11" s="49" t="s">
        <v>212</v>
      </c>
      <c r="L11" s="50">
        <v>45432.578865740703</v>
      </c>
      <c r="M11" s="70">
        <v>0</v>
      </c>
      <c r="N11" s="70">
        <v>0</v>
      </c>
      <c r="O11" s="70">
        <v>0</v>
      </c>
      <c r="R11" s="70" t="s">
        <v>34</v>
      </c>
      <c r="S11" s="70" t="b">
        <v>0</v>
      </c>
      <c r="T11" s="70">
        <v>0.01</v>
      </c>
      <c r="U11" s="83">
        <v>5</v>
      </c>
      <c r="V11" s="70">
        <v>0.01</v>
      </c>
      <c r="W11" s="70">
        <v>0</v>
      </c>
      <c r="X11" s="70">
        <v>2000</v>
      </c>
      <c r="Y11" s="70">
        <v>0</v>
      </c>
      <c r="Z11" s="70">
        <v>10</v>
      </c>
      <c r="AA11" s="70">
        <v>0</v>
      </c>
      <c r="AB11" s="73">
        <v>30</v>
      </c>
      <c r="AC11" s="70">
        <v>0</v>
      </c>
      <c r="AD11" s="70">
        <v>10</v>
      </c>
      <c r="AE11" s="70">
        <v>0</v>
      </c>
      <c r="AF11" s="70">
        <v>2000</v>
      </c>
      <c r="AG11" s="70">
        <v>2</v>
      </c>
      <c r="AH11" s="70">
        <v>5.33</v>
      </c>
      <c r="AI11" s="70">
        <v>559</v>
      </c>
      <c r="AJ11" s="70">
        <v>0</v>
      </c>
      <c r="AK11" s="70">
        <v>67</v>
      </c>
      <c r="AL11" s="70">
        <v>0</v>
      </c>
      <c r="AM11" s="70" t="s">
        <v>2</v>
      </c>
      <c r="AN11" s="70">
        <v>0</v>
      </c>
      <c r="AO11" s="70">
        <v>30</v>
      </c>
      <c r="AP11" s="70">
        <v>0</v>
      </c>
      <c r="AW11" s="70" t="b">
        <v>0</v>
      </c>
      <c r="AZ11" s="70" t="s">
        <v>34</v>
      </c>
      <c r="BB11" s="34"/>
      <c r="BC11" s="70">
        <v>10</v>
      </c>
      <c r="BD11" s="220"/>
      <c r="BE11" s="34"/>
      <c r="BF11" s="70">
        <v>1.2</v>
      </c>
      <c r="BG11" s="70">
        <v>0</v>
      </c>
      <c r="BH11" s="70">
        <v>0</v>
      </c>
      <c r="BI11" s="70">
        <v>0</v>
      </c>
      <c r="BJ11" s="70">
        <v>1.2</v>
      </c>
      <c r="BK11" s="70">
        <v>5.5</v>
      </c>
      <c r="BL11" s="70">
        <v>6</v>
      </c>
      <c r="BM11" s="70" t="s">
        <v>1</v>
      </c>
      <c r="BN11" s="60">
        <f t="shared" si="0"/>
        <v>60</v>
      </c>
      <c r="BO11" s="84">
        <f t="shared" si="1"/>
        <v>5</v>
      </c>
      <c r="BP11" s="75">
        <v>200</v>
      </c>
      <c r="BQ11" s="85">
        <v>4.2409999999999997</v>
      </c>
      <c r="BR11" s="76">
        <v>4.0199999999999996</v>
      </c>
      <c r="BS11" s="76">
        <v>4.1304999999999996</v>
      </c>
      <c r="BT11" s="40"/>
      <c r="BU11" s="40"/>
      <c r="BV11" s="77">
        <v>0</v>
      </c>
      <c r="BW11" s="40"/>
      <c r="BX11" s="77">
        <v>0</v>
      </c>
      <c r="BY11" s="40"/>
      <c r="BZ11" s="77"/>
      <c r="CA11" s="40"/>
      <c r="CB11" s="77"/>
      <c r="CC11" s="40"/>
      <c r="CD11" s="40"/>
      <c r="CE11" s="78"/>
      <c r="CF11" s="79" t="s">
        <v>163</v>
      </c>
      <c r="CG11" s="86">
        <v>4.1304999999999996</v>
      </c>
      <c r="CH11" s="86" t="str">
        <f t="shared" si="2"/>
        <v xml:space="preserve"> </v>
      </c>
      <c r="CI11" s="70">
        <f t="shared" si="3"/>
        <v>4.57</v>
      </c>
      <c r="CJ11" s="81">
        <v>0</v>
      </c>
      <c r="CK11" s="70">
        <v>0</v>
      </c>
      <c r="CL11" s="70">
        <v>0</v>
      </c>
      <c r="CM11" s="70">
        <v>0</v>
      </c>
      <c r="CN11" s="70">
        <v>0</v>
      </c>
      <c r="CO11" s="70">
        <v>0</v>
      </c>
      <c r="CP11" s="80">
        <v>1</v>
      </c>
      <c r="CQ11" s="70">
        <v>0</v>
      </c>
      <c r="CR11" s="70">
        <v>0</v>
      </c>
      <c r="CS11" s="70">
        <v>0</v>
      </c>
      <c r="CT11" s="70">
        <v>0</v>
      </c>
      <c r="CU11" s="81">
        <v>1</v>
      </c>
      <c r="CV11" s="70">
        <v>0</v>
      </c>
      <c r="CW11" s="70">
        <v>0</v>
      </c>
      <c r="CX11" s="70">
        <v>0</v>
      </c>
      <c r="CY11" s="70">
        <v>0</v>
      </c>
      <c r="CZ11" s="70">
        <v>0</v>
      </c>
      <c r="DA11" s="70">
        <v>0</v>
      </c>
      <c r="DB11" s="70">
        <v>0</v>
      </c>
      <c r="DC11" s="18">
        <f t="shared" si="4"/>
        <v>1</v>
      </c>
      <c r="DD11" s="82">
        <v>2</v>
      </c>
      <c r="DE11" s="70">
        <v>375</v>
      </c>
      <c r="DF11" s="70">
        <v>0</v>
      </c>
      <c r="DG11" s="70">
        <v>0</v>
      </c>
      <c r="DH11" s="82">
        <v>375</v>
      </c>
      <c r="DI11" s="70" t="s">
        <v>0</v>
      </c>
    </row>
    <row r="12" spans="1:113" s="70" customFormat="1" ht="15.75" thickBot="1" x14ac:dyDescent="0.3">
      <c r="A12" s="70">
        <v>127677</v>
      </c>
      <c r="B12" s="70" t="s">
        <v>6</v>
      </c>
      <c r="C12" s="71">
        <v>60</v>
      </c>
      <c r="D12" s="70">
        <v>60</v>
      </c>
      <c r="E12" s="70">
        <v>0</v>
      </c>
      <c r="F12" s="70">
        <v>60</v>
      </c>
      <c r="G12" s="70">
        <v>508</v>
      </c>
      <c r="H12" s="70">
        <v>0</v>
      </c>
      <c r="I12" s="70">
        <v>15</v>
      </c>
      <c r="J12" s="49" t="s">
        <v>211</v>
      </c>
      <c r="K12" s="49" t="s">
        <v>210</v>
      </c>
      <c r="L12" s="50">
        <v>45432.582291666702</v>
      </c>
      <c r="M12" s="70">
        <v>0</v>
      </c>
      <c r="N12" s="70">
        <v>0</v>
      </c>
      <c r="O12" s="70">
        <v>0</v>
      </c>
      <c r="R12" s="70" t="s">
        <v>34</v>
      </c>
      <c r="S12" s="70" t="b">
        <v>0</v>
      </c>
      <c r="T12" s="70">
        <v>0.01</v>
      </c>
      <c r="U12" s="83">
        <v>6</v>
      </c>
      <c r="V12" s="70">
        <v>0.01</v>
      </c>
      <c r="W12" s="70">
        <v>0</v>
      </c>
      <c r="X12" s="70">
        <v>2000</v>
      </c>
      <c r="Y12" s="70">
        <v>0</v>
      </c>
      <c r="Z12" s="70">
        <v>10</v>
      </c>
      <c r="AA12" s="70">
        <v>0</v>
      </c>
      <c r="AB12" s="73">
        <v>30</v>
      </c>
      <c r="AC12" s="70">
        <v>0</v>
      </c>
      <c r="AD12" s="70">
        <v>10</v>
      </c>
      <c r="AE12" s="70">
        <v>0</v>
      </c>
      <c r="AF12" s="70">
        <v>2000</v>
      </c>
      <c r="AG12" s="70">
        <v>2</v>
      </c>
      <c r="AH12" s="70">
        <v>6.41</v>
      </c>
      <c r="AI12" s="70">
        <v>584</v>
      </c>
      <c r="AJ12" s="70">
        <v>0</v>
      </c>
      <c r="AK12" s="70">
        <v>86</v>
      </c>
      <c r="AL12" s="70">
        <v>0</v>
      </c>
      <c r="AM12" s="70" t="s">
        <v>2</v>
      </c>
      <c r="AN12" s="70">
        <v>0</v>
      </c>
      <c r="AO12" s="70">
        <v>30</v>
      </c>
      <c r="AP12" s="70">
        <v>0</v>
      </c>
      <c r="AW12" s="70" t="b">
        <v>0</v>
      </c>
      <c r="AZ12" s="70" t="s">
        <v>34</v>
      </c>
      <c r="BB12" s="34"/>
      <c r="BC12" s="70">
        <v>11</v>
      </c>
      <c r="BD12" s="87"/>
      <c r="BE12" s="34"/>
      <c r="BF12" s="70">
        <v>1.2</v>
      </c>
      <c r="BG12" s="70">
        <v>0</v>
      </c>
      <c r="BH12" s="70">
        <v>0</v>
      </c>
      <c r="BI12" s="70">
        <v>0</v>
      </c>
      <c r="BJ12" s="70">
        <v>1.2</v>
      </c>
      <c r="BK12" s="70">
        <v>5.5</v>
      </c>
      <c r="BL12" s="70">
        <v>6</v>
      </c>
      <c r="BM12" s="70" t="s">
        <v>1</v>
      </c>
      <c r="BN12" s="60">
        <f t="shared" si="0"/>
        <v>60</v>
      </c>
      <c r="BO12" s="84">
        <f t="shared" si="1"/>
        <v>6</v>
      </c>
      <c r="BP12" s="75">
        <v>200</v>
      </c>
      <c r="BQ12" s="76">
        <v>4.5179999999999998</v>
      </c>
      <c r="BR12" s="76">
        <v>4.4550000000000001</v>
      </c>
      <c r="BS12" s="76">
        <v>4.4864999999999995</v>
      </c>
      <c r="BT12" s="40"/>
      <c r="BU12" s="40"/>
      <c r="BV12" s="77">
        <v>0</v>
      </c>
      <c r="BW12" s="40"/>
      <c r="BX12" s="77">
        <v>0</v>
      </c>
      <c r="BY12" s="40"/>
      <c r="BZ12" s="77"/>
      <c r="CA12" s="40"/>
      <c r="CB12" s="77"/>
      <c r="CC12" s="40"/>
      <c r="CD12" s="40"/>
      <c r="CE12" s="78"/>
      <c r="CF12" s="79" t="s">
        <v>163</v>
      </c>
      <c r="CG12" s="70">
        <v>4.4864999999999995</v>
      </c>
      <c r="CH12" s="70" t="str">
        <f t="shared" si="2"/>
        <v xml:space="preserve"> </v>
      </c>
      <c r="CI12" s="70">
        <f t="shared" si="3"/>
        <v>4.57</v>
      </c>
      <c r="CJ12" s="81">
        <v>0</v>
      </c>
      <c r="CK12" s="70">
        <v>0</v>
      </c>
      <c r="CL12" s="70">
        <v>0</v>
      </c>
      <c r="CM12" s="70">
        <v>0</v>
      </c>
      <c r="CN12" s="70">
        <v>0</v>
      </c>
      <c r="CO12" s="70">
        <v>0</v>
      </c>
      <c r="CP12" s="80">
        <v>1</v>
      </c>
      <c r="CQ12" s="70">
        <v>0</v>
      </c>
      <c r="CR12" s="70">
        <v>0</v>
      </c>
      <c r="CS12" s="70">
        <v>0</v>
      </c>
      <c r="CT12" s="70">
        <v>0</v>
      </c>
      <c r="CU12" s="81">
        <v>1</v>
      </c>
      <c r="CV12" s="70">
        <v>0</v>
      </c>
      <c r="CW12" s="70">
        <v>0</v>
      </c>
      <c r="CX12" s="70">
        <v>0</v>
      </c>
      <c r="CY12" s="70">
        <v>0</v>
      </c>
      <c r="CZ12" s="70">
        <v>0</v>
      </c>
      <c r="DA12" s="70">
        <v>0</v>
      </c>
      <c r="DB12" s="70">
        <v>0</v>
      </c>
      <c r="DC12" s="18">
        <f t="shared" si="4"/>
        <v>1</v>
      </c>
      <c r="DD12" s="82">
        <v>2</v>
      </c>
      <c r="DE12" s="70">
        <v>540</v>
      </c>
      <c r="DF12" s="70">
        <v>0</v>
      </c>
      <c r="DG12" s="70">
        <v>0</v>
      </c>
      <c r="DH12" s="82">
        <v>540</v>
      </c>
      <c r="DI12" s="70" t="s">
        <v>0</v>
      </c>
    </row>
    <row r="13" spans="1:113" s="70" customFormat="1" ht="15.75" thickBot="1" x14ac:dyDescent="0.3">
      <c r="A13" s="70">
        <v>127679</v>
      </c>
      <c r="B13" s="70" t="s">
        <v>6</v>
      </c>
      <c r="C13" s="71">
        <v>60</v>
      </c>
      <c r="D13" s="70">
        <v>60</v>
      </c>
      <c r="E13" s="70">
        <v>0</v>
      </c>
      <c r="F13" s="70">
        <v>60</v>
      </c>
      <c r="G13" s="70">
        <v>510</v>
      </c>
      <c r="H13" s="70">
        <v>0</v>
      </c>
      <c r="I13" s="70">
        <v>15</v>
      </c>
      <c r="J13" s="49" t="s">
        <v>209</v>
      </c>
      <c r="K13" s="49" t="s">
        <v>208</v>
      </c>
      <c r="L13" s="50">
        <v>45432.582430555602</v>
      </c>
      <c r="M13" s="70">
        <v>0</v>
      </c>
      <c r="N13" s="70">
        <v>0</v>
      </c>
      <c r="O13" s="70">
        <v>0</v>
      </c>
      <c r="R13" s="70" t="s">
        <v>34</v>
      </c>
      <c r="S13" s="70" t="b">
        <v>0</v>
      </c>
      <c r="T13" s="70">
        <v>0.01</v>
      </c>
      <c r="U13" s="83">
        <v>6</v>
      </c>
      <c r="V13" s="70">
        <v>0.01</v>
      </c>
      <c r="W13" s="70">
        <v>0</v>
      </c>
      <c r="X13" s="70">
        <v>2000</v>
      </c>
      <c r="Y13" s="70">
        <v>0</v>
      </c>
      <c r="Z13" s="70">
        <v>10</v>
      </c>
      <c r="AA13" s="70">
        <v>0</v>
      </c>
      <c r="AB13" s="73">
        <v>30</v>
      </c>
      <c r="AC13" s="70">
        <v>0</v>
      </c>
      <c r="AD13" s="70">
        <v>10</v>
      </c>
      <c r="AE13" s="70">
        <v>0</v>
      </c>
      <c r="AF13" s="70">
        <v>2000</v>
      </c>
      <c r="AG13" s="70">
        <v>2</v>
      </c>
      <c r="AH13" s="70">
        <v>6.36</v>
      </c>
      <c r="AI13" s="70">
        <v>571</v>
      </c>
      <c r="AJ13" s="70">
        <v>0</v>
      </c>
      <c r="AK13" s="70">
        <v>84</v>
      </c>
      <c r="AL13" s="70">
        <v>0</v>
      </c>
      <c r="AM13" s="70" t="s">
        <v>2</v>
      </c>
      <c r="AN13" s="70">
        <v>0</v>
      </c>
      <c r="AO13" s="70">
        <v>30</v>
      </c>
      <c r="AP13" s="70">
        <v>0</v>
      </c>
      <c r="AW13" s="70" t="b">
        <v>0</v>
      </c>
      <c r="AZ13" s="70" t="s">
        <v>34</v>
      </c>
      <c r="BB13" s="34"/>
      <c r="BC13" s="70">
        <v>12</v>
      </c>
      <c r="BD13" s="87"/>
      <c r="BE13" s="34"/>
      <c r="BF13" s="70">
        <v>1.2</v>
      </c>
      <c r="BG13" s="70">
        <v>0</v>
      </c>
      <c r="BH13" s="70">
        <v>0</v>
      </c>
      <c r="BI13" s="70">
        <v>0</v>
      </c>
      <c r="BJ13" s="70">
        <v>1.2</v>
      </c>
      <c r="BK13" s="70">
        <v>5.5</v>
      </c>
      <c r="BL13" s="70">
        <v>6</v>
      </c>
      <c r="BM13" s="70" t="s">
        <v>1</v>
      </c>
      <c r="BN13" s="60">
        <f t="shared" si="0"/>
        <v>60</v>
      </c>
      <c r="BO13" s="84">
        <f t="shared" si="1"/>
        <v>6</v>
      </c>
      <c r="BP13" s="75">
        <v>200</v>
      </c>
      <c r="BQ13" s="85">
        <v>4.5119999999999996</v>
      </c>
      <c r="BR13" s="76">
        <v>4.79</v>
      </c>
      <c r="BS13" s="85">
        <v>4.6509999999999998</v>
      </c>
      <c r="BT13" s="40"/>
      <c r="BU13" s="40"/>
      <c r="BV13" s="77">
        <v>0</v>
      </c>
      <c r="BW13" s="40"/>
      <c r="BX13" s="77">
        <v>0</v>
      </c>
      <c r="BY13" s="40"/>
      <c r="BZ13" s="77"/>
      <c r="CA13" s="40"/>
      <c r="CB13" s="77"/>
      <c r="CC13" s="40"/>
      <c r="CD13" s="40"/>
      <c r="CE13" s="78"/>
      <c r="CF13" s="79" t="s">
        <v>163</v>
      </c>
      <c r="CG13" s="86">
        <v>4.6509999999999998</v>
      </c>
      <c r="CH13" s="86" t="str">
        <f t="shared" si="2"/>
        <v xml:space="preserve"> </v>
      </c>
      <c r="CI13" s="70">
        <f t="shared" si="3"/>
        <v>4.57</v>
      </c>
      <c r="CJ13" s="70">
        <v>0</v>
      </c>
      <c r="CK13" s="70">
        <v>0</v>
      </c>
      <c r="CL13" s="70">
        <v>0</v>
      </c>
      <c r="CM13" s="70">
        <v>0</v>
      </c>
      <c r="CN13" s="70">
        <v>0</v>
      </c>
      <c r="CO13" s="70">
        <v>0</v>
      </c>
      <c r="CP13" s="80">
        <v>1</v>
      </c>
      <c r="CQ13" s="70">
        <v>0</v>
      </c>
      <c r="CR13" s="70">
        <v>0</v>
      </c>
      <c r="CS13" s="70">
        <v>0</v>
      </c>
      <c r="CT13" s="70">
        <v>0</v>
      </c>
      <c r="CU13" s="81">
        <v>1</v>
      </c>
      <c r="CV13" s="70">
        <v>0</v>
      </c>
      <c r="CW13" s="70">
        <v>0</v>
      </c>
      <c r="CX13" s="70">
        <v>0</v>
      </c>
      <c r="CY13" s="70">
        <v>0</v>
      </c>
      <c r="CZ13" s="70">
        <v>0</v>
      </c>
      <c r="DA13" s="70">
        <v>0</v>
      </c>
      <c r="DB13" s="70">
        <v>0</v>
      </c>
      <c r="DC13" s="18">
        <f t="shared" si="4"/>
        <v>1</v>
      </c>
      <c r="DD13" s="82">
        <v>0</v>
      </c>
      <c r="DE13" s="70">
        <v>540</v>
      </c>
      <c r="DF13" s="70">
        <v>0</v>
      </c>
      <c r="DG13" s="70">
        <v>0</v>
      </c>
      <c r="DH13" s="82">
        <v>540</v>
      </c>
      <c r="DI13" s="70" t="s">
        <v>0</v>
      </c>
    </row>
    <row r="14" spans="1:113" s="70" customFormat="1" ht="15.75" thickBot="1" x14ac:dyDescent="0.3">
      <c r="A14" s="70">
        <v>127681</v>
      </c>
      <c r="B14" s="70" t="s">
        <v>6</v>
      </c>
      <c r="C14" s="71">
        <v>60</v>
      </c>
      <c r="D14" s="70">
        <v>60</v>
      </c>
      <c r="E14" s="70">
        <v>0</v>
      </c>
      <c r="F14" s="70">
        <v>60</v>
      </c>
      <c r="G14" s="70">
        <v>512</v>
      </c>
      <c r="H14" s="70">
        <v>0</v>
      </c>
      <c r="I14" s="70">
        <v>15</v>
      </c>
      <c r="J14" s="49" t="s">
        <v>207</v>
      </c>
      <c r="K14" s="49" t="s">
        <v>206</v>
      </c>
      <c r="L14" s="50">
        <v>45432.583541666703</v>
      </c>
      <c r="M14" s="70">
        <v>0</v>
      </c>
      <c r="N14" s="70">
        <v>0</v>
      </c>
      <c r="O14" s="70">
        <v>0</v>
      </c>
      <c r="R14" s="70" t="s">
        <v>34</v>
      </c>
      <c r="S14" s="70" t="b">
        <v>0</v>
      </c>
      <c r="T14" s="70">
        <v>0.01</v>
      </c>
      <c r="U14" s="83">
        <v>7</v>
      </c>
      <c r="V14" s="70">
        <v>0.01</v>
      </c>
      <c r="W14" s="70">
        <v>0</v>
      </c>
      <c r="X14" s="70">
        <v>2000</v>
      </c>
      <c r="Y14" s="70">
        <v>0</v>
      </c>
      <c r="Z14" s="70">
        <v>10</v>
      </c>
      <c r="AA14" s="70">
        <v>0</v>
      </c>
      <c r="AB14" s="73">
        <v>30</v>
      </c>
      <c r="AC14" s="70">
        <v>0</v>
      </c>
      <c r="AD14" s="70">
        <v>10</v>
      </c>
      <c r="AE14" s="70">
        <v>0</v>
      </c>
      <c r="AF14" s="70">
        <v>2000</v>
      </c>
      <c r="AG14" s="70">
        <v>2</v>
      </c>
      <c r="AH14" s="70">
        <v>7.46</v>
      </c>
      <c r="AI14" s="70">
        <v>601</v>
      </c>
      <c r="AJ14" s="70">
        <v>0</v>
      </c>
      <c r="AK14" s="70">
        <v>107</v>
      </c>
      <c r="AL14" s="70">
        <v>0</v>
      </c>
      <c r="AM14" s="70" t="s">
        <v>2</v>
      </c>
      <c r="AN14" s="70">
        <v>0</v>
      </c>
      <c r="AO14" s="70">
        <v>30</v>
      </c>
      <c r="AP14" s="70">
        <v>0</v>
      </c>
      <c r="AW14" s="70" t="b">
        <v>0</v>
      </c>
      <c r="AZ14" s="70" t="s">
        <v>34</v>
      </c>
      <c r="BB14" s="34"/>
      <c r="BC14" s="70">
        <v>13</v>
      </c>
      <c r="BD14" s="87"/>
      <c r="BE14" s="34"/>
      <c r="BF14" s="70">
        <v>1.2</v>
      </c>
      <c r="BG14" s="70">
        <v>0</v>
      </c>
      <c r="BH14" s="70">
        <v>0</v>
      </c>
      <c r="BI14" s="70">
        <v>0</v>
      </c>
      <c r="BJ14" s="70">
        <v>1.2</v>
      </c>
      <c r="BK14" s="70">
        <v>5.5</v>
      </c>
      <c r="BL14" s="70">
        <v>6</v>
      </c>
      <c r="BM14" s="70" t="s">
        <v>1</v>
      </c>
      <c r="BN14" s="60">
        <f t="shared" si="0"/>
        <v>60</v>
      </c>
      <c r="BO14" s="84">
        <f t="shared" si="1"/>
        <v>7</v>
      </c>
      <c r="BP14" s="75">
        <v>200</v>
      </c>
      <c r="BQ14" s="76">
        <v>4.9009999999999998</v>
      </c>
      <c r="BR14" s="76">
        <v>4.7690000000000001</v>
      </c>
      <c r="BS14" s="76">
        <v>4.835</v>
      </c>
      <c r="BT14" s="40"/>
      <c r="BU14" s="40"/>
      <c r="BV14" s="77">
        <v>0</v>
      </c>
      <c r="BW14" s="40"/>
      <c r="BX14" s="77">
        <v>0</v>
      </c>
      <c r="BY14" s="40"/>
      <c r="BZ14" s="77"/>
      <c r="CA14" s="40"/>
      <c r="CB14" s="77"/>
      <c r="CC14" s="40"/>
      <c r="CD14" s="40"/>
      <c r="CE14" s="78"/>
      <c r="CF14" s="79" t="s">
        <v>134</v>
      </c>
      <c r="CG14" s="70">
        <v>4.835</v>
      </c>
      <c r="CH14" s="70" t="str">
        <f t="shared" si="2"/>
        <v xml:space="preserve"> </v>
      </c>
      <c r="CI14" s="70">
        <f t="shared" si="3"/>
        <v>4.57</v>
      </c>
      <c r="CJ14" s="70">
        <v>1</v>
      </c>
      <c r="CK14" s="70">
        <v>0</v>
      </c>
      <c r="CL14" s="70">
        <v>0</v>
      </c>
      <c r="CM14" s="70">
        <v>0</v>
      </c>
      <c r="CN14" s="70">
        <v>1</v>
      </c>
      <c r="CO14" s="70">
        <v>0</v>
      </c>
      <c r="CP14" s="70">
        <v>0</v>
      </c>
      <c r="CQ14" s="70">
        <v>0</v>
      </c>
      <c r="CR14" s="70">
        <v>0</v>
      </c>
      <c r="CS14" s="70">
        <v>0</v>
      </c>
      <c r="CT14" s="70">
        <v>0</v>
      </c>
      <c r="CU14" s="81">
        <v>0</v>
      </c>
      <c r="CV14" s="70">
        <v>0</v>
      </c>
      <c r="CW14" s="70">
        <v>0</v>
      </c>
      <c r="CX14" s="70">
        <v>0</v>
      </c>
      <c r="CY14" s="70">
        <v>0</v>
      </c>
      <c r="CZ14" s="70">
        <v>0</v>
      </c>
      <c r="DA14" s="70">
        <v>0</v>
      </c>
      <c r="DB14" s="70">
        <v>0</v>
      </c>
      <c r="DC14" s="18">
        <f t="shared" si="4"/>
        <v>1</v>
      </c>
      <c r="DD14" s="82">
        <v>0</v>
      </c>
      <c r="DE14" s="70">
        <v>735</v>
      </c>
      <c r="DF14" s="70">
        <v>0</v>
      </c>
      <c r="DG14" s="70">
        <v>0</v>
      </c>
      <c r="DH14" s="70">
        <v>735</v>
      </c>
      <c r="DI14" s="70" t="s">
        <v>0</v>
      </c>
    </row>
    <row r="15" spans="1:113" s="70" customFormat="1" ht="15.75" thickBot="1" x14ac:dyDescent="0.3">
      <c r="A15" s="70">
        <v>127683</v>
      </c>
      <c r="B15" s="70" t="s">
        <v>6</v>
      </c>
      <c r="C15" s="71">
        <v>60</v>
      </c>
      <c r="D15" s="70">
        <v>60</v>
      </c>
      <c r="E15" s="70">
        <v>0</v>
      </c>
      <c r="F15" s="70">
        <v>60</v>
      </c>
      <c r="G15" s="70">
        <v>514</v>
      </c>
      <c r="H15" s="70">
        <v>0</v>
      </c>
      <c r="I15" s="70">
        <v>15</v>
      </c>
      <c r="J15" s="49" t="s">
        <v>205</v>
      </c>
      <c r="K15" s="49" t="s">
        <v>204</v>
      </c>
      <c r="L15" s="50">
        <v>45432.5836458333</v>
      </c>
      <c r="M15" s="70">
        <v>0</v>
      </c>
      <c r="N15" s="70">
        <v>0</v>
      </c>
      <c r="O15" s="70">
        <v>0</v>
      </c>
      <c r="R15" s="70" t="s">
        <v>34</v>
      </c>
      <c r="S15" s="70" t="b">
        <v>0</v>
      </c>
      <c r="T15" s="70">
        <v>0.01</v>
      </c>
      <c r="U15" s="83">
        <v>7</v>
      </c>
      <c r="V15" s="70">
        <v>0.01</v>
      </c>
      <c r="W15" s="70">
        <v>0</v>
      </c>
      <c r="X15" s="70">
        <v>2000</v>
      </c>
      <c r="Y15" s="70">
        <v>0</v>
      </c>
      <c r="Z15" s="70">
        <v>10</v>
      </c>
      <c r="AA15" s="70">
        <v>0</v>
      </c>
      <c r="AB15" s="73">
        <v>30</v>
      </c>
      <c r="AC15" s="70">
        <v>0</v>
      </c>
      <c r="AD15" s="70">
        <v>10</v>
      </c>
      <c r="AE15" s="70">
        <v>0</v>
      </c>
      <c r="AF15" s="70">
        <v>2000</v>
      </c>
      <c r="AG15" s="70">
        <v>2</v>
      </c>
      <c r="AH15" s="70">
        <v>7.47</v>
      </c>
      <c r="AI15" s="70">
        <v>601</v>
      </c>
      <c r="AJ15" s="70">
        <v>0</v>
      </c>
      <c r="AK15" s="70">
        <v>107</v>
      </c>
      <c r="AL15" s="70">
        <v>0</v>
      </c>
      <c r="AM15" s="70" t="s">
        <v>2</v>
      </c>
      <c r="AN15" s="70">
        <v>0</v>
      </c>
      <c r="AO15" s="70">
        <v>30</v>
      </c>
      <c r="AP15" s="70">
        <v>0</v>
      </c>
      <c r="AW15" s="70" t="b">
        <v>0</v>
      </c>
      <c r="AZ15" s="70" t="s">
        <v>34</v>
      </c>
      <c r="BB15" s="34"/>
      <c r="BC15" s="70">
        <v>14</v>
      </c>
      <c r="BD15" s="87"/>
      <c r="BE15" s="34"/>
      <c r="BF15" s="70">
        <v>1.2</v>
      </c>
      <c r="BG15" s="70">
        <v>0</v>
      </c>
      <c r="BH15" s="70">
        <v>0</v>
      </c>
      <c r="BI15" s="70">
        <v>0</v>
      </c>
      <c r="BJ15" s="70">
        <v>1.2</v>
      </c>
      <c r="BK15" s="70">
        <v>5.5</v>
      </c>
      <c r="BL15" s="70">
        <v>6</v>
      </c>
      <c r="BM15" s="70" t="s">
        <v>1</v>
      </c>
      <c r="BN15" s="60">
        <f t="shared" si="0"/>
        <v>60</v>
      </c>
      <c r="BO15" s="84">
        <f t="shared" si="1"/>
        <v>7</v>
      </c>
      <c r="BP15" s="75">
        <v>200</v>
      </c>
      <c r="BQ15" s="76">
        <v>4.9740000000000002</v>
      </c>
      <c r="BR15" s="76">
        <v>5.0579999999999998</v>
      </c>
      <c r="BS15" s="76">
        <v>5.016</v>
      </c>
      <c r="BT15" s="40"/>
      <c r="BU15" s="40"/>
      <c r="BV15" s="77">
        <v>0</v>
      </c>
      <c r="BW15" s="40"/>
      <c r="BX15" s="77">
        <v>0</v>
      </c>
      <c r="BY15" s="40"/>
      <c r="BZ15" s="77"/>
      <c r="CA15" s="40"/>
      <c r="CB15" s="77"/>
      <c r="CC15" s="40"/>
      <c r="CD15" s="40"/>
      <c r="CE15" s="78"/>
      <c r="CF15" s="79" t="s">
        <v>134</v>
      </c>
      <c r="CG15" s="70">
        <v>5.016</v>
      </c>
      <c r="CH15" s="70" t="str">
        <f t="shared" si="2"/>
        <v xml:space="preserve"> </v>
      </c>
      <c r="CI15" s="70">
        <f t="shared" si="3"/>
        <v>4.57</v>
      </c>
      <c r="CJ15" s="70">
        <v>1</v>
      </c>
      <c r="CK15" s="70">
        <v>0</v>
      </c>
      <c r="CL15" s="70">
        <v>0</v>
      </c>
      <c r="CM15" s="70">
        <v>0</v>
      </c>
      <c r="CN15" s="70">
        <v>1</v>
      </c>
      <c r="CO15" s="70">
        <v>0</v>
      </c>
      <c r="CP15" s="70">
        <v>0</v>
      </c>
      <c r="CQ15" s="70">
        <v>0</v>
      </c>
      <c r="CR15" s="70">
        <v>0</v>
      </c>
      <c r="CS15" s="70">
        <v>0</v>
      </c>
      <c r="CT15" s="70">
        <v>0</v>
      </c>
      <c r="CU15" s="81">
        <v>0</v>
      </c>
      <c r="CV15" s="70">
        <v>0</v>
      </c>
      <c r="CW15" s="70">
        <v>0</v>
      </c>
      <c r="CX15" s="70">
        <v>0</v>
      </c>
      <c r="CY15" s="70">
        <v>0</v>
      </c>
      <c r="CZ15" s="70">
        <v>0</v>
      </c>
      <c r="DA15" s="70">
        <v>0</v>
      </c>
      <c r="DB15" s="70">
        <v>0</v>
      </c>
      <c r="DC15" s="18">
        <f t="shared" si="4"/>
        <v>1</v>
      </c>
      <c r="DD15" s="82">
        <v>0</v>
      </c>
      <c r="DE15" s="70">
        <v>735</v>
      </c>
      <c r="DF15" s="70">
        <v>0</v>
      </c>
      <c r="DG15" s="70">
        <v>0</v>
      </c>
      <c r="DH15" s="70">
        <v>735</v>
      </c>
      <c r="DI15" s="70" t="s">
        <v>0</v>
      </c>
    </row>
    <row r="16" spans="1:113" s="70" customFormat="1" ht="15.75" thickBot="1" x14ac:dyDescent="0.3">
      <c r="A16" s="70">
        <v>127685</v>
      </c>
      <c r="B16" s="70" t="s">
        <v>6</v>
      </c>
      <c r="C16" s="71">
        <v>60</v>
      </c>
      <c r="D16" s="70">
        <v>60</v>
      </c>
      <c r="E16" s="70">
        <v>0</v>
      </c>
      <c r="F16" s="70">
        <v>60</v>
      </c>
      <c r="G16" s="70">
        <v>516</v>
      </c>
      <c r="H16" s="70">
        <v>0</v>
      </c>
      <c r="I16" s="70">
        <v>15</v>
      </c>
      <c r="J16" s="49" t="s">
        <v>203</v>
      </c>
      <c r="K16" s="49" t="s">
        <v>202</v>
      </c>
      <c r="L16" s="50">
        <v>45432.584293981497</v>
      </c>
      <c r="M16" s="70">
        <v>0</v>
      </c>
      <c r="N16" s="70">
        <v>0</v>
      </c>
      <c r="O16" s="70">
        <v>0</v>
      </c>
      <c r="R16" s="70" t="s">
        <v>34</v>
      </c>
      <c r="S16" s="70" t="b">
        <v>0</v>
      </c>
      <c r="T16" s="70">
        <v>0.01</v>
      </c>
      <c r="U16" s="83">
        <v>8</v>
      </c>
      <c r="V16" s="70">
        <v>0.01</v>
      </c>
      <c r="W16" s="70">
        <v>0</v>
      </c>
      <c r="X16" s="70">
        <v>2000</v>
      </c>
      <c r="Y16" s="70">
        <v>0</v>
      </c>
      <c r="Z16" s="70">
        <v>10</v>
      </c>
      <c r="AA16" s="70">
        <v>0</v>
      </c>
      <c r="AB16" s="73">
        <v>30</v>
      </c>
      <c r="AC16" s="70">
        <v>0</v>
      </c>
      <c r="AD16" s="70">
        <v>10</v>
      </c>
      <c r="AE16" s="70">
        <v>0</v>
      </c>
      <c r="AF16" s="70">
        <v>2000</v>
      </c>
      <c r="AG16" s="70">
        <v>2</v>
      </c>
      <c r="AH16" s="70">
        <v>8.58</v>
      </c>
      <c r="AI16" s="70">
        <v>639</v>
      </c>
      <c r="AJ16" s="70">
        <v>0</v>
      </c>
      <c r="AK16" s="70">
        <v>132</v>
      </c>
      <c r="AL16" s="70">
        <v>0</v>
      </c>
      <c r="AM16" s="70" t="s">
        <v>2</v>
      </c>
      <c r="AN16" s="70">
        <v>0</v>
      </c>
      <c r="AO16" s="70">
        <v>30</v>
      </c>
      <c r="AP16" s="70">
        <v>0</v>
      </c>
      <c r="AW16" s="70" t="b">
        <v>0</v>
      </c>
      <c r="AZ16" s="70" t="s">
        <v>34</v>
      </c>
      <c r="BB16" s="34"/>
      <c r="BC16" s="70">
        <v>15</v>
      </c>
      <c r="BD16" s="87"/>
      <c r="BE16" s="34"/>
      <c r="BF16" s="70">
        <v>1.2</v>
      </c>
      <c r="BG16" s="70">
        <v>0</v>
      </c>
      <c r="BH16" s="70">
        <v>0</v>
      </c>
      <c r="BI16" s="70">
        <v>0</v>
      </c>
      <c r="BJ16" s="70">
        <v>1.2</v>
      </c>
      <c r="BK16" s="70">
        <v>5.5</v>
      </c>
      <c r="BL16" s="70">
        <v>6</v>
      </c>
      <c r="BM16" s="70" t="s">
        <v>1</v>
      </c>
      <c r="BN16" s="60">
        <f t="shared" si="0"/>
        <v>60</v>
      </c>
      <c r="BO16" s="84">
        <f t="shared" si="1"/>
        <v>8</v>
      </c>
      <c r="BP16" s="75">
        <v>200</v>
      </c>
      <c r="BQ16" s="76">
        <v>4.9569999999999999</v>
      </c>
      <c r="BR16" s="76">
        <v>4.9000000000000004</v>
      </c>
      <c r="BS16" s="76">
        <v>4.9284999999999997</v>
      </c>
      <c r="BT16" s="40"/>
      <c r="BU16" s="40"/>
      <c r="BV16" s="77">
        <v>0</v>
      </c>
      <c r="BW16" s="40"/>
      <c r="BX16" s="77">
        <v>0</v>
      </c>
      <c r="BY16" s="40"/>
      <c r="BZ16" s="77"/>
      <c r="CA16" s="40"/>
      <c r="CB16" s="77"/>
      <c r="CC16" s="40"/>
      <c r="CD16" s="40"/>
      <c r="CE16" s="78"/>
      <c r="CF16" s="79" t="s">
        <v>125</v>
      </c>
      <c r="CG16" s="70">
        <v>4.9284999999999997</v>
      </c>
      <c r="CH16" s="70" t="str">
        <f t="shared" si="2"/>
        <v xml:space="preserve"> </v>
      </c>
      <c r="CI16" s="70">
        <f t="shared" si="3"/>
        <v>4.57</v>
      </c>
      <c r="CJ16" s="70">
        <v>1</v>
      </c>
      <c r="CK16" s="70">
        <v>0</v>
      </c>
      <c r="CL16" s="70">
        <v>0</v>
      </c>
      <c r="CM16" s="70">
        <v>0</v>
      </c>
      <c r="CN16" s="70">
        <v>0</v>
      </c>
      <c r="CO16" s="70">
        <v>0</v>
      </c>
      <c r="CP16" s="70">
        <v>0</v>
      </c>
      <c r="CQ16" s="70">
        <v>0</v>
      </c>
      <c r="CR16" s="70">
        <v>0</v>
      </c>
      <c r="CS16" s="70">
        <v>0</v>
      </c>
      <c r="CT16" s="70">
        <v>0</v>
      </c>
      <c r="CU16" s="81">
        <v>0</v>
      </c>
      <c r="CV16" s="70">
        <v>0</v>
      </c>
      <c r="CW16" s="70">
        <v>0</v>
      </c>
      <c r="CX16" s="70">
        <v>0</v>
      </c>
      <c r="CY16" s="70">
        <v>0</v>
      </c>
      <c r="CZ16" s="70">
        <v>0</v>
      </c>
      <c r="DA16" s="70">
        <v>0</v>
      </c>
      <c r="DB16" s="70">
        <v>0</v>
      </c>
      <c r="DC16" s="18">
        <f t="shared" si="4"/>
        <v>1</v>
      </c>
      <c r="DD16" s="82">
        <v>0</v>
      </c>
      <c r="DE16" s="70">
        <v>960</v>
      </c>
      <c r="DF16" s="70">
        <v>0</v>
      </c>
      <c r="DG16" s="70">
        <v>0</v>
      </c>
      <c r="DH16" s="70">
        <v>960</v>
      </c>
      <c r="DI16" s="70" t="s">
        <v>0</v>
      </c>
    </row>
    <row r="17" spans="1:113" s="70" customFormat="1" ht="15.75" thickBot="1" x14ac:dyDescent="0.3">
      <c r="A17" s="70">
        <v>127687</v>
      </c>
      <c r="B17" s="70" t="s">
        <v>6</v>
      </c>
      <c r="C17" s="71">
        <v>60</v>
      </c>
      <c r="D17" s="70">
        <v>60</v>
      </c>
      <c r="E17" s="70">
        <v>0</v>
      </c>
      <c r="F17" s="70">
        <v>60</v>
      </c>
      <c r="G17" s="70">
        <v>518</v>
      </c>
      <c r="H17" s="70">
        <v>0</v>
      </c>
      <c r="I17" s="70">
        <v>15</v>
      </c>
      <c r="J17" s="49" t="s">
        <v>201</v>
      </c>
      <c r="K17" s="49" t="s">
        <v>200</v>
      </c>
      <c r="L17" s="50">
        <v>45432.5844097222</v>
      </c>
      <c r="M17" s="70">
        <v>0</v>
      </c>
      <c r="N17" s="70">
        <v>0</v>
      </c>
      <c r="O17" s="70">
        <v>0</v>
      </c>
      <c r="R17" s="70" t="s">
        <v>34</v>
      </c>
      <c r="S17" s="70" t="b">
        <v>0</v>
      </c>
      <c r="T17" s="70">
        <v>0.01</v>
      </c>
      <c r="U17" s="83">
        <v>8</v>
      </c>
      <c r="V17" s="70">
        <v>0.01</v>
      </c>
      <c r="W17" s="70">
        <v>0</v>
      </c>
      <c r="X17" s="70">
        <v>2000</v>
      </c>
      <c r="Y17" s="70">
        <v>0</v>
      </c>
      <c r="Z17" s="70">
        <v>10</v>
      </c>
      <c r="AA17" s="70">
        <v>0</v>
      </c>
      <c r="AB17" s="73">
        <v>30</v>
      </c>
      <c r="AC17" s="70">
        <v>0</v>
      </c>
      <c r="AD17" s="70">
        <v>10</v>
      </c>
      <c r="AE17" s="70">
        <v>0</v>
      </c>
      <c r="AF17" s="70">
        <v>2000</v>
      </c>
      <c r="AG17" s="70">
        <v>2</v>
      </c>
      <c r="AH17" s="70">
        <v>8.5399999999999991</v>
      </c>
      <c r="AI17" s="70">
        <v>639</v>
      </c>
      <c r="AJ17" s="70">
        <v>0</v>
      </c>
      <c r="AK17" s="70">
        <v>131</v>
      </c>
      <c r="AL17" s="70">
        <v>0</v>
      </c>
      <c r="AM17" s="70" t="s">
        <v>2</v>
      </c>
      <c r="AN17" s="70">
        <v>0</v>
      </c>
      <c r="AO17" s="70">
        <v>30</v>
      </c>
      <c r="AP17" s="70">
        <v>0</v>
      </c>
      <c r="AW17" s="70" t="b">
        <v>0</v>
      </c>
      <c r="AZ17" s="70" t="s">
        <v>34</v>
      </c>
      <c r="BB17" s="34"/>
      <c r="BC17" s="70">
        <v>16</v>
      </c>
      <c r="BD17" s="87"/>
      <c r="BE17" s="34"/>
      <c r="BF17" s="70">
        <v>1.2</v>
      </c>
      <c r="BG17" s="70">
        <v>0</v>
      </c>
      <c r="BH17" s="70">
        <v>0</v>
      </c>
      <c r="BI17" s="70">
        <v>0</v>
      </c>
      <c r="BJ17" s="70">
        <v>1.2</v>
      </c>
      <c r="BK17" s="70">
        <v>5.5</v>
      </c>
      <c r="BL17" s="70">
        <v>6</v>
      </c>
      <c r="BM17" s="70" t="s">
        <v>1</v>
      </c>
      <c r="BN17" s="60">
        <f t="shared" si="0"/>
        <v>60</v>
      </c>
      <c r="BO17" s="84">
        <f t="shared" si="1"/>
        <v>8</v>
      </c>
      <c r="BP17" s="75">
        <v>200</v>
      </c>
      <c r="BQ17" s="76">
        <v>5.05</v>
      </c>
      <c r="BR17" s="76">
        <v>4.9420000000000002</v>
      </c>
      <c r="BS17" s="76">
        <v>4.9960000000000004</v>
      </c>
      <c r="BT17" s="40"/>
      <c r="BU17" s="40"/>
      <c r="BV17" s="77">
        <v>0</v>
      </c>
      <c r="BW17" s="40"/>
      <c r="BX17" s="77">
        <v>0</v>
      </c>
      <c r="BY17" s="40"/>
      <c r="BZ17" s="77"/>
      <c r="CA17" s="40"/>
      <c r="CB17" s="77"/>
      <c r="CC17" s="40"/>
      <c r="CD17" s="40"/>
      <c r="CE17" s="78"/>
      <c r="CF17" s="79" t="s">
        <v>125</v>
      </c>
      <c r="CG17" s="70">
        <v>4.9960000000000004</v>
      </c>
      <c r="CH17" s="70" t="str">
        <f t="shared" si="2"/>
        <v xml:space="preserve"> </v>
      </c>
      <c r="CI17" s="70">
        <f t="shared" si="3"/>
        <v>4.57</v>
      </c>
      <c r="CJ17" s="70">
        <v>0</v>
      </c>
      <c r="CK17" s="70">
        <v>0</v>
      </c>
      <c r="CL17" s="70">
        <v>0</v>
      </c>
      <c r="CM17" s="70">
        <v>0</v>
      </c>
      <c r="CN17" s="70">
        <v>0</v>
      </c>
      <c r="CO17" s="70">
        <v>0</v>
      </c>
      <c r="CP17" s="70">
        <v>0</v>
      </c>
      <c r="CQ17" s="70">
        <v>0</v>
      </c>
      <c r="CR17" s="70">
        <v>0</v>
      </c>
      <c r="CS17" s="70">
        <v>0</v>
      </c>
      <c r="CT17" s="70">
        <v>0</v>
      </c>
      <c r="CU17" s="81">
        <v>0</v>
      </c>
      <c r="CV17" s="70">
        <v>0</v>
      </c>
      <c r="CW17" s="70">
        <v>0</v>
      </c>
      <c r="CX17" s="70">
        <v>0</v>
      </c>
      <c r="CY17" s="70">
        <v>0</v>
      </c>
      <c r="CZ17" s="70">
        <v>0</v>
      </c>
      <c r="DA17" s="70">
        <v>0</v>
      </c>
      <c r="DB17" s="70">
        <v>0</v>
      </c>
      <c r="DC17" s="18">
        <f t="shared" si="4"/>
        <v>0</v>
      </c>
      <c r="DD17" s="82">
        <v>0</v>
      </c>
      <c r="DE17" s="70">
        <v>960</v>
      </c>
      <c r="DF17" s="70">
        <v>0</v>
      </c>
      <c r="DG17" s="70">
        <v>0</v>
      </c>
      <c r="DH17" s="70">
        <v>960</v>
      </c>
      <c r="DI17" s="70" t="s">
        <v>0</v>
      </c>
    </row>
    <row r="18" spans="1:113" s="70" customFormat="1" ht="15.75" thickBot="1" x14ac:dyDescent="0.3">
      <c r="A18" s="70">
        <v>129391</v>
      </c>
      <c r="B18" s="70" t="s">
        <v>6</v>
      </c>
      <c r="C18" s="71">
        <v>60</v>
      </c>
      <c r="D18" s="70">
        <v>60</v>
      </c>
      <c r="E18" s="70">
        <v>0</v>
      </c>
      <c r="F18" s="70">
        <v>60</v>
      </c>
      <c r="G18" s="70">
        <v>692</v>
      </c>
      <c r="H18" s="70">
        <v>0</v>
      </c>
      <c r="I18" s="70">
        <v>20</v>
      </c>
      <c r="J18" s="49" t="s">
        <v>199</v>
      </c>
      <c r="K18" s="49" t="s">
        <v>198</v>
      </c>
      <c r="L18" s="50">
        <v>45433.4948842593</v>
      </c>
      <c r="M18" s="70">
        <v>0</v>
      </c>
      <c r="N18" s="70">
        <v>0</v>
      </c>
      <c r="O18" s="70">
        <v>0</v>
      </c>
      <c r="R18" s="70" t="s">
        <v>34</v>
      </c>
      <c r="S18" s="70" t="b">
        <v>0</v>
      </c>
      <c r="T18" s="70">
        <v>0.01</v>
      </c>
      <c r="U18" s="72">
        <v>9</v>
      </c>
      <c r="V18" s="70">
        <v>0.01</v>
      </c>
      <c r="W18" s="70">
        <v>0</v>
      </c>
      <c r="X18" s="70">
        <v>2000</v>
      </c>
      <c r="Y18" s="70">
        <v>0</v>
      </c>
      <c r="Z18" s="70">
        <v>10</v>
      </c>
      <c r="AA18" s="70">
        <v>0</v>
      </c>
      <c r="AB18" s="88">
        <v>40</v>
      </c>
      <c r="AC18" s="70">
        <v>0</v>
      </c>
      <c r="AD18" s="70">
        <v>10</v>
      </c>
      <c r="AE18" s="70">
        <v>0</v>
      </c>
      <c r="AF18" s="70">
        <v>2000</v>
      </c>
      <c r="AG18" s="70">
        <v>2</v>
      </c>
      <c r="AH18" s="70">
        <v>9.3699999999999992</v>
      </c>
      <c r="AI18" s="70">
        <v>648</v>
      </c>
      <c r="AJ18" s="70">
        <v>0</v>
      </c>
      <c r="AK18" s="70">
        <v>211</v>
      </c>
      <c r="AL18" s="70">
        <v>0</v>
      </c>
      <c r="AM18" s="70" t="s">
        <v>2</v>
      </c>
      <c r="AN18" s="70">
        <v>0</v>
      </c>
      <c r="AO18" s="70">
        <v>40</v>
      </c>
      <c r="AP18" s="70">
        <v>0</v>
      </c>
      <c r="AW18" s="70" t="b">
        <v>0</v>
      </c>
      <c r="AZ18" s="70" t="s">
        <v>34</v>
      </c>
      <c r="BB18" s="34"/>
      <c r="BC18" s="70">
        <v>17</v>
      </c>
      <c r="BD18" s="87"/>
      <c r="BE18" s="34"/>
      <c r="BF18" s="70">
        <v>1.2</v>
      </c>
      <c r="BG18" s="70">
        <v>0</v>
      </c>
      <c r="BH18" s="70">
        <v>0</v>
      </c>
      <c r="BI18" s="70">
        <v>0</v>
      </c>
      <c r="BJ18" s="70">
        <v>1.2</v>
      </c>
      <c r="BK18" s="70">
        <v>5.5</v>
      </c>
      <c r="BL18" s="70">
        <v>6</v>
      </c>
      <c r="BM18" s="70" t="s">
        <v>1</v>
      </c>
      <c r="BN18" s="60">
        <f t="shared" si="0"/>
        <v>60</v>
      </c>
      <c r="BO18" s="74">
        <f t="shared" si="1"/>
        <v>9</v>
      </c>
      <c r="BP18" s="75">
        <v>200</v>
      </c>
      <c r="BQ18" s="76">
        <v>6.2530000000000001</v>
      </c>
      <c r="BR18" s="76">
        <v>6.2949999999999999</v>
      </c>
      <c r="BS18" s="76">
        <v>6.274</v>
      </c>
      <c r="BT18" s="40"/>
      <c r="BU18" s="40"/>
      <c r="BV18" s="77">
        <v>0</v>
      </c>
      <c r="BW18" s="40"/>
      <c r="BX18" s="77">
        <v>0</v>
      </c>
      <c r="BY18" s="40"/>
      <c r="BZ18" s="77"/>
      <c r="CA18" s="40"/>
      <c r="CB18" s="77"/>
      <c r="CC18" s="40"/>
      <c r="CD18" s="40"/>
      <c r="CE18" s="78"/>
      <c r="CF18" s="79" t="s">
        <v>125</v>
      </c>
      <c r="CG18" s="70">
        <v>6.274</v>
      </c>
      <c r="CH18" s="70" t="str">
        <f t="shared" si="2"/>
        <v xml:space="preserve"> </v>
      </c>
      <c r="CI18" s="70">
        <f t="shared" si="3"/>
        <v>4.57</v>
      </c>
      <c r="CJ18" s="70">
        <v>0</v>
      </c>
      <c r="CK18" s="70">
        <v>0</v>
      </c>
      <c r="CL18" s="70">
        <v>0</v>
      </c>
      <c r="CM18" s="70">
        <v>0</v>
      </c>
      <c r="CN18" s="70">
        <v>0</v>
      </c>
      <c r="CO18" s="70">
        <v>0</v>
      </c>
      <c r="CP18" s="70">
        <v>0</v>
      </c>
      <c r="CQ18" s="70">
        <v>0</v>
      </c>
      <c r="CR18" s="18">
        <v>0</v>
      </c>
      <c r="CS18" s="70">
        <v>0</v>
      </c>
      <c r="CT18" s="70">
        <v>0</v>
      </c>
      <c r="CU18" s="81">
        <v>0</v>
      </c>
      <c r="CV18" s="70">
        <v>0</v>
      </c>
      <c r="CW18" s="70">
        <v>0</v>
      </c>
      <c r="CX18" s="70">
        <v>0</v>
      </c>
      <c r="CY18" s="70">
        <v>0</v>
      </c>
      <c r="CZ18" s="70">
        <v>0</v>
      </c>
      <c r="DA18" s="70">
        <v>0</v>
      </c>
      <c r="DB18" s="70">
        <v>0</v>
      </c>
      <c r="DC18" s="18">
        <f t="shared" si="4"/>
        <v>0</v>
      </c>
      <c r="DD18" s="82">
        <v>0</v>
      </c>
      <c r="DE18" s="70">
        <v>1620</v>
      </c>
      <c r="DF18" s="70">
        <v>0</v>
      </c>
      <c r="DG18" s="70">
        <v>0</v>
      </c>
      <c r="DH18" s="82">
        <v>1620</v>
      </c>
      <c r="DI18" s="70" t="s">
        <v>0</v>
      </c>
    </row>
    <row r="19" spans="1:113" s="70" customFormat="1" ht="15.75" thickBot="1" x14ac:dyDescent="0.3">
      <c r="A19" s="70">
        <v>129393</v>
      </c>
      <c r="B19" s="70" t="s">
        <v>6</v>
      </c>
      <c r="C19" s="71">
        <v>60</v>
      </c>
      <c r="D19" s="70">
        <v>60</v>
      </c>
      <c r="E19" s="70">
        <v>0</v>
      </c>
      <c r="F19" s="70">
        <v>60</v>
      </c>
      <c r="G19" s="70">
        <v>694</v>
      </c>
      <c r="H19" s="70">
        <v>0</v>
      </c>
      <c r="I19" s="70">
        <v>20</v>
      </c>
      <c r="J19" s="49" t="s">
        <v>197</v>
      </c>
      <c r="K19" s="49" t="s">
        <v>196</v>
      </c>
      <c r="L19" s="50">
        <v>45433.495000000003</v>
      </c>
      <c r="M19" s="70">
        <v>0</v>
      </c>
      <c r="N19" s="70">
        <v>0</v>
      </c>
      <c r="O19" s="70">
        <v>0</v>
      </c>
      <c r="R19" s="70" t="s">
        <v>34</v>
      </c>
      <c r="S19" s="70" t="b">
        <v>0</v>
      </c>
      <c r="T19" s="70">
        <v>0.01</v>
      </c>
      <c r="U19" s="72">
        <v>9</v>
      </c>
      <c r="V19" s="70">
        <v>0.01</v>
      </c>
      <c r="W19" s="70">
        <v>0</v>
      </c>
      <c r="X19" s="70">
        <v>2000</v>
      </c>
      <c r="Y19" s="70">
        <v>0</v>
      </c>
      <c r="Z19" s="70">
        <v>10</v>
      </c>
      <c r="AA19" s="70">
        <v>0</v>
      </c>
      <c r="AB19" s="88">
        <v>40</v>
      </c>
      <c r="AC19" s="70">
        <v>0</v>
      </c>
      <c r="AD19" s="70">
        <v>10</v>
      </c>
      <c r="AE19" s="70">
        <v>0</v>
      </c>
      <c r="AF19" s="70">
        <v>2000</v>
      </c>
      <c r="AG19" s="70">
        <v>2</v>
      </c>
      <c r="AH19" s="70">
        <v>9.32</v>
      </c>
      <c r="AI19" s="70">
        <v>643</v>
      </c>
      <c r="AJ19" s="70">
        <v>0</v>
      </c>
      <c r="AK19" s="70">
        <v>211</v>
      </c>
      <c r="AL19" s="70">
        <v>0</v>
      </c>
      <c r="AM19" s="70" t="s">
        <v>2</v>
      </c>
      <c r="AN19" s="70">
        <v>0</v>
      </c>
      <c r="AO19" s="70">
        <v>40</v>
      </c>
      <c r="AP19" s="70">
        <v>0</v>
      </c>
      <c r="AW19" s="70" t="b">
        <v>0</v>
      </c>
      <c r="AZ19" s="70" t="s">
        <v>34</v>
      </c>
      <c r="BB19" s="34"/>
      <c r="BC19" s="70">
        <v>18</v>
      </c>
      <c r="BD19" s="87"/>
      <c r="BE19" s="34"/>
      <c r="BF19" s="70">
        <v>1.2</v>
      </c>
      <c r="BG19" s="70">
        <v>0</v>
      </c>
      <c r="BH19" s="70">
        <v>0</v>
      </c>
      <c r="BI19" s="70">
        <v>0</v>
      </c>
      <c r="BJ19" s="70">
        <v>1.2</v>
      </c>
      <c r="BK19" s="70">
        <v>5.5</v>
      </c>
      <c r="BL19" s="70">
        <v>6</v>
      </c>
      <c r="BM19" s="70" t="s">
        <v>1</v>
      </c>
      <c r="BN19" s="60">
        <f t="shared" si="0"/>
        <v>60</v>
      </c>
      <c r="BO19" s="74">
        <f t="shared" si="1"/>
        <v>9</v>
      </c>
      <c r="BP19" s="75">
        <v>200</v>
      </c>
      <c r="BQ19" s="76">
        <v>6.4340000000000002</v>
      </c>
      <c r="BR19" s="76">
        <v>6.6989999999999998</v>
      </c>
      <c r="BS19" s="76">
        <v>6.5664999999999996</v>
      </c>
      <c r="BT19" s="40"/>
      <c r="BU19" s="40"/>
      <c r="BV19" s="77">
        <v>0</v>
      </c>
      <c r="BW19" s="40"/>
      <c r="BX19" s="77">
        <v>0</v>
      </c>
      <c r="BY19" s="40"/>
      <c r="BZ19" s="77"/>
      <c r="CA19" s="40"/>
      <c r="CB19" s="77"/>
      <c r="CC19" s="40"/>
      <c r="CD19" s="40"/>
      <c r="CE19" s="78"/>
      <c r="CF19" s="79" t="s">
        <v>125</v>
      </c>
      <c r="CG19" s="86">
        <v>6.5664999999999996</v>
      </c>
      <c r="CH19" s="86" t="str">
        <f t="shared" si="2"/>
        <v xml:space="preserve"> </v>
      </c>
      <c r="CI19" s="70">
        <f t="shared" si="3"/>
        <v>4.57</v>
      </c>
      <c r="CJ19" s="70">
        <v>0</v>
      </c>
      <c r="CK19" s="70">
        <v>0</v>
      </c>
      <c r="CL19" s="70">
        <v>0</v>
      </c>
      <c r="CM19" s="70">
        <v>0</v>
      </c>
      <c r="CN19" s="70">
        <v>0</v>
      </c>
      <c r="CO19" s="70">
        <v>0</v>
      </c>
      <c r="CP19" s="70">
        <v>0</v>
      </c>
      <c r="CQ19" s="70">
        <v>0</v>
      </c>
      <c r="CR19" s="18">
        <v>0</v>
      </c>
      <c r="CS19" s="70">
        <v>0</v>
      </c>
      <c r="CT19" s="70">
        <v>0</v>
      </c>
      <c r="CU19" s="81">
        <v>0</v>
      </c>
      <c r="CV19" s="70">
        <v>0</v>
      </c>
      <c r="CW19" s="70">
        <v>0</v>
      </c>
      <c r="CX19" s="70">
        <v>0</v>
      </c>
      <c r="CY19" s="70">
        <v>0</v>
      </c>
      <c r="CZ19" s="70">
        <v>0</v>
      </c>
      <c r="DA19" s="70">
        <v>0</v>
      </c>
      <c r="DB19" s="70">
        <v>0</v>
      </c>
      <c r="DC19" s="18">
        <f t="shared" si="4"/>
        <v>0</v>
      </c>
      <c r="DD19" s="82">
        <v>0</v>
      </c>
      <c r="DE19" s="70">
        <v>1620</v>
      </c>
      <c r="DF19" s="70">
        <v>0</v>
      </c>
      <c r="DG19" s="70">
        <v>0</v>
      </c>
      <c r="DH19" s="82">
        <v>1620</v>
      </c>
      <c r="DI19" s="70" t="s">
        <v>0</v>
      </c>
    </row>
    <row r="20" spans="1:113" s="70" customFormat="1" ht="15.75" thickBot="1" x14ac:dyDescent="0.3">
      <c r="A20" s="70">
        <v>129395</v>
      </c>
      <c r="B20" s="70" t="s">
        <v>6</v>
      </c>
      <c r="C20" s="71">
        <v>60</v>
      </c>
      <c r="D20" s="70">
        <v>60</v>
      </c>
      <c r="E20" s="70">
        <v>0</v>
      </c>
      <c r="F20" s="70">
        <v>60</v>
      </c>
      <c r="G20" s="70">
        <v>696</v>
      </c>
      <c r="H20" s="70">
        <v>0</v>
      </c>
      <c r="I20" s="70">
        <v>25</v>
      </c>
      <c r="J20" s="49" t="s">
        <v>195</v>
      </c>
      <c r="K20" s="49" t="s">
        <v>194</v>
      </c>
      <c r="L20" s="50">
        <v>45433.495590277802</v>
      </c>
      <c r="M20" s="70">
        <v>0</v>
      </c>
      <c r="N20" s="70">
        <v>0</v>
      </c>
      <c r="O20" s="70">
        <v>0</v>
      </c>
      <c r="R20" s="70" t="s">
        <v>34</v>
      </c>
      <c r="S20" s="70" t="b">
        <v>0</v>
      </c>
      <c r="T20" s="70">
        <v>0.01</v>
      </c>
      <c r="U20" s="72">
        <v>9</v>
      </c>
      <c r="V20" s="70">
        <v>0.01</v>
      </c>
      <c r="W20" s="70">
        <v>0</v>
      </c>
      <c r="X20" s="70">
        <v>2000</v>
      </c>
      <c r="Y20" s="70">
        <v>0</v>
      </c>
      <c r="Z20" s="70">
        <v>10</v>
      </c>
      <c r="AA20" s="70">
        <v>0</v>
      </c>
      <c r="AB20" s="88">
        <v>50</v>
      </c>
      <c r="AC20" s="70">
        <v>0</v>
      </c>
      <c r="AD20" s="70">
        <v>10</v>
      </c>
      <c r="AE20" s="70">
        <v>0</v>
      </c>
      <c r="AF20" s="70">
        <v>2000</v>
      </c>
      <c r="AG20" s="70">
        <v>2</v>
      </c>
      <c r="AH20" s="70">
        <v>9.25</v>
      </c>
      <c r="AI20" s="70">
        <v>610</v>
      </c>
      <c r="AJ20" s="70">
        <v>0</v>
      </c>
      <c r="AK20" s="70">
        <v>257</v>
      </c>
      <c r="AL20" s="70">
        <v>0</v>
      </c>
      <c r="AM20" s="70" t="s">
        <v>2</v>
      </c>
      <c r="AN20" s="70">
        <v>0</v>
      </c>
      <c r="AO20" s="70">
        <v>50</v>
      </c>
      <c r="AP20" s="70">
        <v>0</v>
      </c>
      <c r="AW20" s="70" t="b">
        <v>0</v>
      </c>
      <c r="AZ20" s="70" t="s">
        <v>34</v>
      </c>
      <c r="BB20" s="34"/>
      <c r="BC20" s="70">
        <v>19</v>
      </c>
      <c r="BD20" s="87"/>
      <c r="BE20" s="34"/>
      <c r="BF20" s="70">
        <v>1.2</v>
      </c>
      <c r="BG20" s="70">
        <v>0</v>
      </c>
      <c r="BH20" s="70">
        <v>0</v>
      </c>
      <c r="BI20" s="70">
        <v>0</v>
      </c>
      <c r="BJ20" s="70">
        <v>1.2</v>
      </c>
      <c r="BK20" s="70">
        <v>5.5</v>
      </c>
      <c r="BL20" s="70">
        <v>6</v>
      </c>
      <c r="BM20" s="70" t="s">
        <v>1</v>
      </c>
      <c r="BN20" s="60">
        <f t="shared" si="0"/>
        <v>60</v>
      </c>
      <c r="BO20" s="74">
        <f t="shared" si="1"/>
        <v>9</v>
      </c>
      <c r="BP20" s="75">
        <v>200</v>
      </c>
      <c r="BQ20" s="76">
        <v>6.8879999999999999</v>
      </c>
      <c r="BR20" s="76">
        <v>6.6529999999999996</v>
      </c>
      <c r="BS20" s="76">
        <v>6.7705000000000002</v>
      </c>
      <c r="BT20" s="40"/>
      <c r="BU20" s="40"/>
      <c r="BV20" s="77">
        <v>0</v>
      </c>
      <c r="BW20" s="40"/>
      <c r="BX20" s="77">
        <v>0</v>
      </c>
      <c r="BY20" s="40"/>
      <c r="BZ20" s="77"/>
      <c r="CA20" s="40"/>
      <c r="CB20" s="77"/>
      <c r="CC20" s="40"/>
      <c r="CD20" s="40"/>
      <c r="CE20" s="78"/>
      <c r="CF20" s="79" t="s">
        <v>679</v>
      </c>
      <c r="CG20" s="70">
        <v>6.7705000000000002</v>
      </c>
      <c r="CH20" s="70" t="str">
        <f t="shared" si="2"/>
        <v xml:space="preserve"> </v>
      </c>
      <c r="CI20" s="70">
        <f t="shared" si="3"/>
        <v>4.57</v>
      </c>
      <c r="CJ20" s="70">
        <v>0</v>
      </c>
      <c r="CK20" s="70">
        <v>0</v>
      </c>
      <c r="CL20" s="70">
        <v>0</v>
      </c>
      <c r="CM20" s="70">
        <v>0</v>
      </c>
      <c r="CN20" s="70">
        <v>0</v>
      </c>
      <c r="CO20" s="70">
        <v>0</v>
      </c>
      <c r="CP20" s="70">
        <v>0</v>
      </c>
      <c r="CQ20" s="70">
        <v>0</v>
      </c>
      <c r="CR20" s="80">
        <v>1</v>
      </c>
      <c r="CS20" s="70">
        <v>0</v>
      </c>
      <c r="CT20" s="70">
        <v>0</v>
      </c>
      <c r="CU20" s="81">
        <v>0</v>
      </c>
      <c r="CV20" s="70">
        <v>0</v>
      </c>
      <c r="CW20" s="70">
        <v>0</v>
      </c>
      <c r="CX20" s="70">
        <v>0</v>
      </c>
      <c r="CY20" s="70">
        <v>0</v>
      </c>
      <c r="CZ20" s="70">
        <v>0</v>
      </c>
      <c r="DA20" s="70">
        <v>0</v>
      </c>
      <c r="DB20" s="70">
        <v>0</v>
      </c>
      <c r="DC20" s="18">
        <f t="shared" si="4"/>
        <v>1</v>
      </c>
      <c r="DD20" s="82">
        <v>1</v>
      </c>
      <c r="DE20" s="70">
        <v>2025</v>
      </c>
      <c r="DF20" s="70">
        <v>0</v>
      </c>
      <c r="DG20" s="70">
        <v>0</v>
      </c>
      <c r="DH20" s="82">
        <v>2025</v>
      </c>
      <c r="DI20" s="70" t="s">
        <v>0</v>
      </c>
    </row>
    <row r="21" spans="1:113" s="70" customFormat="1" ht="15.75" thickBot="1" x14ac:dyDescent="0.3">
      <c r="A21" s="70">
        <v>129397</v>
      </c>
      <c r="B21" s="70" t="s">
        <v>6</v>
      </c>
      <c r="C21" s="71">
        <v>60</v>
      </c>
      <c r="D21" s="70">
        <v>60</v>
      </c>
      <c r="E21" s="70">
        <v>0</v>
      </c>
      <c r="F21" s="70">
        <v>60</v>
      </c>
      <c r="G21" s="70">
        <v>698</v>
      </c>
      <c r="H21" s="70">
        <v>0</v>
      </c>
      <c r="I21" s="70">
        <v>25</v>
      </c>
      <c r="J21" s="49" t="s">
        <v>193</v>
      </c>
      <c r="K21" s="49" t="s">
        <v>192</v>
      </c>
      <c r="L21" s="50">
        <v>45433.495694444398</v>
      </c>
      <c r="M21" s="70">
        <v>0</v>
      </c>
      <c r="N21" s="70">
        <v>0</v>
      </c>
      <c r="O21" s="70">
        <v>0</v>
      </c>
      <c r="R21" s="70" t="s">
        <v>34</v>
      </c>
      <c r="S21" s="70" t="b">
        <v>0</v>
      </c>
      <c r="T21" s="70">
        <v>0.01</v>
      </c>
      <c r="U21" s="72">
        <v>9</v>
      </c>
      <c r="V21" s="70">
        <v>0.01</v>
      </c>
      <c r="W21" s="70">
        <v>0</v>
      </c>
      <c r="X21" s="70">
        <v>2000</v>
      </c>
      <c r="Y21" s="70">
        <v>0</v>
      </c>
      <c r="Z21" s="70">
        <v>10</v>
      </c>
      <c r="AA21" s="70">
        <v>0</v>
      </c>
      <c r="AB21" s="88">
        <v>50</v>
      </c>
      <c r="AC21" s="70">
        <v>0</v>
      </c>
      <c r="AD21" s="70">
        <v>10</v>
      </c>
      <c r="AE21" s="70">
        <v>0</v>
      </c>
      <c r="AF21" s="70">
        <v>2000</v>
      </c>
      <c r="AG21" s="70">
        <v>2</v>
      </c>
      <c r="AH21" s="70">
        <v>9.26</v>
      </c>
      <c r="AI21" s="70">
        <v>618</v>
      </c>
      <c r="AJ21" s="70">
        <v>0</v>
      </c>
      <c r="AK21" s="70">
        <v>261</v>
      </c>
      <c r="AL21" s="70">
        <v>0</v>
      </c>
      <c r="AM21" s="70" t="s">
        <v>2</v>
      </c>
      <c r="AN21" s="70">
        <v>0</v>
      </c>
      <c r="AO21" s="70">
        <v>50</v>
      </c>
      <c r="AP21" s="70">
        <v>0</v>
      </c>
      <c r="AW21" s="70" t="b">
        <v>0</v>
      </c>
      <c r="AZ21" s="70" t="s">
        <v>34</v>
      </c>
      <c r="BB21" s="34"/>
      <c r="BC21" s="70">
        <v>20</v>
      </c>
      <c r="BD21" s="87"/>
      <c r="BE21" s="34"/>
      <c r="BF21" s="70">
        <v>1.2</v>
      </c>
      <c r="BG21" s="70">
        <v>0</v>
      </c>
      <c r="BH21" s="70">
        <v>0</v>
      </c>
      <c r="BI21" s="70">
        <v>0</v>
      </c>
      <c r="BJ21" s="70">
        <v>1.2</v>
      </c>
      <c r="BK21" s="70">
        <v>5.5</v>
      </c>
      <c r="BL21" s="70">
        <v>6</v>
      </c>
      <c r="BM21" s="70" t="s">
        <v>1</v>
      </c>
      <c r="BN21" s="60">
        <f t="shared" si="0"/>
        <v>60</v>
      </c>
      <c r="BO21" s="74">
        <f t="shared" si="1"/>
        <v>9</v>
      </c>
      <c r="BP21" s="75">
        <v>200</v>
      </c>
      <c r="BQ21" s="76">
        <v>6.7859999999999996</v>
      </c>
      <c r="BR21" s="76">
        <v>6.476</v>
      </c>
      <c r="BS21" s="76">
        <v>6.6310000000000002</v>
      </c>
      <c r="BT21" s="40"/>
      <c r="BU21" s="40"/>
      <c r="BV21" s="77">
        <v>0</v>
      </c>
      <c r="BW21" s="40"/>
      <c r="BX21" s="77">
        <v>0</v>
      </c>
      <c r="BY21" s="40"/>
      <c r="BZ21" s="77"/>
      <c r="CA21" s="40"/>
      <c r="CB21" s="77"/>
      <c r="CC21" s="40"/>
      <c r="CD21" s="40"/>
      <c r="CE21" s="78"/>
      <c r="CF21" s="79" t="s">
        <v>679</v>
      </c>
      <c r="CG21" s="86">
        <v>6.6310000000000002</v>
      </c>
      <c r="CH21" s="86" t="str">
        <f t="shared" si="2"/>
        <v xml:space="preserve"> </v>
      </c>
      <c r="CI21" s="70">
        <f t="shared" si="3"/>
        <v>4.57</v>
      </c>
      <c r="CJ21" s="70">
        <v>0</v>
      </c>
      <c r="CK21" s="70">
        <v>0</v>
      </c>
      <c r="CL21" s="70">
        <v>0</v>
      </c>
      <c r="CM21" s="70">
        <v>0</v>
      </c>
      <c r="CN21" s="70">
        <v>0</v>
      </c>
      <c r="CO21" s="70">
        <v>0</v>
      </c>
      <c r="CP21" s="70">
        <v>0</v>
      </c>
      <c r="CQ21" s="70">
        <v>0</v>
      </c>
      <c r="CR21" s="80">
        <v>1</v>
      </c>
      <c r="CS21" s="70">
        <v>0</v>
      </c>
      <c r="CT21" s="70">
        <v>0</v>
      </c>
      <c r="CU21" s="81">
        <v>0</v>
      </c>
      <c r="CV21" s="70">
        <v>0</v>
      </c>
      <c r="CW21" s="70">
        <v>0</v>
      </c>
      <c r="CX21" s="70">
        <v>0</v>
      </c>
      <c r="CY21" s="70">
        <v>0</v>
      </c>
      <c r="CZ21" s="70">
        <v>0</v>
      </c>
      <c r="DA21" s="70">
        <v>0</v>
      </c>
      <c r="DB21" s="70">
        <v>0</v>
      </c>
      <c r="DC21" s="18">
        <f t="shared" si="4"/>
        <v>1</v>
      </c>
      <c r="DD21" s="82">
        <v>1</v>
      </c>
      <c r="DE21" s="70">
        <v>2025</v>
      </c>
      <c r="DF21" s="70">
        <v>0</v>
      </c>
      <c r="DG21" s="70">
        <v>0</v>
      </c>
      <c r="DH21" s="82">
        <v>2025</v>
      </c>
      <c r="DI21" s="70" t="s">
        <v>0</v>
      </c>
    </row>
    <row r="22" spans="1:113" s="70" customFormat="1" ht="15.75" thickBot="1" x14ac:dyDescent="0.3">
      <c r="A22" s="70">
        <v>129399</v>
      </c>
      <c r="B22" s="70" t="s">
        <v>6</v>
      </c>
      <c r="C22" s="71">
        <v>60</v>
      </c>
      <c r="D22" s="70">
        <v>60</v>
      </c>
      <c r="E22" s="70">
        <v>0</v>
      </c>
      <c r="F22" s="70">
        <v>60</v>
      </c>
      <c r="G22" s="70">
        <v>700</v>
      </c>
      <c r="H22" s="70">
        <v>0</v>
      </c>
      <c r="I22" s="70">
        <v>30</v>
      </c>
      <c r="J22" s="49" t="s">
        <v>191</v>
      </c>
      <c r="K22" s="49" t="s">
        <v>190</v>
      </c>
      <c r="L22" s="50">
        <v>45433.496203703697</v>
      </c>
      <c r="M22" s="70">
        <v>0</v>
      </c>
      <c r="N22" s="70">
        <v>0</v>
      </c>
      <c r="O22" s="70">
        <v>0</v>
      </c>
      <c r="R22" s="70" t="s">
        <v>34</v>
      </c>
      <c r="S22" s="70" t="b">
        <v>0</v>
      </c>
      <c r="T22" s="70">
        <v>0.01</v>
      </c>
      <c r="U22" s="72">
        <v>9</v>
      </c>
      <c r="V22" s="70">
        <v>0.01</v>
      </c>
      <c r="W22" s="70">
        <v>0</v>
      </c>
      <c r="X22" s="70">
        <v>2000</v>
      </c>
      <c r="Y22" s="70">
        <v>0</v>
      </c>
      <c r="Z22" s="70">
        <v>10</v>
      </c>
      <c r="AA22" s="70">
        <v>0</v>
      </c>
      <c r="AB22" s="88">
        <v>60</v>
      </c>
      <c r="AC22" s="70">
        <v>0</v>
      </c>
      <c r="AD22" s="70">
        <v>10</v>
      </c>
      <c r="AE22" s="70">
        <v>0</v>
      </c>
      <c r="AF22" s="70">
        <v>2000</v>
      </c>
      <c r="AG22" s="70">
        <v>2</v>
      </c>
      <c r="AH22" s="70">
        <v>9.23</v>
      </c>
      <c r="AI22" s="70">
        <v>588</v>
      </c>
      <c r="AJ22" s="70">
        <v>0</v>
      </c>
      <c r="AK22" s="70">
        <v>303</v>
      </c>
      <c r="AL22" s="70">
        <v>0</v>
      </c>
      <c r="AM22" s="70" t="s">
        <v>2</v>
      </c>
      <c r="AN22" s="70">
        <v>0</v>
      </c>
      <c r="AO22" s="70">
        <v>60</v>
      </c>
      <c r="AP22" s="70">
        <v>0</v>
      </c>
      <c r="AW22" s="70" t="b">
        <v>0</v>
      </c>
      <c r="AZ22" s="70" t="s">
        <v>34</v>
      </c>
      <c r="BB22" s="34"/>
      <c r="BC22" s="70">
        <v>21</v>
      </c>
      <c r="BD22" s="87"/>
      <c r="BE22" s="34"/>
      <c r="BF22" s="70">
        <v>1.2</v>
      </c>
      <c r="BG22" s="70">
        <v>0</v>
      </c>
      <c r="BH22" s="70">
        <v>0</v>
      </c>
      <c r="BI22" s="70">
        <v>0</v>
      </c>
      <c r="BJ22" s="70">
        <v>1.2</v>
      </c>
      <c r="BK22" s="70">
        <v>5.5</v>
      </c>
      <c r="BL22" s="70">
        <v>6</v>
      </c>
      <c r="BM22" s="70" t="s">
        <v>1</v>
      </c>
      <c r="BN22" s="60">
        <f t="shared" si="0"/>
        <v>60</v>
      </c>
      <c r="BO22" s="74">
        <f t="shared" si="1"/>
        <v>9</v>
      </c>
      <c r="BP22" s="75">
        <v>200</v>
      </c>
      <c r="BQ22" s="76">
        <v>7.3760000000000003</v>
      </c>
      <c r="BR22" s="76">
        <v>7.2240000000000002</v>
      </c>
      <c r="BS22" s="76">
        <v>7.3000000000000007</v>
      </c>
      <c r="BT22" s="40"/>
      <c r="BU22" s="40"/>
      <c r="BV22" s="77">
        <v>0</v>
      </c>
      <c r="BW22" s="40"/>
      <c r="BX22" s="77">
        <v>0</v>
      </c>
      <c r="BY22" s="40"/>
      <c r="BZ22" s="77"/>
      <c r="CA22" s="40"/>
      <c r="CB22" s="77"/>
      <c r="CC22" s="40"/>
      <c r="CD22" s="40"/>
      <c r="CE22" s="78"/>
      <c r="CF22" s="79" t="s">
        <v>125</v>
      </c>
      <c r="CG22" s="70">
        <v>7.3000000000000007</v>
      </c>
      <c r="CH22" s="70" t="str">
        <f t="shared" si="2"/>
        <v xml:space="preserve"> </v>
      </c>
      <c r="CI22" s="70">
        <f t="shared" si="3"/>
        <v>4.57</v>
      </c>
      <c r="CJ22" s="70">
        <v>0</v>
      </c>
      <c r="CK22" s="70">
        <v>0</v>
      </c>
      <c r="CL22" s="70">
        <v>0</v>
      </c>
      <c r="CM22" s="70">
        <v>0</v>
      </c>
      <c r="CN22" s="70">
        <v>0</v>
      </c>
      <c r="CO22" s="70">
        <v>0</v>
      </c>
      <c r="CP22" s="70">
        <v>0</v>
      </c>
      <c r="CQ22" s="70">
        <v>0</v>
      </c>
      <c r="CR22" s="70">
        <v>0</v>
      </c>
      <c r="CS22" s="70">
        <v>0</v>
      </c>
      <c r="CT22" s="70">
        <v>0</v>
      </c>
      <c r="CU22" s="81">
        <v>0</v>
      </c>
      <c r="CV22" s="70">
        <v>0</v>
      </c>
      <c r="CW22" s="70">
        <v>0</v>
      </c>
      <c r="CX22" s="70">
        <v>0</v>
      </c>
      <c r="CY22" s="70">
        <v>0</v>
      </c>
      <c r="CZ22" s="70">
        <v>0</v>
      </c>
      <c r="DA22" s="70">
        <v>0</v>
      </c>
      <c r="DB22" s="70">
        <v>0</v>
      </c>
      <c r="DC22" s="18">
        <f t="shared" si="4"/>
        <v>0</v>
      </c>
      <c r="DD22" s="82">
        <v>0</v>
      </c>
      <c r="DE22" s="70">
        <v>2430</v>
      </c>
      <c r="DF22" s="70">
        <v>0</v>
      </c>
      <c r="DG22" s="70">
        <v>0</v>
      </c>
      <c r="DH22" s="82">
        <v>2430</v>
      </c>
      <c r="DI22" s="70" t="s">
        <v>0</v>
      </c>
    </row>
    <row r="23" spans="1:113" s="70" customFormat="1" ht="15.75" thickBot="1" x14ac:dyDescent="0.3">
      <c r="A23" s="70">
        <v>129401</v>
      </c>
      <c r="B23" s="70" t="s">
        <v>6</v>
      </c>
      <c r="C23" s="71">
        <v>60</v>
      </c>
      <c r="D23" s="70">
        <v>60</v>
      </c>
      <c r="E23" s="70">
        <v>0</v>
      </c>
      <c r="F23" s="70">
        <v>60</v>
      </c>
      <c r="G23" s="70">
        <v>702</v>
      </c>
      <c r="H23" s="70">
        <v>0</v>
      </c>
      <c r="I23" s="70">
        <v>30</v>
      </c>
      <c r="J23" s="49" t="s">
        <v>189</v>
      </c>
      <c r="K23" s="49" t="s">
        <v>188</v>
      </c>
      <c r="L23" s="50">
        <v>45433.496331018498</v>
      </c>
      <c r="M23" s="70">
        <v>0</v>
      </c>
      <c r="N23" s="70">
        <v>0</v>
      </c>
      <c r="O23" s="70">
        <v>0</v>
      </c>
      <c r="R23" s="70" t="s">
        <v>34</v>
      </c>
      <c r="S23" s="70" t="b">
        <v>0</v>
      </c>
      <c r="T23" s="70">
        <v>0.01</v>
      </c>
      <c r="U23" s="72">
        <v>9</v>
      </c>
      <c r="V23" s="70">
        <v>0.01</v>
      </c>
      <c r="W23" s="70">
        <v>0</v>
      </c>
      <c r="X23" s="70">
        <v>2000</v>
      </c>
      <c r="Y23" s="70">
        <v>0</v>
      </c>
      <c r="Z23" s="70">
        <v>10</v>
      </c>
      <c r="AA23" s="70">
        <v>0</v>
      </c>
      <c r="AB23" s="88">
        <v>60</v>
      </c>
      <c r="AC23" s="70">
        <v>0</v>
      </c>
      <c r="AD23" s="70">
        <v>10</v>
      </c>
      <c r="AE23" s="70">
        <v>0</v>
      </c>
      <c r="AF23" s="70">
        <v>2000</v>
      </c>
      <c r="AG23" s="70">
        <v>2</v>
      </c>
      <c r="AH23" s="70">
        <v>9.2200000000000006</v>
      </c>
      <c r="AI23" s="70">
        <v>593</v>
      </c>
      <c r="AJ23" s="70">
        <v>0</v>
      </c>
      <c r="AK23" s="70">
        <v>303</v>
      </c>
      <c r="AL23" s="70">
        <v>0</v>
      </c>
      <c r="AM23" s="70" t="s">
        <v>2</v>
      </c>
      <c r="AN23" s="70">
        <v>0</v>
      </c>
      <c r="AO23" s="70">
        <v>60</v>
      </c>
      <c r="AP23" s="70">
        <v>0</v>
      </c>
      <c r="AW23" s="70" t="b">
        <v>0</v>
      </c>
      <c r="AZ23" s="70" t="s">
        <v>34</v>
      </c>
      <c r="BB23" s="34"/>
      <c r="BC23" s="70">
        <v>22</v>
      </c>
      <c r="BD23" s="87"/>
      <c r="BE23" s="34"/>
      <c r="BF23" s="70">
        <v>1.2</v>
      </c>
      <c r="BG23" s="70">
        <v>0</v>
      </c>
      <c r="BH23" s="70">
        <v>0</v>
      </c>
      <c r="BI23" s="70">
        <v>0</v>
      </c>
      <c r="BJ23" s="70">
        <v>1.2</v>
      </c>
      <c r="BK23" s="70">
        <v>5.5</v>
      </c>
      <c r="BL23" s="70">
        <v>6</v>
      </c>
      <c r="BM23" s="70" t="s">
        <v>1</v>
      </c>
      <c r="BN23" s="60">
        <f t="shared" si="0"/>
        <v>60</v>
      </c>
      <c r="BO23" s="74">
        <f t="shared" si="1"/>
        <v>9</v>
      </c>
      <c r="BP23" s="75">
        <v>200</v>
      </c>
      <c r="BQ23" s="76">
        <v>7.3789999999999996</v>
      </c>
      <c r="BR23" s="76">
        <v>7.5979999999999999</v>
      </c>
      <c r="BS23" s="76">
        <v>7.4885000000000002</v>
      </c>
      <c r="BT23" s="40"/>
      <c r="BU23" s="40"/>
      <c r="BV23" s="77">
        <v>0</v>
      </c>
      <c r="BW23" s="40"/>
      <c r="BX23" s="77">
        <v>0</v>
      </c>
      <c r="BY23" s="40"/>
      <c r="BZ23" s="77"/>
      <c r="CA23" s="40"/>
      <c r="CB23" s="77"/>
      <c r="CC23" s="40"/>
      <c r="CD23" s="40"/>
      <c r="CE23" s="78"/>
      <c r="CF23" s="79" t="s">
        <v>125</v>
      </c>
      <c r="CG23" s="86">
        <v>7.4885000000000002</v>
      </c>
      <c r="CH23" s="86" t="str">
        <f t="shared" si="2"/>
        <v xml:space="preserve"> </v>
      </c>
      <c r="CI23" s="70">
        <f t="shared" si="3"/>
        <v>4.57</v>
      </c>
      <c r="CJ23" s="70">
        <v>0</v>
      </c>
      <c r="CK23" s="70">
        <v>0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81">
        <v>0</v>
      </c>
      <c r="CV23" s="70">
        <v>0</v>
      </c>
      <c r="CW23" s="70">
        <v>0</v>
      </c>
      <c r="CX23" s="70">
        <v>0</v>
      </c>
      <c r="CY23" s="70">
        <v>0</v>
      </c>
      <c r="CZ23" s="70">
        <v>0</v>
      </c>
      <c r="DA23" s="70">
        <v>0</v>
      </c>
      <c r="DB23" s="70">
        <v>0</v>
      </c>
      <c r="DC23" s="18">
        <f t="shared" si="4"/>
        <v>0</v>
      </c>
      <c r="DD23" s="82">
        <v>0</v>
      </c>
      <c r="DE23" s="70">
        <v>2430</v>
      </c>
      <c r="DF23" s="70">
        <v>0</v>
      </c>
      <c r="DG23" s="70">
        <v>0</v>
      </c>
      <c r="DH23" s="82">
        <v>2430</v>
      </c>
      <c r="DI23" s="70" t="s">
        <v>0</v>
      </c>
    </row>
    <row r="24" spans="1:113" s="70" customFormat="1" ht="15.75" thickBot="1" x14ac:dyDescent="0.3">
      <c r="A24" s="70">
        <v>129403</v>
      </c>
      <c r="B24" s="70" t="s">
        <v>6</v>
      </c>
      <c r="C24" s="71">
        <v>60</v>
      </c>
      <c r="D24" s="70">
        <v>60</v>
      </c>
      <c r="E24" s="70">
        <v>0</v>
      </c>
      <c r="F24" s="70">
        <v>60</v>
      </c>
      <c r="G24" s="70">
        <v>704</v>
      </c>
      <c r="H24" s="70">
        <v>0</v>
      </c>
      <c r="I24" s="70">
        <v>35</v>
      </c>
      <c r="J24" s="49" t="s">
        <v>187</v>
      </c>
      <c r="K24" s="49" t="s">
        <v>186</v>
      </c>
      <c r="L24" s="50">
        <v>45433.496817129599</v>
      </c>
      <c r="M24" s="70">
        <v>0</v>
      </c>
      <c r="N24" s="70">
        <v>0</v>
      </c>
      <c r="O24" s="70">
        <v>0</v>
      </c>
      <c r="R24" s="70" t="s">
        <v>34</v>
      </c>
      <c r="S24" s="70" t="b">
        <v>0</v>
      </c>
      <c r="T24" s="70">
        <v>0.01</v>
      </c>
      <c r="U24" s="72">
        <v>9</v>
      </c>
      <c r="V24" s="70">
        <v>0.01</v>
      </c>
      <c r="W24" s="70">
        <v>0</v>
      </c>
      <c r="X24" s="70">
        <v>2000</v>
      </c>
      <c r="Y24" s="70">
        <v>0</v>
      </c>
      <c r="Z24" s="70">
        <v>10</v>
      </c>
      <c r="AA24" s="70">
        <v>0</v>
      </c>
      <c r="AB24" s="88">
        <v>70</v>
      </c>
      <c r="AC24" s="70">
        <v>0</v>
      </c>
      <c r="AD24" s="70">
        <v>10</v>
      </c>
      <c r="AE24" s="70">
        <v>0</v>
      </c>
      <c r="AF24" s="70">
        <v>2000</v>
      </c>
      <c r="AG24" s="70">
        <v>2</v>
      </c>
      <c r="AH24" s="70">
        <v>9.1999999999999993</v>
      </c>
      <c r="AI24" s="70">
        <v>580</v>
      </c>
      <c r="AJ24" s="70">
        <v>0</v>
      </c>
      <c r="AK24" s="70">
        <v>354</v>
      </c>
      <c r="AL24" s="70">
        <v>0</v>
      </c>
      <c r="AM24" s="70" t="s">
        <v>2</v>
      </c>
      <c r="AN24" s="70">
        <v>0</v>
      </c>
      <c r="AO24" s="70">
        <v>70</v>
      </c>
      <c r="AP24" s="70">
        <v>0</v>
      </c>
      <c r="AW24" s="70" t="b">
        <v>0</v>
      </c>
      <c r="AZ24" s="70" t="s">
        <v>34</v>
      </c>
      <c r="BB24" s="34"/>
      <c r="BC24" s="70">
        <v>23</v>
      </c>
      <c r="BD24" s="87"/>
      <c r="BE24" s="34"/>
      <c r="BF24" s="70">
        <v>1.2</v>
      </c>
      <c r="BG24" s="70">
        <v>0</v>
      </c>
      <c r="BH24" s="70">
        <v>0</v>
      </c>
      <c r="BI24" s="70">
        <v>0</v>
      </c>
      <c r="BJ24" s="70">
        <v>1.2</v>
      </c>
      <c r="BK24" s="70">
        <v>5.5</v>
      </c>
      <c r="BL24" s="70">
        <v>6</v>
      </c>
      <c r="BM24" s="70" t="s">
        <v>1</v>
      </c>
      <c r="BN24" s="60">
        <f t="shared" si="0"/>
        <v>60</v>
      </c>
      <c r="BO24" s="74">
        <f t="shared" si="1"/>
        <v>9</v>
      </c>
      <c r="BP24" s="75">
        <v>200</v>
      </c>
      <c r="BQ24" s="76">
        <v>7.36</v>
      </c>
      <c r="BR24" s="76">
        <v>7.774</v>
      </c>
      <c r="BS24" s="76">
        <v>7.5670000000000002</v>
      </c>
      <c r="BT24" s="40"/>
      <c r="BU24" s="40"/>
      <c r="BV24" s="77">
        <v>0</v>
      </c>
      <c r="BW24" s="40"/>
      <c r="BX24" s="77">
        <v>0</v>
      </c>
      <c r="BY24" s="40"/>
      <c r="BZ24" s="77"/>
      <c r="CA24" s="40"/>
      <c r="CB24" s="77"/>
      <c r="CC24" s="40"/>
      <c r="CD24" s="40"/>
      <c r="CE24" s="78"/>
      <c r="CF24" s="79" t="s">
        <v>125</v>
      </c>
      <c r="CG24" s="70">
        <v>7.5670000000000002</v>
      </c>
      <c r="CH24" s="70" t="str">
        <f t="shared" si="2"/>
        <v xml:space="preserve"> </v>
      </c>
      <c r="CI24" s="70">
        <f t="shared" si="3"/>
        <v>4.57</v>
      </c>
      <c r="CJ24" s="70">
        <v>0</v>
      </c>
      <c r="CK24" s="70">
        <v>0</v>
      </c>
      <c r="CL24" s="70">
        <v>0</v>
      </c>
      <c r="CM24" s="70">
        <v>0</v>
      </c>
      <c r="CN24" s="70">
        <v>0</v>
      </c>
      <c r="CO24" s="70">
        <v>0</v>
      </c>
      <c r="CP24" s="70">
        <v>0</v>
      </c>
      <c r="CQ24" s="70">
        <v>0</v>
      </c>
      <c r="CR24" s="70">
        <v>0</v>
      </c>
      <c r="CS24" s="70">
        <v>0</v>
      </c>
      <c r="CT24" s="70">
        <v>0</v>
      </c>
      <c r="CU24" s="81">
        <v>0</v>
      </c>
      <c r="CV24" s="70">
        <v>0</v>
      </c>
      <c r="CW24" s="70">
        <v>0</v>
      </c>
      <c r="CX24" s="70">
        <v>0</v>
      </c>
      <c r="CY24" s="70">
        <v>0</v>
      </c>
      <c r="CZ24" s="70">
        <v>0</v>
      </c>
      <c r="DA24" s="70">
        <v>0</v>
      </c>
      <c r="DB24" s="70">
        <v>0</v>
      </c>
      <c r="DC24" s="18">
        <f t="shared" si="4"/>
        <v>0</v>
      </c>
      <c r="DD24" s="82">
        <v>0</v>
      </c>
      <c r="DE24" s="70">
        <v>2835.0000000000005</v>
      </c>
      <c r="DF24" s="70">
        <v>0</v>
      </c>
      <c r="DG24" s="70">
        <v>0</v>
      </c>
      <c r="DH24" s="82">
        <v>2835.0000000000005</v>
      </c>
      <c r="DI24" s="70" t="s">
        <v>0</v>
      </c>
    </row>
    <row r="25" spans="1:113" s="70" customFormat="1" ht="15.75" thickBot="1" x14ac:dyDescent="0.3">
      <c r="A25" s="70">
        <v>129405</v>
      </c>
      <c r="B25" s="70" t="s">
        <v>6</v>
      </c>
      <c r="C25" s="71">
        <v>60</v>
      </c>
      <c r="D25" s="70">
        <v>60</v>
      </c>
      <c r="E25" s="70">
        <v>0</v>
      </c>
      <c r="F25" s="70">
        <v>60</v>
      </c>
      <c r="G25" s="70">
        <v>706</v>
      </c>
      <c r="H25" s="70">
        <v>0</v>
      </c>
      <c r="I25" s="70">
        <v>35</v>
      </c>
      <c r="J25" s="49" t="s">
        <v>185</v>
      </c>
      <c r="K25" s="49" t="s">
        <v>184</v>
      </c>
      <c r="L25" s="50">
        <v>45433.496932870403</v>
      </c>
      <c r="M25" s="70">
        <v>0</v>
      </c>
      <c r="N25" s="70">
        <v>0</v>
      </c>
      <c r="O25" s="70">
        <v>0</v>
      </c>
      <c r="R25" s="70" t="s">
        <v>34</v>
      </c>
      <c r="S25" s="70" t="b">
        <v>0</v>
      </c>
      <c r="T25" s="70">
        <v>0.01</v>
      </c>
      <c r="U25" s="72">
        <v>9</v>
      </c>
      <c r="V25" s="70">
        <v>0.01</v>
      </c>
      <c r="W25" s="70">
        <v>0</v>
      </c>
      <c r="X25" s="70">
        <v>2000</v>
      </c>
      <c r="Y25" s="70">
        <v>0</v>
      </c>
      <c r="Z25" s="70">
        <v>10</v>
      </c>
      <c r="AA25" s="70">
        <v>0</v>
      </c>
      <c r="AB25" s="88">
        <v>70</v>
      </c>
      <c r="AC25" s="70">
        <v>0</v>
      </c>
      <c r="AD25" s="70">
        <v>10</v>
      </c>
      <c r="AE25" s="70">
        <v>0</v>
      </c>
      <c r="AF25" s="70">
        <v>2000</v>
      </c>
      <c r="AG25" s="70">
        <v>2</v>
      </c>
      <c r="AH25" s="70">
        <v>9.1999999999999993</v>
      </c>
      <c r="AI25" s="70">
        <v>584</v>
      </c>
      <c r="AJ25" s="70">
        <v>0</v>
      </c>
      <c r="AK25" s="70">
        <v>356</v>
      </c>
      <c r="AL25" s="70">
        <v>0</v>
      </c>
      <c r="AM25" s="70" t="s">
        <v>2</v>
      </c>
      <c r="AN25" s="70">
        <v>0</v>
      </c>
      <c r="AO25" s="70">
        <v>70</v>
      </c>
      <c r="AP25" s="70">
        <v>0</v>
      </c>
      <c r="AW25" s="70" t="b">
        <v>0</v>
      </c>
      <c r="AZ25" s="70" t="s">
        <v>34</v>
      </c>
      <c r="BB25" s="34"/>
      <c r="BC25" s="70">
        <v>24</v>
      </c>
      <c r="BD25" s="87"/>
      <c r="BE25" s="34"/>
      <c r="BF25" s="70">
        <v>1.2</v>
      </c>
      <c r="BG25" s="70">
        <v>0</v>
      </c>
      <c r="BH25" s="70">
        <v>0</v>
      </c>
      <c r="BI25" s="70">
        <v>0</v>
      </c>
      <c r="BJ25" s="70">
        <v>1.2</v>
      </c>
      <c r="BK25" s="70">
        <v>5.5</v>
      </c>
      <c r="BL25" s="70">
        <v>6</v>
      </c>
      <c r="BM25" s="70" t="s">
        <v>1</v>
      </c>
      <c r="BN25" s="60">
        <f t="shared" si="0"/>
        <v>60</v>
      </c>
      <c r="BO25" s="74">
        <f t="shared" si="1"/>
        <v>9</v>
      </c>
      <c r="BP25" s="75">
        <v>200</v>
      </c>
      <c r="BQ25" s="76">
        <v>7.5220000000000002</v>
      </c>
      <c r="BR25" s="76">
        <v>6.8559999999999999</v>
      </c>
      <c r="BS25" s="76">
        <v>7.1890000000000001</v>
      </c>
      <c r="BT25" s="40"/>
      <c r="BU25" s="40"/>
      <c r="BV25" s="77">
        <v>0</v>
      </c>
      <c r="BW25" s="40"/>
      <c r="BX25" s="77">
        <v>0</v>
      </c>
      <c r="BY25" s="40"/>
      <c r="BZ25" s="77"/>
      <c r="CA25" s="40"/>
      <c r="CB25" s="77"/>
      <c r="CC25" s="40"/>
      <c r="CD25" s="40"/>
      <c r="CE25" s="78"/>
      <c r="CF25" s="79" t="s">
        <v>125</v>
      </c>
      <c r="CG25" s="86">
        <v>7.1890000000000001</v>
      </c>
      <c r="CH25" s="86" t="str">
        <f t="shared" si="2"/>
        <v xml:space="preserve"> </v>
      </c>
      <c r="CI25" s="70">
        <f t="shared" si="3"/>
        <v>4.57</v>
      </c>
      <c r="CJ25" s="70">
        <v>0</v>
      </c>
      <c r="CK25" s="70">
        <v>0</v>
      </c>
      <c r="CL25" s="70">
        <v>0</v>
      </c>
      <c r="CM25" s="70">
        <v>0</v>
      </c>
      <c r="CN25" s="70">
        <v>0</v>
      </c>
      <c r="CO25" s="70">
        <v>0</v>
      </c>
      <c r="CP25" s="70">
        <v>0</v>
      </c>
      <c r="CQ25" s="70">
        <v>0</v>
      </c>
      <c r="CR25" s="70">
        <v>0</v>
      </c>
      <c r="CS25" s="70">
        <v>0</v>
      </c>
      <c r="CT25" s="70">
        <v>0</v>
      </c>
      <c r="CU25" s="81">
        <v>0</v>
      </c>
      <c r="CV25" s="70">
        <v>0</v>
      </c>
      <c r="CW25" s="70">
        <v>0</v>
      </c>
      <c r="CX25" s="70">
        <v>0</v>
      </c>
      <c r="CY25" s="70">
        <v>0</v>
      </c>
      <c r="CZ25" s="70">
        <v>0</v>
      </c>
      <c r="DA25" s="70">
        <v>0</v>
      </c>
      <c r="DB25" s="70">
        <v>0</v>
      </c>
      <c r="DC25" s="18">
        <f t="shared" si="4"/>
        <v>0</v>
      </c>
      <c r="DD25" s="82">
        <v>0</v>
      </c>
      <c r="DE25" s="70">
        <v>2835.0000000000005</v>
      </c>
      <c r="DF25" s="70">
        <v>0</v>
      </c>
      <c r="DG25" s="70">
        <v>0</v>
      </c>
      <c r="DH25" s="82">
        <v>2835.0000000000005</v>
      </c>
      <c r="DI25" s="70" t="s">
        <v>0</v>
      </c>
    </row>
    <row r="26" spans="1:113" s="70" customFormat="1" ht="15.75" thickBot="1" x14ac:dyDescent="0.3">
      <c r="A26" s="70">
        <v>132003</v>
      </c>
      <c r="B26" s="70" t="s">
        <v>6</v>
      </c>
      <c r="C26" s="71">
        <v>60</v>
      </c>
      <c r="D26" s="70">
        <v>60</v>
      </c>
      <c r="E26" s="70">
        <v>0</v>
      </c>
      <c r="F26" s="70">
        <v>60</v>
      </c>
      <c r="G26" s="70">
        <v>664</v>
      </c>
      <c r="H26" s="70">
        <v>0</v>
      </c>
      <c r="I26" s="70">
        <v>15</v>
      </c>
      <c r="J26" s="49" t="s">
        <v>183</v>
      </c>
      <c r="K26" s="49" t="s">
        <v>182</v>
      </c>
      <c r="L26" s="50">
        <v>45436.400162037004</v>
      </c>
      <c r="M26" s="70">
        <v>0</v>
      </c>
      <c r="N26" s="70">
        <v>0</v>
      </c>
      <c r="O26" s="70">
        <v>0</v>
      </c>
      <c r="R26" s="70" t="s">
        <v>34</v>
      </c>
      <c r="S26" s="70" t="b">
        <v>0</v>
      </c>
      <c r="T26" s="70">
        <v>0.01</v>
      </c>
      <c r="U26" s="83">
        <v>5</v>
      </c>
      <c r="V26" s="70">
        <v>0.01</v>
      </c>
      <c r="W26" s="70">
        <v>0</v>
      </c>
      <c r="X26" s="70">
        <v>2000</v>
      </c>
      <c r="Y26" s="70">
        <v>0</v>
      </c>
      <c r="Z26" s="70">
        <v>10</v>
      </c>
      <c r="AA26" s="70">
        <v>0</v>
      </c>
      <c r="AB26" s="73">
        <v>30</v>
      </c>
      <c r="AC26" s="70">
        <v>0</v>
      </c>
      <c r="AD26" s="70">
        <v>10</v>
      </c>
      <c r="AE26" s="70">
        <v>0</v>
      </c>
      <c r="AF26" s="70">
        <v>2000</v>
      </c>
      <c r="AG26" s="70">
        <v>2</v>
      </c>
      <c r="AH26" s="70">
        <v>5.19</v>
      </c>
      <c r="AI26" s="70">
        <v>529</v>
      </c>
      <c r="AJ26" s="70">
        <v>0</v>
      </c>
      <c r="AK26" s="70">
        <v>62</v>
      </c>
      <c r="AL26" s="70">
        <v>0</v>
      </c>
      <c r="AM26" s="70" t="s">
        <v>2</v>
      </c>
      <c r="AN26" s="70">
        <v>0</v>
      </c>
      <c r="AO26" s="70">
        <v>30</v>
      </c>
      <c r="AP26" s="70">
        <v>0</v>
      </c>
      <c r="AW26" s="70" t="b">
        <v>0</v>
      </c>
      <c r="BB26" s="34"/>
      <c r="BC26" s="70">
        <v>25</v>
      </c>
      <c r="BD26" s="89"/>
      <c r="BE26" s="34"/>
      <c r="BF26" s="70">
        <v>1.2</v>
      </c>
      <c r="BG26" s="70">
        <v>0</v>
      </c>
      <c r="BH26" s="70">
        <v>0</v>
      </c>
      <c r="BI26" s="70">
        <v>0</v>
      </c>
      <c r="BJ26" s="70">
        <v>1.2</v>
      </c>
      <c r="BK26" s="70">
        <v>5.5</v>
      </c>
      <c r="BL26" s="70">
        <v>6</v>
      </c>
      <c r="BM26" s="70" t="s">
        <v>1</v>
      </c>
      <c r="BN26" s="60">
        <f t="shared" si="0"/>
        <v>60</v>
      </c>
      <c r="BO26" s="84">
        <f t="shared" si="1"/>
        <v>5</v>
      </c>
      <c r="BP26" s="75">
        <v>200</v>
      </c>
      <c r="BQ26" s="76">
        <v>0</v>
      </c>
      <c r="BR26" s="76">
        <v>0</v>
      </c>
      <c r="BS26" s="76">
        <v>0</v>
      </c>
      <c r="BT26" s="40"/>
      <c r="BU26" s="40"/>
      <c r="BV26" s="77">
        <v>0</v>
      </c>
      <c r="BW26" s="40"/>
      <c r="BX26" s="77">
        <v>0</v>
      </c>
      <c r="BY26" s="40"/>
      <c r="BZ26" s="77"/>
      <c r="CA26" s="40"/>
      <c r="CB26" s="77"/>
      <c r="CC26" s="40"/>
      <c r="CD26" s="40"/>
      <c r="CE26" s="78"/>
      <c r="CF26" s="79" t="s">
        <v>12</v>
      </c>
      <c r="CG26" s="70">
        <v>0</v>
      </c>
      <c r="CH26" s="70" t="str">
        <f t="shared" si="2"/>
        <v xml:space="preserve"> </v>
      </c>
      <c r="CI26" s="70">
        <f t="shared" si="3"/>
        <v>4.57</v>
      </c>
      <c r="CJ26" s="81">
        <v>0</v>
      </c>
      <c r="CK26" s="70">
        <v>0</v>
      </c>
      <c r="CL26" s="70">
        <v>0</v>
      </c>
      <c r="CM26" s="70">
        <v>0</v>
      </c>
      <c r="CN26" s="70">
        <v>0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81">
        <v>1</v>
      </c>
      <c r="CV26" s="70">
        <v>0</v>
      </c>
      <c r="CW26" s="70">
        <v>0</v>
      </c>
      <c r="CX26" s="70">
        <v>0</v>
      </c>
      <c r="CY26" s="70">
        <v>0</v>
      </c>
      <c r="CZ26" s="70">
        <v>0</v>
      </c>
      <c r="DA26" s="70">
        <v>0</v>
      </c>
      <c r="DB26" s="70">
        <v>0</v>
      </c>
      <c r="DC26" s="18">
        <f t="shared" si="4"/>
        <v>1</v>
      </c>
      <c r="DD26" s="82">
        <v>2</v>
      </c>
      <c r="DE26" s="70">
        <v>375</v>
      </c>
      <c r="DF26" s="70">
        <v>0</v>
      </c>
      <c r="DG26" s="70">
        <v>0</v>
      </c>
      <c r="DH26" s="82">
        <v>375</v>
      </c>
      <c r="DI26" s="70" t="s">
        <v>0</v>
      </c>
    </row>
    <row r="27" spans="1:113" s="70" customFormat="1" ht="15.75" thickBot="1" x14ac:dyDescent="0.3">
      <c r="A27" s="70">
        <v>132005</v>
      </c>
      <c r="B27" s="70" t="s">
        <v>6</v>
      </c>
      <c r="C27" s="71">
        <v>60</v>
      </c>
      <c r="D27" s="70">
        <v>60</v>
      </c>
      <c r="E27" s="70">
        <v>0</v>
      </c>
      <c r="F27" s="70">
        <v>60</v>
      </c>
      <c r="G27" s="70">
        <v>666</v>
      </c>
      <c r="H27" s="70">
        <v>0</v>
      </c>
      <c r="I27" s="70">
        <v>15</v>
      </c>
      <c r="J27" s="49" t="s">
        <v>181</v>
      </c>
      <c r="K27" s="49" t="s">
        <v>180</v>
      </c>
      <c r="L27" s="50">
        <v>45436.400289351899</v>
      </c>
      <c r="M27" s="70">
        <v>0</v>
      </c>
      <c r="N27" s="70">
        <v>0</v>
      </c>
      <c r="O27" s="70">
        <v>0</v>
      </c>
      <c r="R27" s="70" t="s">
        <v>34</v>
      </c>
      <c r="S27" s="70" t="b">
        <v>0</v>
      </c>
      <c r="T27" s="70">
        <v>0.01</v>
      </c>
      <c r="U27" s="83">
        <v>5</v>
      </c>
      <c r="V27" s="70">
        <v>0.01</v>
      </c>
      <c r="W27" s="70">
        <v>0</v>
      </c>
      <c r="X27" s="70">
        <v>2000</v>
      </c>
      <c r="Y27" s="70">
        <v>0</v>
      </c>
      <c r="Z27" s="70">
        <v>10</v>
      </c>
      <c r="AA27" s="70">
        <v>0</v>
      </c>
      <c r="AB27" s="73">
        <v>30</v>
      </c>
      <c r="AC27" s="70">
        <v>0</v>
      </c>
      <c r="AD27" s="70">
        <v>10</v>
      </c>
      <c r="AE27" s="70">
        <v>0</v>
      </c>
      <c r="AF27" s="70">
        <v>2000</v>
      </c>
      <c r="AG27" s="70">
        <v>2</v>
      </c>
      <c r="AH27" s="70">
        <v>5.17</v>
      </c>
      <c r="AI27" s="70">
        <v>533</v>
      </c>
      <c r="AJ27" s="70">
        <v>0</v>
      </c>
      <c r="AK27" s="70">
        <v>64</v>
      </c>
      <c r="AL27" s="70">
        <v>0</v>
      </c>
      <c r="AM27" s="70" t="s">
        <v>2</v>
      </c>
      <c r="AN27" s="70">
        <v>0</v>
      </c>
      <c r="AO27" s="70">
        <v>30</v>
      </c>
      <c r="AP27" s="70">
        <v>0</v>
      </c>
      <c r="AW27" s="70" t="b">
        <v>0</v>
      </c>
      <c r="BB27" s="34"/>
      <c r="BC27" s="70">
        <v>26</v>
      </c>
      <c r="BD27" s="89"/>
      <c r="BE27" s="34"/>
      <c r="BF27" s="70">
        <v>1.2</v>
      </c>
      <c r="BG27" s="70">
        <v>0</v>
      </c>
      <c r="BH27" s="70">
        <v>0</v>
      </c>
      <c r="BI27" s="70">
        <v>0</v>
      </c>
      <c r="BJ27" s="70">
        <v>1.2</v>
      </c>
      <c r="BK27" s="70">
        <v>5.5</v>
      </c>
      <c r="BL27" s="70">
        <v>6</v>
      </c>
      <c r="BM27" s="70" t="s">
        <v>1</v>
      </c>
      <c r="BN27" s="60">
        <f t="shared" si="0"/>
        <v>60</v>
      </c>
      <c r="BO27" s="84">
        <f t="shared" si="1"/>
        <v>5</v>
      </c>
      <c r="BP27" s="75">
        <v>200</v>
      </c>
      <c r="BQ27" s="76">
        <v>0</v>
      </c>
      <c r="BR27" s="76">
        <v>0</v>
      </c>
      <c r="BS27" s="76">
        <v>0</v>
      </c>
      <c r="BT27" s="40"/>
      <c r="BU27" s="40"/>
      <c r="BV27" s="77">
        <v>0</v>
      </c>
      <c r="BW27" s="40"/>
      <c r="BX27" s="77">
        <v>0</v>
      </c>
      <c r="BY27" s="40"/>
      <c r="BZ27" s="77"/>
      <c r="CA27" s="40"/>
      <c r="CB27" s="77"/>
      <c r="CC27" s="40"/>
      <c r="CD27" s="40"/>
      <c r="CE27" s="78"/>
      <c r="CF27" s="79" t="s">
        <v>12</v>
      </c>
      <c r="CG27" s="86">
        <v>0</v>
      </c>
      <c r="CH27" s="86" t="str">
        <f t="shared" si="2"/>
        <v xml:space="preserve"> </v>
      </c>
      <c r="CI27" s="70">
        <f t="shared" si="3"/>
        <v>4.57</v>
      </c>
      <c r="CJ27" s="81">
        <v>0</v>
      </c>
      <c r="CK27" s="70">
        <v>0</v>
      </c>
      <c r="CL27" s="70">
        <v>0</v>
      </c>
      <c r="CM27" s="70">
        <v>0</v>
      </c>
      <c r="CN27" s="70">
        <v>0</v>
      </c>
      <c r="CO27" s="70">
        <v>0</v>
      </c>
      <c r="CP27" s="70">
        <v>0</v>
      </c>
      <c r="CQ27" s="70">
        <v>0</v>
      </c>
      <c r="CR27" s="70">
        <v>0</v>
      </c>
      <c r="CS27" s="70">
        <v>0</v>
      </c>
      <c r="CT27" s="70">
        <v>0</v>
      </c>
      <c r="CU27" s="81">
        <v>1</v>
      </c>
      <c r="CV27" s="70">
        <v>0</v>
      </c>
      <c r="CW27" s="70">
        <v>0</v>
      </c>
      <c r="CX27" s="70">
        <v>0</v>
      </c>
      <c r="CY27" s="70">
        <v>0</v>
      </c>
      <c r="CZ27" s="70">
        <v>0</v>
      </c>
      <c r="DA27" s="70">
        <v>0</v>
      </c>
      <c r="DB27" s="70">
        <v>0</v>
      </c>
      <c r="DC27" s="18">
        <f t="shared" si="4"/>
        <v>1</v>
      </c>
      <c r="DD27" s="82">
        <v>2</v>
      </c>
      <c r="DE27" s="70">
        <v>375</v>
      </c>
      <c r="DF27" s="70">
        <v>0</v>
      </c>
      <c r="DG27" s="70">
        <v>0</v>
      </c>
      <c r="DH27" s="82">
        <v>375</v>
      </c>
      <c r="DI27" s="70" t="s">
        <v>0</v>
      </c>
    </row>
    <row r="28" spans="1:113" s="70" customFormat="1" ht="15.75" thickBot="1" x14ac:dyDescent="0.3">
      <c r="A28" s="70">
        <v>132007</v>
      </c>
      <c r="B28" s="70" t="s">
        <v>6</v>
      </c>
      <c r="C28" s="71">
        <v>60</v>
      </c>
      <c r="D28" s="70">
        <v>60</v>
      </c>
      <c r="E28" s="70">
        <v>0</v>
      </c>
      <c r="F28" s="70">
        <v>60</v>
      </c>
      <c r="G28" s="70">
        <v>668</v>
      </c>
      <c r="H28" s="70">
        <v>0</v>
      </c>
      <c r="I28" s="70">
        <v>15</v>
      </c>
      <c r="J28" s="49" t="s">
        <v>179</v>
      </c>
      <c r="K28" s="49" t="s">
        <v>178</v>
      </c>
      <c r="L28" s="50">
        <v>45436.401770833298</v>
      </c>
      <c r="M28" s="70">
        <v>0</v>
      </c>
      <c r="N28" s="70">
        <v>0</v>
      </c>
      <c r="O28" s="70">
        <v>0</v>
      </c>
      <c r="R28" s="70" t="s">
        <v>34</v>
      </c>
      <c r="S28" s="70" t="b">
        <v>0</v>
      </c>
      <c r="T28" s="70">
        <v>0.01</v>
      </c>
      <c r="U28" s="83">
        <v>4.5</v>
      </c>
      <c r="V28" s="70">
        <v>0.01</v>
      </c>
      <c r="W28" s="70">
        <v>0</v>
      </c>
      <c r="X28" s="70">
        <v>2000</v>
      </c>
      <c r="Y28" s="70">
        <v>0</v>
      </c>
      <c r="Z28" s="70">
        <v>10</v>
      </c>
      <c r="AA28" s="70">
        <v>0</v>
      </c>
      <c r="AB28" s="73">
        <v>30</v>
      </c>
      <c r="AC28" s="70">
        <v>0</v>
      </c>
      <c r="AD28" s="70">
        <v>10</v>
      </c>
      <c r="AE28" s="70">
        <v>0</v>
      </c>
      <c r="AF28" s="70">
        <v>2000</v>
      </c>
      <c r="AG28" s="70">
        <v>2</v>
      </c>
      <c r="AH28" s="70">
        <v>4.59</v>
      </c>
      <c r="AI28" s="70">
        <v>508</v>
      </c>
      <c r="AJ28" s="70">
        <v>0</v>
      </c>
      <c r="AK28" s="70">
        <v>53</v>
      </c>
      <c r="AL28" s="70">
        <v>0</v>
      </c>
      <c r="AM28" s="70" t="s">
        <v>2</v>
      </c>
      <c r="AN28" s="70">
        <v>0</v>
      </c>
      <c r="AO28" s="70">
        <v>30</v>
      </c>
      <c r="AP28" s="70">
        <v>0</v>
      </c>
      <c r="AW28" s="70" t="b">
        <v>0</v>
      </c>
      <c r="BB28" s="34"/>
      <c r="BC28" s="70">
        <v>27</v>
      </c>
      <c r="BD28" s="89"/>
      <c r="BE28" s="34"/>
      <c r="BF28" s="70">
        <v>1.2</v>
      </c>
      <c r="BG28" s="70">
        <v>0</v>
      </c>
      <c r="BH28" s="70">
        <v>0</v>
      </c>
      <c r="BI28" s="70">
        <v>0</v>
      </c>
      <c r="BJ28" s="70">
        <v>1.2</v>
      </c>
      <c r="BK28" s="70">
        <v>5.5</v>
      </c>
      <c r="BL28" s="70">
        <v>6</v>
      </c>
      <c r="BM28" s="70" t="s">
        <v>1</v>
      </c>
      <c r="BN28" s="60">
        <f t="shared" si="0"/>
        <v>60</v>
      </c>
      <c r="BO28" s="84">
        <f t="shared" si="1"/>
        <v>4.5</v>
      </c>
      <c r="BP28" s="75">
        <v>200</v>
      </c>
      <c r="BQ28" s="76">
        <v>0</v>
      </c>
      <c r="BR28" s="76">
        <v>0</v>
      </c>
      <c r="BS28" s="76">
        <v>0</v>
      </c>
      <c r="BT28" s="40"/>
      <c r="BU28" s="40"/>
      <c r="BV28" s="77">
        <v>0</v>
      </c>
      <c r="BW28" s="40"/>
      <c r="BX28" s="77">
        <v>0</v>
      </c>
      <c r="BY28" s="40"/>
      <c r="BZ28" s="77"/>
      <c r="CA28" s="40"/>
      <c r="CB28" s="77"/>
      <c r="CC28" s="40"/>
      <c r="CD28" s="40"/>
      <c r="CE28" s="78"/>
      <c r="CF28" s="79" t="s">
        <v>12</v>
      </c>
      <c r="CG28" s="70">
        <v>0</v>
      </c>
      <c r="CH28" s="70" t="str">
        <f t="shared" si="2"/>
        <v xml:space="preserve"> </v>
      </c>
      <c r="CI28" s="70">
        <f t="shared" si="3"/>
        <v>4.57</v>
      </c>
      <c r="CJ28" s="81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81">
        <v>1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18">
        <f t="shared" si="4"/>
        <v>1</v>
      </c>
      <c r="DD28" s="82">
        <v>2</v>
      </c>
      <c r="DE28" s="70">
        <v>303.75</v>
      </c>
      <c r="DF28" s="70">
        <v>0</v>
      </c>
      <c r="DG28" s="70">
        <v>0</v>
      </c>
      <c r="DH28" s="82">
        <v>303.75</v>
      </c>
      <c r="DI28" s="70" t="s">
        <v>0</v>
      </c>
    </row>
    <row r="29" spans="1:113" s="70" customFormat="1" ht="15.75" thickBot="1" x14ac:dyDescent="0.3">
      <c r="A29" s="70">
        <v>132009</v>
      </c>
      <c r="B29" s="70" t="s">
        <v>6</v>
      </c>
      <c r="C29" s="71">
        <v>60</v>
      </c>
      <c r="D29" s="70">
        <v>60</v>
      </c>
      <c r="E29" s="70">
        <v>0</v>
      </c>
      <c r="F29" s="70">
        <v>60</v>
      </c>
      <c r="G29" s="70">
        <v>670</v>
      </c>
      <c r="H29" s="70">
        <v>0</v>
      </c>
      <c r="I29" s="70">
        <v>15</v>
      </c>
      <c r="J29" s="49" t="s">
        <v>177</v>
      </c>
      <c r="K29" s="49" t="s">
        <v>176</v>
      </c>
      <c r="L29" s="50">
        <v>45436.401875000003</v>
      </c>
      <c r="M29" s="70">
        <v>0</v>
      </c>
      <c r="N29" s="70">
        <v>0</v>
      </c>
      <c r="O29" s="70">
        <v>0</v>
      </c>
      <c r="R29" s="70" t="s">
        <v>34</v>
      </c>
      <c r="S29" s="70" t="b">
        <v>0</v>
      </c>
      <c r="T29" s="70">
        <v>0.01</v>
      </c>
      <c r="U29" s="83">
        <v>4.5</v>
      </c>
      <c r="V29" s="70">
        <v>0.01</v>
      </c>
      <c r="W29" s="70">
        <v>0</v>
      </c>
      <c r="X29" s="70">
        <v>2000</v>
      </c>
      <c r="Y29" s="70">
        <v>0</v>
      </c>
      <c r="Z29" s="70">
        <v>10</v>
      </c>
      <c r="AA29" s="70">
        <v>0</v>
      </c>
      <c r="AB29" s="73">
        <v>30</v>
      </c>
      <c r="AC29" s="70">
        <v>0</v>
      </c>
      <c r="AD29" s="70">
        <v>10</v>
      </c>
      <c r="AE29" s="70">
        <v>0</v>
      </c>
      <c r="AF29" s="70">
        <v>2000</v>
      </c>
      <c r="AG29" s="70">
        <v>2</v>
      </c>
      <c r="AH29" s="70">
        <v>4</v>
      </c>
      <c r="AI29" s="70">
        <v>478</v>
      </c>
      <c r="AJ29" s="70">
        <v>0</v>
      </c>
      <c r="AK29" s="70">
        <v>43</v>
      </c>
      <c r="AL29" s="70">
        <v>0</v>
      </c>
      <c r="AM29" s="70" t="s">
        <v>2</v>
      </c>
      <c r="AN29" s="70">
        <v>0</v>
      </c>
      <c r="AO29" s="70">
        <v>30</v>
      </c>
      <c r="AP29" s="70">
        <v>0</v>
      </c>
      <c r="AW29" s="70" t="b">
        <v>0</v>
      </c>
      <c r="BB29" s="34"/>
      <c r="BC29" s="70">
        <v>28</v>
      </c>
      <c r="BD29" s="89"/>
      <c r="BE29" s="34"/>
      <c r="BF29" s="70">
        <v>1.2</v>
      </c>
      <c r="BG29" s="70">
        <v>0</v>
      </c>
      <c r="BH29" s="70">
        <v>0</v>
      </c>
      <c r="BI29" s="70">
        <v>0</v>
      </c>
      <c r="BJ29" s="70">
        <v>1.2</v>
      </c>
      <c r="BK29" s="70">
        <v>5.5</v>
      </c>
      <c r="BL29" s="70">
        <v>6</v>
      </c>
      <c r="BM29" s="70" t="s">
        <v>1</v>
      </c>
      <c r="BN29" s="60">
        <f t="shared" si="0"/>
        <v>60</v>
      </c>
      <c r="BO29" s="84">
        <f t="shared" si="1"/>
        <v>4.5</v>
      </c>
      <c r="BP29" s="75">
        <v>200</v>
      </c>
      <c r="BQ29" s="76">
        <v>0</v>
      </c>
      <c r="BR29" s="76">
        <v>0</v>
      </c>
      <c r="BS29" s="76">
        <v>0</v>
      </c>
      <c r="BT29" s="40"/>
      <c r="BU29" s="40"/>
      <c r="BV29" s="77">
        <v>0</v>
      </c>
      <c r="BW29" s="40"/>
      <c r="BX29" s="77">
        <v>0</v>
      </c>
      <c r="BY29" s="40"/>
      <c r="BZ29" s="77"/>
      <c r="CA29" s="40"/>
      <c r="CB29" s="77"/>
      <c r="CC29" s="40"/>
      <c r="CD29" s="40"/>
      <c r="CE29" s="78"/>
      <c r="CF29" s="79" t="s">
        <v>12</v>
      </c>
      <c r="CG29" s="86">
        <v>0</v>
      </c>
      <c r="CH29" s="86" t="str">
        <f t="shared" si="2"/>
        <v xml:space="preserve"> </v>
      </c>
      <c r="CI29" s="70">
        <f t="shared" si="3"/>
        <v>4.57</v>
      </c>
      <c r="CJ29" s="81">
        <v>0</v>
      </c>
      <c r="CK29" s="70">
        <v>0</v>
      </c>
      <c r="CL29" s="70">
        <v>0</v>
      </c>
      <c r="CM29" s="70">
        <v>0</v>
      </c>
      <c r="CN29" s="70">
        <v>0</v>
      </c>
      <c r="CO29" s="70">
        <v>0</v>
      </c>
      <c r="CP29" s="70">
        <v>0</v>
      </c>
      <c r="CQ29" s="70">
        <v>0</v>
      </c>
      <c r="CR29" s="70">
        <v>0</v>
      </c>
      <c r="CS29" s="70">
        <v>0</v>
      </c>
      <c r="CT29" s="70">
        <v>0</v>
      </c>
      <c r="CU29" s="81">
        <v>1</v>
      </c>
      <c r="CV29" s="70">
        <v>0</v>
      </c>
      <c r="CW29" s="70">
        <v>0</v>
      </c>
      <c r="CX29" s="70">
        <v>0</v>
      </c>
      <c r="CY29" s="70">
        <v>0</v>
      </c>
      <c r="CZ29" s="70">
        <v>0</v>
      </c>
      <c r="DA29" s="70">
        <v>0</v>
      </c>
      <c r="DB29" s="70">
        <v>0</v>
      </c>
      <c r="DC29" s="18">
        <f t="shared" si="4"/>
        <v>1</v>
      </c>
      <c r="DD29" s="82">
        <v>2</v>
      </c>
      <c r="DE29" s="70">
        <v>303.75</v>
      </c>
      <c r="DF29" s="70">
        <v>0</v>
      </c>
      <c r="DG29" s="70">
        <v>0</v>
      </c>
      <c r="DH29" s="82">
        <v>303.75</v>
      </c>
      <c r="DI29" s="70" t="s">
        <v>0</v>
      </c>
    </row>
    <row r="30" spans="1:113" s="70" customFormat="1" ht="15.75" thickBot="1" x14ac:dyDescent="0.3">
      <c r="A30" s="70">
        <v>132011</v>
      </c>
      <c r="B30" s="70" t="s">
        <v>6</v>
      </c>
      <c r="C30" s="71">
        <v>60</v>
      </c>
      <c r="D30" s="70">
        <v>60</v>
      </c>
      <c r="E30" s="70">
        <v>0</v>
      </c>
      <c r="F30" s="70">
        <v>60</v>
      </c>
      <c r="G30" s="70">
        <v>672</v>
      </c>
      <c r="H30" s="70">
        <v>0</v>
      </c>
      <c r="I30" s="70">
        <v>15</v>
      </c>
      <c r="J30" s="49" t="s">
        <v>175</v>
      </c>
      <c r="K30" s="49" t="s">
        <v>174</v>
      </c>
      <c r="L30" s="50">
        <v>45436.402488425898</v>
      </c>
      <c r="M30" s="70">
        <v>0</v>
      </c>
      <c r="N30" s="70">
        <v>0</v>
      </c>
      <c r="O30" s="70">
        <v>0</v>
      </c>
      <c r="R30" s="70" t="s">
        <v>34</v>
      </c>
      <c r="S30" s="70" t="b">
        <v>0</v>
      </c>
      <c r="T30" s="70">
        <v>0.01</v>
      </c>
      <c r="U30" s="83">
        <v>4</v>
      </c>
      <c r="V30" s="70">
        <v>0.01</v>
      </c>
      <c r="W30" s="70">
        <v>0</v>
      </c>
      <c r="X30" s="70">
        <v>2000</v>
      </c>
      <c r="Y30" s="70">
        <v>0</v>
      </c>
      <c r="Z30" s="70">
        <v>10</v>
      </c>
      <c r="AA30" s="70">
        <v>0</v>
      </c>
      <c r="AB30" s="73">
        <v>30</v>
      </c>
      <c r="AC30" s="70">
        <v>0</v>
      </c>
      <c r="AD30" s="70">
        <v>10</v>
      </c>
      <c r="AE30" s="70">
        <v>0</v>
      </c>
      <c r="AF30" s="70">
        <v>2000</v>
      </c>
      <c r="AG30" s="70">
        <v>2</v>
      </c>
      <c r="AH30" s="70">
        <v>3.96</v>
      </c>
      <c r="AI30" s="70">
        <v>474</v>
      </c>
      <c r="AJ30" s="70">
        <v>0</v>
      </c>
      <c r="AK30" s="70">
        <v>43</v>
      </c>
      <c r="AL30" s="70">
        <v>0</v>
      </c>
      <c r="AM30" s="70" t="s">
        <v>2</v>
      </c>
      <c r="AN30" s="70">
        <v>0</v>
      </c>
      <c r="AO30" s="70">
        <v>30</v>
      </c>
      <c r="AP30" s="70">
        <v>0</v>
      </c>
      <c r="AW30" s="70" t="b">
        <v>0</v>
      </c>
      <c r="BB30" s="34"/>
      <c r="BC30" s="70">
        <v>29</v>
      </c>
      <c r="BD30" s="89"/>
      <c r="BE30" s="34"/>
      <c r="BF30" s="70">
        <v>1.2</v>
      </c>
      <c r="BG30" s="70">
        <v>0</v>
      </c>
      <c r="BH30" s="70">
        <v>0</v>
      </c>
      <c r="BI30" s="70">
        <v>0</v>
      </c>
      <c r="BJ30" s="70">
        <v>1.2</v>
      </c>
      <c r="BK30" s="70">
        <v>5.5</v>
      </c>
      <c r="BL30" s="70">
        <v>6</v>
      </c>
      <c r="BM30" s="70" t="s">
        <v>1</v>
      </c>
      <c r="BN30" s="60">
        <f t="shared" si="0"/>
        <v>60</v>
      </c>
      <c r="BO30" s="84">
        <f t="shared" si="1"/>
        <v>4</v>
      </c>
      <c r="BP30" s="75">
        <v>200</v>
      </c>
      <c r="BQ30" s="76">
        <v>0</v>
      </c>
      <c r="BR30" s="76">
        <v>0</v>
      </c>
      <c r="BS30" s="76">
        <v>0</v>
      </c>
      <c r="BT30" s="40"/>
      <c r="BU30" s="40"/>
      <c r="BV30" s="77">
        <v>0</v>
      </c>
      <c r="BW30" s="40"/>
      <c r="BX30" s="77">
        <v>0</v>
      </c>
      <c r="BY30" s="40"/>
      <c r="BZ30" s="77"/>
      <c r="CA30" s="40"/>
      <c r="CB30" s="77"/>
      <c r="CC30" s="40"/>
      <c r="CD30" s="40"/>
      <c r="CE30" s="78"/>
      <c r="CF30" s="79" t="s">
        <v>12</v>
      </c>
      <c r="CG30" s="70">
        <v>0</v>
      </c>
      <c r="CH30" s="70" t="str">
        <f t="shared" si="2"/>
        <v xml:space="preserve"> </v>
      </c>
      <c r="CI30" s="70">
        <f t="shared" si="3"/>
        <v>4.57</v>
      </c>
      <c r="CJ30" s="81">
        <v>0</v>
      </c>
      <c r="CK30" s="70">
        <v>0</v>
      </c>
      <c r="CL30" s="70">
        <v>0</v>
      </c>
      <c r="CM30" s="70">
        <v>0</v>
      </c>
      <c r="CN30" s="70">
        <v>0</v>
      </c>
      <c r="CO30" s="70">
        <v>0</v>
      </c>
      <c r="CP30" s="70">
        <v>0</v>
      </c>
      <c r="CQ30" s="70">
        <v>0</v>
      </c>
      <c r="CR30" s="70">
        <v>0</v>
      </c>
      <c r="CS30" s="70">
        <v>0</v>
      </c>
      <c r="CT30" s="70">
        <v>0</v>
      </c>
      <c r="CU30" s="81">
        <v>1</v>
      </c>
      <c r="CV30" s="70">
        <v>0</v>
      </c>
      <c r="CW30" s="70">
        <v>0</v>
      </c>
      <c r="CX30" s="70">
        <v>0</v>
      </c>
      <c r="CY30" s="70">
        <v>0</v>
      </c>
      <c r="CZ30" s="70">
        <v>0</v>
      </c>
      <c r="DA30" s="70">
        <v>0</v>
      </c>
      <c r="DB30" s="70">
        <v>0</v>
      </c>
      <c r="DC30" s="18">
        <f t="shared" si="4"/>
        <v>1</v>
      </c>
      <c r="DD30" s="82">
        <v>2</v>
      </c>
      <c r="DE30" s="70">
        <v>240</v>
      </c>
      <c r="DF30" s="70">
        <v>0</v>
      </c>
      <c r="DG30" s="70">
        <v>0</v>
      </c>
      <c r="DH30" s="82">
        <v>240</v>
      </c>
      <c r="DI30" s="70" t="s">
        <v>0</v>
      </c>
    </row>
    <row r="31" spans="1:113" s="70" customFormat="1" ht="15.75" thickBot="1" x14ac:dyDescent="0.3">
      <c r="A31" s="70">
        <v>132013</v>
      </c>
      <c r="B31" s="70" t="s">
        <v>6</v>
      </c>
      <c r="C31" s="71">
        <v>60</v>
      </c>
      <c r="D31" s="70">
        <v>60</v>
      </c>
      <c r="E31" s="70">
        <v>0</v>
      </c>
      <c r="F31" s="70">
        <v>60</v>
      </c>
      <c r="G31" s="70">
        <v>674</v>
      </c>
      <c r="H31" s="70">
        <v>0</v>
      </c>
      <c r="I31" s="70">
        <v>15</v>
      </c>
      <c r="J31" s="49" t="s">
        <v>173</v>
      </c>
      <c r="K31" s="49" t="s">
        <v>172</v>
      </c>
      <c r="L31" s="50">
        <v>45436.402592592603</v>
      </c>
      <c r="M31" s="70">
        <v>0</v>
      </c>
      <c r="N31" s="70">
        <v>0</v>
      </c>
      <c r="O31" s="70">
        <v>0</v>
      </c>
      <c r="R31" s="70" t="s">
        <v>34</v>
      </c>
      <c r="S31" s="70" t="b">
        <v>0</v>
      </c>
      <c r="T31" s="70">
        <v>0.01</v>
      </c>
      <c r="U31" s="83">
        <v>4</v>
      </c>
      <c r="V31" s="70">
        <v>0.01</v>
      </c>
      <c r="W31" s="70">
        <v>0</v>
      </c>
      <c r="X31" s="70">
        <v>2000</v>
      </c>
      <c r="Y31" s="70">
        <v>0</v>
      </c>
      <c r="Z31" s="70">
        <v>10</v>
      </c>
      <c r="AA31" s="70">
        <v>0</v>
      </c>
      <c r="AB31" s="73">
        <v>30</v>
      </c>
      <c r="AC31" s="70">
        <v>0</v>
      </c>
      <c r="AD31" s="70">
        <v>10</v>
      </c>
      <c r="AE31" s="70">
        <v>0</v>
      </c>
      <c r="AF31" s="70">
        <v>2000</v>
      </c>
      <c r="AG31" s="70">
        <v>2</v>
      </c>
      <c r="AH31" s="70">
        <v>4.08</v>
      </c>
      <c r="AI31" s="70">
        <v>499</v>
      </c>
      <c r="AJ31" s="70">
        <v>0</v>
      </c>
      <c r="AK31" s="70">
        <v>45</v>
      </c>
      <c r="AL31" s="70">
        <v>0</v>
      </c>
      <c r="AM31" s="70" t="s">
        <v>2</v>
      </c>
      <c r="AN31" s="70">
        <v>0</v>
      </c>
      <c r="AO31" s="70">
        <v>30</v>
      </c>
      <c r="AP31" s="70">
        <v>0</v>
      </c>
      <c r="AW31" s="70" t="b">
        <v>0</v>
      </c>
      <c r="BB31" s="34"/>
      <c r="BC31" s="70">
        <v>30</v>
      </c>
      <c r="BD31" s="89"/>
      <c r="BE31" s="34"/>
      <c r="BF31" s="70">
        <v>1.2</v>
      </c>
      <c r="BG31" s="70">
        <v>0</v>
      </c>
      <c r="BH31" s="70">
        <v>0</v>
      </c>
      <c r="BI31" s="70">
        <v>0</v>
      </c>
      <c r="BJ31" s="70">
        <v>1.2</v>
      </c>
      <c r="BK31" s="70">
        <v>5.5</v>
      </c>
      <c r="BL31" s="70">
        <v>6</v>
      </c>
      <c r="BM31" s="70" t="s">
        <v>1</v>
      </c>
      <c r="BN31" s="60">
        <f t="shared" si="0"/>
        <v>60</v>
      </c>
      <c r="BO31" s="84">
        <f t="shared" si="1"/>
        <v>4</v>
      </c>
      <c r="BP31" s="75">
        <v>200</v>
      </c>
      <c r="BQ31" s="76">
        <v>0</v>
      </c>
      <c r="BR31" s="76">
        <v>0</v>
      </c>
      <c r="BS31" s="76">
        <v>0</v>
      </c>
      <c r="BT31" s="40"/>
      <c r="BU31" s="40"/>
      <c r="BV31" s="77">
        <v>0</v>
      </c>
      <c r="BW31" s="40"/>
      <c r="BX31" s="77">
        <v>0</v>
      </c>
      <c r="BY31" s="40"/>
      <c r="BZ31" s="77"/>
      <c r="CA31" s="40"/>
      <c r="CB31" s="77"/>
      <c r="CC31" s="40"/>
      <c r="CD31" s="40"/>
      <c r="CE31" s="78"/>
      <c r="CF31" s="79" t="s">
        <v>12</v>
      </c>
      <c r="CG31" s="86">
        <v>0</v>
      </c>
      <c r="CH31" s="86" t="str">
        <f t="shared" si="2"/>
        <v xml:space="preserve"> </v>
      </c>
      <c r="CI31" s="70">
        <f t="shared" si="3"/>
        <v>4.57</v>
      </c>
      <c r="CJ31" s="81">
        <v>0</v>
      </c>
      <c r="CK31" s="70">
        <v>0</v>
      </c>
      <c r="CL31" s="70">
        <v>0</v>
      </c>
      <c r="CM31" s="70">
        <v>0</v>
      </c>
      <c r="CN31" s="70">
        <v>0</v>
      </c>
      <c r="CO31" s="70">
        <v>0</v>
      </c>
      <c r="CP31" s="70">
        <v>0</v>
      </c>
      <c r="CQ31" s="70">
        <v>0</v>
      </c>
      <c r="CR31" s="70">
        <v>0</v>
      </c>
      <c r="CS31" s="70">
        <v>0</v>
      </c>
      <c r="CT31" s="70">
        <v>0</v>
      </c>
      <c r="CU31" s="81">
        <v>1</v>
      </c>
      <c r="CV31" s="70">
        <v>0</v>
      </c>
      <c r="CW31" s="70">
        <v>0</v>
      </c>
      <c r="CX31" s="70">
        <v>0</v>
      </c>
      <c r="CY31" s="70">
        <v>0</v>
      </c>
      <c r="CZ31" s="70">
        <v>0</v>
      </c>
      <c r="DA31" s="70">
        <v>0</v>
      </c>
      <c r="DB31" s="70">
        <v>0</v>
      </c>
      <c r="DC31" s="18">
        <f t="shared" si="4"/>
        <v>1</v>
      </c>
      <c r="DD31" s="82">
        <v>2</v>
      </c>
      <c r="DE31" s="70">
        <v>240</v>
      </c>
      <c r="DF31" s="70">
        <v>0</v>
      </c>
      <c r="DG31" s="70">
        <v>0</v>
      </c>
      <c r="DH31" s="82">
        <v>240</v>
      </c>
      <c r="DI31" s="70" t="s">
        <v>0</v>
      </c>
    </row>
    <row r="32" spans="1:113" s="70" customFormat="1" ht="15.75" thickBot="1" x14ac:dyDescent="0.3">
      <c r="A32" s="70">
        <v>132015</v>
      </c>
      <c r="B32" s="70" t="s">
        <v>6</v>
      </c>
      <c r="C32" s="71">
        <v>60</v>
      </c>
      <c r="D32" s="70">
        <v>60</v>
      </c>
      <c r="E32" s="70">
        <v>0</v>
      </c>
      <c r="F32" s="70">
        <v>60</v>
      </c>
      <c r="G32" s="70">
        <v>676</v>
      </c>
      <c r="H32" s="70">
        <v>0</v>
      </c>
      <c r="I32" s="70">
        <v>15</v>
      </c>
      <c r="J32" s="49" t="s">
        <v>171</v>
      </c>
      <c r="K32" s="49" t="s">
        <v>170</v>
      </c>
      <c r="L32" s="50">
        <v>45436.403101851902</v>
      </c>
      <c r="M32" s="70">
        <v>0</v>
      </c>
      <c r="N32" s="70">
        <v>0</v>
      </c>
      <c r="O32" s="70">
        <v>0</v>
      </c>
      <c r="R32" s="70" t="s">
        <v>34</v>
      </c>
      <c r="S32" s="70" t="b">
        <v>0</v>
      </c>
      <c r="T32" s="70">
        <v>0.01</v>
      </c>
      <c r="U32" s="83">
        <v>3.5</v>
      </c>
      <c r="V32" s="70">
        <v>0.01</v>
      </c>
      <c r="W32" s="70">
        <v>0</v>
      </c>
      <c r="X32" s="70">
        <v>2000</v>
      </c>
      <c r="Y32" s="70">
        <v>0</v>
      </c>
      <c r="Z32" s="70">
        <v>10</v>
      </c>
      <c r="AA32" s="70">
        <v>0</v>
      </c>
      <c r="AB32" s="73">
        <v>30</v>
      </c>
      <c r="AC32" s="70">
        <v>0</v>
      </c>
      <c r="AD32" s="70">
        <v>10</v>
      </c>
      <c r="AE32" s="70">
        <v>0</v>
      </c>
      <c r="AF32" s="70">
        <v>2000</v>
      </c>
      <c r="AG32" s="70">
        <v>2</v>
      </c>
      <c r="AH32" s="70">
        <v>3.38</v>
      </c>
      <c r="AI32" s="70">
        <v>402</v>
      </c>
      <c r="AJ32" s="70">
        <v>0</v>
      </c>
      <c r="AK32" s="70">
        <v>31</v>
      </c>
      <c r="AL32" s="70">
        <v>0</v>
      </c>
      <c r="AM32" s="70" t="s">
        <v>2</v>
      </c>
      <c r="AN32" s="70">
        <v>0</v>
      </c>
      <c r="AO32" s="70">
        <v>30</v>
      </c>
      <c r="AP32" s="70">
        <v>0</v>
      </c>
      <c r="AW32" s="70" t="b">
        <v>0</v>
      </c>
      <c r="BB32" s="34"/>
      <c r="BC32" s="70">
        <v>31</v>
      </c>
      <c r="BD32" s="89"/>
      <c r="BE32" s="34"/>
      <c r="BF32" s="70">
        <v>1.2</v>
      </c>
      <c r="BG32" s="70">
        <v>0</v>
      </c>
      <c r="BH32" s="70">
        <v>0</v>
      </c>
      <c r="BI32" s="70">
        <v>0</v>
      </c>
      <c r="BJ32" s="70">
        <v>1.2</v>
      </c>
      <c r="BK32" s="70">
        <v>5.5</v>
      </c>
      <c r="BL32" s="70">
        <v>6</v>
      </c>
      <c r="BM32" s="70" t="s">
        <v>1</v>
      </c>
      <c r="BN32" s="60">
        <f t="shared" si="0"/>
        <v>60</v>
      </c>
      <c r="BO32" s="84">
        <f t="shared" si="1"/>
        <v>3.5</v>
      </c>
      <c r="BP32" s="75">
        <v>200</v>
      </c>
      <c r="BQ32" s="76">
        <v>0</v>
      </c>
      <c r="BR32" s="76">
        <v>0</v>
      </c>
      <c r="BS32" s="76">
        <v>0</v>
      </c>
      <c r="BT32" s="40"/>
      <c r="BU32" s="40"/>
      <c r="BV32" s="77">
        <v>0</v>
      </c>
      <c r="BW32" s="40"/>
      <c r="BX32" s="77">
        <v>0</v>
      </c>
      <c r="BY32" s="40"/>
      <c r="BZ32" s="77"/>
      <c r="CA32" s="40"/>
      <c r="CB32" s="77"/>
      <c r="CC32" s="40"/>
      <c r="CD32" s="40"/>
      <c r="CE32" s="78"/>
      <c r="CF32" s="79" t="s">
        <v>12</v>
      </c>
      <c r="CG32" s="70">
        <v>0</v>
      </c>
      <c r="CH32" s="70" t="str">
        <f t="shared" si="2"/>
        <v xml:space="preserve"> </v>
      </c>
      <c r="CI32" s="70">
        <f t="shared" si="3"/>
        <v>4.57</v>
      </c>
      <c r="CJ32" s="81">
        <v>0</v>
      </c>
      <c r="CK32" s="70">
        <v>0</v>
      </c>
      <c r="CL32" s="70">
        <v>0</v>
      </c>
      <c r="CM32" s="70">
        <v>0</v>
      </c>
      <c r="CN32" s="70">
        <v>0</v>
      </c>
      <c r="CO32" s="70">
        <v>0</v>
      </c>
      <c r="CP32" s="70">
        <v>0</v>
      </c>
      <c r="CQ32" s="70">
        <v>0</v>
      </c>
      <c r="CR32" s="70">
        <v>0</v>
      </c>
      <c r="CS32" s="70">
        <v>0</v>
      </c>
      <c r="CT32" s="70">
        <v>0</v>
      </c>
      <c r="CU32" s="81">
        <v>1</v>
      </c>
      <c r="CV32" s="70">
        <v>0</v>
      </c>
      <c r="CW32" s="70">
        <v>0</v>
      </c>
      <c r="CX32" s="70">
        <v>0</v>
      </c>
      <c r="CY32" s="70">
        <v>0</v>
      </c>
      <c r="CZ32" s="70">
        <v>0</v>
      </c>
      <c r="DA32" s="70">
        <v>0</v>
      </c>
      <c r="DB32" s="70">
        <v>0</v>
      </c>
      <c r="DC32" s="18">
        <f t="shared" si="4"/>
        <v>1</v>
      </c>
      <c r="DD32" s="82">
        <v>2</v>
      </c>
      <c r="DE32" s="70">
        <v>183.75</v>
      </c>
      <c r="DF32" s="70">
        <v>0</v>
      </c>
      <c r="DG32" s="70">
        <v>0</v>
      </c>
      <c r="DH32" s="82">
        <v>183.75</v>
      </c>
      <c r="DI32" s="70" t="s">
        <v>0</v>
      </c>
    </row>
    <row r="33" spans="1:113" s="70" customFormat="1" ht="15.75" thickBot="1" x14ac:dyDescent="0.3">
      <c r="A33" s="70">
        <v>132017</v>
      </c>
      <c r="B33" s="70" t="s">
        <v>6</v>
      </c>
      <c r="C33" s="71">
        <v>60</v>
      </c>
      <c r="D33" s="70">
        <v>60</v>
      </c>
      <c r="E33" s="70">
        <v>0</v>
      </c>
      <c r="F33" s="70">
        <v>60</v>
      </c>
      <c r="G33" s="70">
        <v>678</v>
      </c>
      <c r="H33" s="70">
        <v>0</v>
      </c>
      <c r="I33" s="70">
        <v>15</v>
      </c>
      <c r="J33" s="49" t="s">
        <v>169</v>
      </c>
      <c r="K33" s="49" t="s">
        <v>168</v>
      </c>
      <c r="L33" s="50">
        <v>45436.403240740699</v>
      </c>
      <c r="M33" s="70">
        <v>0</v>
      </c>
      <c r="N33" s="70">
        <v>0</v>
      </c>
      <c r="O33" s="70">
        <v>0</v>
      </c>
      <c r="R33" s="70" t="s">
        <v>34</v>
      </c>
      <c r="S33" s="70" t="b">
        <v>0</v>
      </c>
      <c r="T33" s="70">
        <v>0.01</v>
      </c>
      <c r="U33" s="83">
        <v>3.5</v>
      </c>
      <c r="V33" s="70">
        <v>0.01</v>
      </c>
      <c r="W33" s="70">
        <v>0</v>
      </c>
      <c r="X33" s="70">
        <v>2000</v>
      </c>
      <c r="Y33" s="70">
        <v>0</v>
      </c>
      <c r="Z33" s="70">
        <v>10</v>
      </c>
      <c r="AA33" s="70">
        <v>0</v>
      </c>
      <c r="AB33" s="73">
        <v>30</v>
      </c>
      <c r="AC33" s="70">
        <v>0</v>
      </c>
      <c r="AD33" s="70">
        <v>10</v>
      </c>
      <c r="AE33" s="70">
        <v>0</v>
      </c>
      <c r="AF33" s="70">
        <v>2000</v>
      </c>
      <c r="AG33" s="70">
        <v>2</v>
      </c>
      <c r="AH33" s="70">
        <v>3.44</v>
      </c>
      <c r="AI33" s="70">
        <v>436</v>
      </c>
      <c r="AJ33" s="70">
        <v>0</v>
      </c>
      <c r="AK33" s="70">
        <v>34</v>
      </c>
      <c r="AL33" s="70">
        <v>0</v>
      </c>
      <c r="AM33" s="70" t="s">
        <v>2</v>
      </c>
      <c r="AN33" s="70">
        <v>0</v>
      </c>
      <c r="AO33" s="70">
        <v>30</v>
      </c>
      <c r="AP33" s="70">
        <v>0</v>
      </c>
      <c r="AW33" s="70" t="b">
        <v>0</v>
      </c>
      <c r="BB33" s="34"/>
      <c r="BC33" s="70">
        <v>32</v>
      </c>
      <c r="BD33" s="89"/>
      <c r="BE33" s="34"/>
      <c r="BF33" s="70">
        <v>1.2</v>
      </c>
      <c r="BG33" s="70">
        <v>0</v>
      </c>
      <c r="BH33" s="70">
        <v>0</v>
      </c>
      <c r="BI33" s="70">
        <v>0</v>
      </c>
      <c r="BJ33" s="70">
        <v>1.2</v>
      </c>
      <c r="BK33" s="70">
        <v>5.5</v>
      </c>
      <c r="BL33" s="70">
        <v>6</v>
      </c>
      <c r="BM33" s="70" t="s">
        <v>1</v>
      </c>
      <c r="BN33" s="60">
        <f t="shared" si="0"/>
        <v>60</v>
      </c>
      <c r="BO33" s="84">
        <f t="shared" si="1"/>
        <v>3.5</v>
      </c>
      <c r="BP33" s="75">
        <v>200</v>
      </c>
      <c r="BQ33" s="76">
        <v>0</v>
      </c>
      <c r="BR33" s="76">
        <v>0</v>
      </c>
      <c r="BS33" s="76">
        <v>0</v>
      </c>
      <c r="BT33" s="40"/>
      <c r="BU33" s="40"/>
      <c r="BV33" s="77">
        <v>0</v>
      </c>
      <c r="BW33" s="40"/>
      <c r="BX33" s="77">
        <v>0</v>
      </c>
      <c r="BY33" s="40"/>
      <c r="BZ33" s="77"/>
      <c r="CA33" s="40"/>
      <c r="CB33" s="77"/>
      <c r="CC33" s="40"/>
      <c r="CD33" s="40"/>
      <c r="CE33" s="78"/>
      <c r="CF33" s="79" t="s">
        <v>12</v>
      </c>
      <c r="CG33" s="86">
        <v>0</v>
      </c>
      <c r="CH33" s="86" t="str">
        <f t="shared" si="2"/>
        <v xml:space="preserve"> </v>
      </c>
      <c r="CI33" s="70">
        <f t="shared" si="3"/>
        <v>4.57</v>
      </c>
      <c r="CJ33" s="81">
        <v>0</v>
      </c>
      <c r="CK33" s="70">
        <v>0</v>
      </c>
      <c r="CL33" s="70">
        <v>0</v>
      </c>
      <c r="CM33" s="70">
        <v>0</v>
      </c>
      <c r="CN33" s="70">
        <v>0</v>
      </c>
      <c r="CO33" s="70">
        <v>0</v>
      </c>
      <c r="CP33" s="70">
        <v>0</v>
      </c>
      <c r="CQ33" s="70">
        <v>0</v>
      </c>
      <c r="CR33" s="70">
        <v>0</v>
      </c>
      <c r="CS33" s="70">
        <v>0</v>
      </c>
      <c r="CT33" s="70">
        <v>0</v>
      </c>
      <c r="CU33" s="81">
        <v>1</v>
      </c>
      <c r="CV33" s="70">
        <v>0</v>
      </c>
      <c r="CW33" s="70">
        <v>0</v>
      </c>
      <c r="CX33" s="70">
        <v>0</v>
      </c>
      <c r="CY33" s="70">
        <v>0</v>
      </c>
      <c r="CZ33" s="70">
        <v>0</v>
      </c>
      <c r="DA33" s="70">
        <v>0</v>
      </c>
      <c r="DB33" s="70">
        <v>0</v>
      </c>
      <c r="DC33" s="18">
        <f t="shared" si="4"/>
        <v>1</v>
      </c>
      <c r="DD33" s="82">
        <v>2</v>
      </c>
      <c r="DE33" s="70">
        <v>183.75</v>
      </c>
      <c r="DF33" s="70">
        <v>0</v>
      </c>
      <c r="DG33" s="70">
        <v>0</v>
      </c>
      <c r="DH33" s="82">
        <v>183.75</v>
      </c>
      <c r="DI33" s="70" t="s">
        <v>0</v>
      </c>
    </row>
    <row r="34" spans="1:113" s="70" customFormat="1" ht="15.75" thickBot="1" x14ac:dyDescent="0.3">
      <c r="A34" s="70">
        <v>132023</v>
      </c>
      <c r="B34" s="70" t="s">
        <v>6</v>
      </c>
      <c r="C34" s="71">
        <v>60</v>
      </c>
      <c r="D34" s="70">
        <v>60</v>
      </c>
      <c r="E34" s="70">
        <v>0</v>
      </c>
      <c r="F34" s="70">
        <v>60</v>
      </c>
      <c r="G34" s="70">
        <v>684</v>
      </c>
      <c r="H34" s="70">
        <v>0</v>
      </c>
      <c r="I34" s="70">
        <v>15</v>
      </c>
      <c r="J34" s="49" t="s">
        <v>167</v>
      </c>
      <c r="K34" s="49" t="s">
        <v>166</v>
      </c>
      <c r="L34" s="50">
        <v>45436.408391203702</v>
      </c>
      <c r="M34" s="70">
        <v>0</v>
      </c>
      <c r="N34" s="70">
        <v>0</v>
      </c>
      <c r="O34" s="70">
        <v>0</v>
      </c>
      <c r="R34" s="70" t="s">
        <v>34</v>
      </c>
      <c r="S34" s="70" t="b">
        <v>0</v>
      </c>
      <c r="T34" s="70">
        <v>0.01</v>
      </c>
      <c r="U34" s="72">
        <v>9</v>
      </c>
      <c r="V34" s="70">
        <v>0.01</v>
      </c>
      <c r="W34" s="70">
        <v>0</v>
      </c>
      <c r="X34" s="70">
        <v>2000</v>
      </c>
      <c r="Y34" s="70">
        <v>0</v>
      </c>
      <c r="Z34" s="70">
        <v>10</v>
      </c>
      <c r="AA34" s="70">
        <v>0</v>
      </c>
      <c r="AB34" s="73">
        <v>30</v>
      </c>
      <c r="AC34" s="70">
        <v>0</v>
      </c>
      <c r="AD34" s="70">
        <v>10</v>
      </c>
      <c r="AE34" s="70">
        <v>0</v>
      </c>
      <c r="AF34" s="70">
        <v>2000</v>
      </c>
      <c r="AG34" s="70">
        <v>2</v>
      </c>
      <c r="AH34" s="70">
        <v>9.4</v>
      </c>
      <c r="AI34" s="70">
        <v>576</v>
      </c>
      <c r="AJ34" s="70">
        <v>0</v>
      </c>
      <c r="AK34" s="70">
        <v>130</v>
      </c>
      <c r="AL34" s="70">
        <v>0</v>
      </c>
      <c r="AM34" s="70" t="s">
        <v>2</v>
      </c>
      <c r="AN34" s="70">
        <v>0</v>
      </c>
      <c r="AO34" s="70">
        <v>30</v>
      </c>
      <c r="AP34" s="70">
        <v>0</v>
      </c>
      <c r="AW34" s="70" t="b">
        <v>0</v>
      </c>
      <c r="BB34" s="34"/>
      <c r="BC34" s="70">
        <v>33</v>
      </c>
      <c r="BD34" s="89"/>
      <c r="BE34" s="34"/>
      <c r="BF34" s="70">
        <v>1.2</v>
      </c>
      <c r="BG34" s="70">
        <v>0</v>
      </c>
      <c r="BH34" s="70">
        <v>0</v>
      </c>
      <c r="BI34" s="70">
        <v>0</v>
      </c>
      <c r="BJ34" s="70">
        <v>1.2</v>
      </c>
      <c r="BK34" s="70">
        <v>5.5</v>
      </c>
      <c r="BL34" s="70">
        <v>6</v>
      </c>
      <c r="BM34" s="70" t="s">
        <v>1</v>
      </c>
      <c r="BN34" s="60">
        <f t="shared" si="0"/>
        <v>60</v>
      </c>
      <c r="BO34" s="74">
        <f t="shared" si="1"/>
        <v>9</v>
      </c>
      <c r="BP34" s="90">
        <v>400</v>
      </c>
      <c r="BQ34" s="76">
        <v>6.3209999999999997</v>
      </c>
      <c r="BR34" s="76">
        <v>6.1449999999999996</v>
      </c>
      <c r="BS34" s="76">
        <v>6.2329999999999997</v>
      </c>
      <c r="BT34" s="40"/>
      <c r="BU34" s="40"/>
      <c r="BV34" s="77">
        <v>0</v>
      </c>
      <c r="BW34" s="40"/>
      <c r="BX34" s="77">
        <v>0</v>
      </c>
      <c r="BY34" s="40"/>
      <c r="BZ34" s="77"/>
      <c r="CA34" s="40"/>
      <c r="CB34" s="77"/>
      <c r="CC34" s="40"/>
      <c r="CD34" s="40"/>
      <c r="CE34" s="78"/>
      <c r="CF34" s="79" t="s">
        <v>134</v>
      </c>
      <c r="CG34" s="70">
        <v>6.2329999999999997</v>
      </c>
      <c r="CH34" s="70" t="str">
        <f t="shared" si="2"/>
        <v xml:space="preserve"> </v>
      </c>
      <c r="CI34" s="70">
        <f t="shared" si="3"/>
        <v>4.57</v>
      </c>
      <c r="CJ34" s="70">
        <v>1</v>
      </c>
      <c r="CK34" s="70">
        <v>0</v>
      </c>
      <c r="CL34" s="70">
        <v>0</v>
      </c>
      <c r="CM34" s="70">
        <v>0</v>
      </c>
      <c r="CN34" s="70">
        <v>0</v>
      </c>
      <c r="CO34" s="70">
        <v>0</v>
      </c>
      <c r="CP34" s="70">
        <v>0</v>
      </c>
      <c r="CQ34" s="70">
        <v>0</v>
      </c>
      <c r="CR34" s="80">
        <v>1</v>
      </c>
      <c r="CS34" s="70">
        <v>0</v>
      </c>
      <c r="CT34" s="70">
        <v>0</v>
      </c>
      <c r="CU34" s="81">
        <v>0</v>
      </c>
      <c r="CV34" s="70">
        <v>0</v>
      </c>
      <c r="CW34" s="70">
        <v>0</v>
      </c>
      <c r="CX34" s="70">
        <v>0</v>
      </c>
      <c r="CY34" s="70">
        <v>0</v>
      </c>
      <c r="CZ34" s="70">
        <v>0</v>
      </c>
      <c r="DA34" s="70">
        <v>0</v>
      </c>
      <c r="DB34" s="70">
        <v>0</v>
      </c>
      <c r="DC34" s="18">
        <f t="shared" si="4"/>
        <v>1</v>
      </c>
      <c r="DD34" s="82">
        <v>1</v>
      </c>
      <c r="DE34" s="70">
        <v>607.5</v>
      </c>
      <c r="DF34" s="70">
        <v>0</v>
      </c>
      <c r="DG34" s="70">
        <v>0</v>
      </c>
      <c r="DH34" s="82">
        <v>607.5</v>
      </c>
      <c r="DI34" s="70" t="s">
        <v>0</v>
      </c>
    </row>
    <row r="35" spans="1:113" s="70" customFormat="1" ht="15.75" thickBot="1" x14ac:dyDescent="0.3">
      <c r="A35" s="70">
        <v>132025</v>
      </c>
      <c r="B35" s="70" t="s">
        <v>6</v>
      </c>
      <c r="C35" s="71">
        <v>60</v>
      </c>
      <c r="D35" s="70">
        <v>60</v>
      </c>
      <c r="E35" s="70">
        <v>0</v>
      </c>
      <c r="F35" s="70">
        <v>60</v>
      </c>
      <c r="G35" s="70">
        <v>686</v>
      </c>
      <c r="H35" s="70">
        <v>0</v>
      </c>
      <c r="I35" s="70">
        <v>15</v>
      </c>
      <c r="J35" s="49" t="s">
        <v>165</v>
      </c>
      <c r="K35" s="49" t="s">
        <v>164</v>
      </c>
      <c r="L35" s="50">
        <v>45436.4084953704</v>
      </c>
      <c r="M35" s="70">
        <v>0</v>
      </c>
      <c r="N35" s="70">
        <v>0</v>
      </c>
      <c r="O35" s="70">
        <v>0</v>
      </c>
      <c r="R35" s="70" t="s">
        <v>34</v>
      </c>
      <c r="S35" s="70" t="b">
        <v>0</v>
      </c>
      <c r="T35" s="70">
        <v>0.01</v>
      </c>
      <c r="U35" s="72">
        <v>9</v>
      </c>
      <c r="V35" s="70">
        <v>0.01</v>
      </c>
      <c r="W35" s="70">
        <v>0</v>
      </c>
      <c r="X35" s="70">
        <v>2000</v>
      </c>
      <c r="Y35" s="70">
        <v>0</v>
      </c>
      <c r="Z35" s="70">
        <v>10</v>
      </c>
      <c r="AA35" s="70">
        <v>0</v>
      </c>
      <c r="AB35" s="73">
        <v>30</v>
      </c>
      <c r="AC35" s="70">
        <v>0</v>
      </c>
      <c r="AD35" s="70">
        <v>10</v>
      </c>
      <c r="AE35" s="70">
        <v>0</v>
      </c>
      <c r="AF35" s="70">
        <v>2000</v>
      </c>
      <c r="AG35" s="70">
        <v>2</v>
      </c>
      <c r="AH35" s="70">
        <v>9.4600000000000009</v>
      </c>
      <c r="AI35" s="70">
        <v>584</v>
      </c>
      <c r="AJ35" s="70">
        <v>0</v>
      </c>
      <c r="AK35" s="70">
        <v>132</v>
      </c>
      <c r="AL35" s="70">
        <v>0</v>
      </c>
      <c r="AM35" s="70" t="s">
        <v>2</v>
      </c>
      <c r="AN35" s="70">
        <v>0</v>
      </c>
      <c r="AO35" s="70">
        <v>30</v>
      </c>
      <c r="AP35" s="70">
        <v>0</v>
      </c>
      <c r="AW35" s="70" t="b">
        <v>0</v>
      </c>
      <c r="BB35" s="34"/>
      <c r="BC35" s="70">
        <v>34</v>
      </c>
      <c r="BD35" s="89"/>
      <c r="BE35" s="34"/>
      <c r="BF35" s="70">
        <v>1.2</v>
      </c>
      <c r="BG35" s="70">
        <v>0</v>
      </c>
      <c r="BH35" s="70">
        <v>0</v>
      </c>
      <c r="BI35" s="70">
        <v>0</v>
      </c>
      <c r="BJ35" s="70">
        <v>1.2</v>
      </c>
      <c r="BK35" s="70">
        <v>5.5</v>
      </c>
      <c r="BL35" s="70">
        <v>6</v>
      </c>
      <c r="BM35" s="70" t="s">
        <v>1</v>
      </c>
      <c r="BN35" s="60">
        <f t="shared" si="0"/>
        <v>60</v>
      </c>
      <c r="BO35" s="74">
        <f t="shared" si="1"/>
        <v>9</v>
      </c>
      <c r="BP35" s="90">
        <v>400</v>
      </c>
      <c r="BQ35" s="76">
        <v>5.84</v>
      </c>
      <c r="BR35" s="76">
        <v>6.1070000000000002</v>
      </c>
      <c r="BS35" s="76">
        <v>5.9734999999999996</v>
      </c>
      <c r="BT35" s="40"/>
      <c r="BU35" s="40"/>
      <c r="BV35" s="77">
        <v>0</v>
      </c>
      <c r="BW35" s="40"/>
      <c r="BX35" s="77">
        <v>0</v>
      </c>
      <c r="BY35" s="40"/>
      <c r="BZ35" s="77"/>
      <c r="CA35" s="40"/>
      <c r="CB35" s="77"/>
      <c r="CC35" s="40"/>
      <c r="CD35" s="40"/>
      <c r="CE35" s="78"/>
      <c r="CF35" s="79" t="s">
        <v>163</v>
      </c>
      <c r="CG35" s="86">
        <v>5.9734999999999996</v>
      </c>
      <c r="CH35" s="86" t="str">
        <f t="shared" si="2"/>
        <v xml:space="preserve"> </v>
      </c>
      <c r="CI35" s="70">
        <f t="shared" si="3"/>
        <v>4.57</v>
      </c>
      <c r="CJ35" s="70">
        <v>0</v>
      </c>
      <c r="CK35" s="70">
        <v>0</v>
      </c>
      <c r="CL35" s="70">
        <v>0</v>
      </c>
      <c r="CM35" s="70">
        <v>0</v>
      </c>
      <c r="CN35" s="70">
        <v>0</v>
      </c>
      <c r="CO35" s="70">
        <v>0</v>
      </c>
      <c r="CP35" s="70">
        <v>0</v>
      </c>
      <c r="CQ35" s="70">
        <v>0</v>
      </c>
      <c r="CR35" s="80">
        <v>1</v>
      </c>
      <c r="CS35" s="70">
        <v>0</v>
      </c>
      <c r="CT35" s="70">
        <v>0</v>
      </c>
      <c r="CU35" s="81">
        <v>1</v>
      </c>
      <c r="CV35" s="70">
        <v>0</v>
      </c>
      <c r="CW35" s="70">
        <v>0</v>
      </c>
      <c r="CX35" s="70">
        <v>0</v>
      </c>
      <c r="CY35" s="70">
        <v>0</v>
      </c>
      <c r="CZ35" s="70">
        <v>0</v>
      </c>
      <c r="DA35" s="70">
        <v>0</v>
      </c>
      <c r="DB35" s="70">
        <v>0</v>
      </c>
      <c r="DC35" s="18">
        <f t="shared" si="4"/>
        <v>1</v>
      </c>
      <c r="DD35" s="82">
        <v>1</v>
      </c>
      <c r="DE35" s="70">
        <v>607.5</v>
      </c>
      <c r="DF35" s="70">
        <v>0</v>
      </c>
      <c r="DG35" s="70">
        <v>0</v>
      </c>
      <c r="DH35" s="82">
        <v>607.5</v>
      </c>
      <c r="DI35" s="70" t="s">
        <v>0</v>
      </c>
    </row>
    <row r="36" spans="1:113" s="70" customFormat="1" ht="15.75" thickBot="1" x14ac:dyDescent="0.3">
      <c r="A36" s="70">
        <v>132027</v>
      </c>
      <c r="B36" s="70" t="s">
        <v>6</v>
      </c>
      <c r="C36" s="71">
        <v>60</v>
      </c>
      <c r="D36" s="70">
        <v>60</v>
      </c>
      <c r="E36" s="70">
        <v>0</v>
      </c>
      <c r="F36" s="70">
        <v>60</v>
      </c>
      <c r="G36" s="70">
        <v>688</v>
      </c>
      <c r="H36" s="70">
        <v>0</v>
      </c>
      <c r="I36" s="70">
        <v>15</v>
      </c>
      <c r="J36" s="49" t="s">
        <v>162</v>
      </c>
      <c r="K36" s="49" t="s">
        <v>161</v>
      </c>
      <c r="L36" s="50">
        <v>45436.409155092602</v>
      </c>
      <c r="M36" s="70">
        <v>0</v>
      </c>
      <c r="N36" s="70">
        <v>0</v>
      </c>
      <c r="O36" s="70">
        <v>0</v>
      </c>
      <c r="R36" s="70" t="s">
        <v>34</v>
      </c>
      <c r="S36" s="70" t="b">
        <v>0</v>
      </c>
      <c r="T36" s="70">
        <v>0.01</v>
      </c>
      <c r="U36" s="72">
        <v>9</v>
      </c>
      <c r="V36" s="70">
        <v>0.01</v>
      </c>
      <c r="W36" s="70">
        <v>0</v>
      </c>
      <c r="X36" s="70">
        <v>2000</v>
      </c>
      <c r="Y36" s="70">
        <v>0</v>
      </c>
      <c r="Z36" s="70">
        <v>10</v>
      </c>
      <c r="AA36" s="70">
        <v>0</v>
      </c>
      <c r="AB36" s="73">
        <v>30</v>
      </c>
      <c r="AC36" s="70">
        <v>0</v>
      </c>
      <c r="AD36" s="70">
        <v>10</v>
      </c>
      <c r="AE36" s="70">
        <v>0</v>
      </c>
      <c r="AF36" s="70">
        <v>2000</v>
      </c>
      <c r="AG36" s="70">
        <v>2</v>
      </c>
      <c r="AH36" s="70">
        <v>9.3699999999999992</v>
      </c>
      <c r="AI36" s="70">
        <v>559</v>
      </c>
      <c r="AJ36" s="70">
        <v>0</v>
      </c>
      <c r="AK36" s="70">
        <v>126</v>
      </c>
      <c r="AL36" s="70">
        <v>0</v>
      </c>
      <c r="AM36" s="70" t="s">
        <v>2</v>
      </c>
      <c r="AN36" s="70">
        <v>0</v>
      </c>
      <c r="AO36" s="70">
        <v>30</v>
      </c>
      <c r="AP36" s="70">
        <v>0</v>
      </c>
      <c r="AW36" s="70" t="b">
        <v>0</v>
      </c>
      <c r="BB36" s="34"/>
      <c r="BC36" s="70">
        <v>35</v>
      </c>
      <c r="BD36" s="89"/>
      <c r="BE36" s="34"/>
      <c r="BF36" s="70">
        <v>1.2</v>
      </c>
      <c r="BG36" s="70">
        <v>0</v>
      </c>
      <c r="BH36" s="70">
        <v>0</v>
      </c>
      <c r="BI36" s="70">
        <v>0</v>
      </c>
      <c r="BJ36" s="70">
        <v>1.2</v>
      </c>
      <c r="BK36" s="70">
        <v>5.5</v>
      </c>
      <c r="BL36" s="70">
        <v>6</v>
      </c>
      <c r="BM36" s="70" t="s">
        <v>1</v>
      </c>
      <c r="BN36" s="60">
        <f t="shared" ref="BN36:BN67" si="5">D36</f>
        <v>60</v>
      </c>
      <c r="BO36" s="74">
        <f t="shared" ref="BO36:BO67" si="6">U36</f>
        <v>9</v>
      </c>
      <c r="BP36" s="90">
        <v>600</v>
      </c>
      <c r="BQ36" s="76">
        <v>5.6609999999999996</v>
      </c>
      <c r="BR36" s="76">
        <v>5.4859999999999998</v>
      </c>
      <c r="BS36" s="76">
        <v>5.5734999999999992</v>
      </c>
      <c r="BT36" s="40"/>
      <c r="BU36" s="40"/>
      <c r="BV36" s="77">
        <v>0</v>
      </c>
      <c r="BW36" s="40"/>
      <c r="BX36" s="77">
        <v>0</v>
      </c>
      <c r="BY36" s="40"/>
      <c r="BZ36" s="77"/>
      <c r="CA36" s="40"/>
      <c r="CB36" s="77"/>
      <c r="CC36" s="40"/>
      <c r="CD36" s="40"/>
      <c r="CE36" s="78"/>
      <c r="CF36" s="79" t="s">
        <v>679</v>
      </c>
      <c r="CG36" s="70">
        <v>5.5734999999999992</v>
      </c>
      <c r="CH36" s="70" t="str">
        <f t="shared" ref="CH36:CH67" si="7" xml:space="preserve"> IF(DI36="D", " ",BT36)</f>
        <v xml:space="preserve"> </v>
      </c>
      <c r="CI36" s="70">
        <f t="shared" ref="CI36:CI67" si="8">IF(MIN(BF36,BJ36)=0.55,  2.68,          IF(MIN(BF36,BJ36)=0.8,     3.56,          IF(MIN(BF36,BJ36)=0.9,      3.81,             IF(MIN(BF36,BJ36)=1,     4.06,                IF(MIN(BF36,BJ36)=1.2,        4.57,             IF(MIN(BF36,BJ36)=1.6,          5.08  ))))))</f>
        <v>4.57</v>
      </c>
      <c r="CJ36" s="70">
        <v>0</v>
      </c>
      <c r="CK36" s="70">
        <v>0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80">
        <v>1</v>
      </c>
      <c r="CS36" s="70">
        <v>0</v>
      </c>
      <c r="CT36" s="70">
        <v>0</v>
      </c>
      <c r="CU36" s="81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0</v>
      </c>
      <c r="DA36" s="70">
        <v>0</v>
      </c>
      <c r="DB36" s="70">
        <v>0</v>
      </c>
      <c r="DC36" s="18">
        <f t="shared" ref="DC36:DC67" si="9">IF(CR36 + CU36 + CJ36 &gt; 0, 1,0)</f>
        <v>1</v>
      </c>
      <c r="DD36" s="82">
        <v>1</v>
      </c>
      <c r="DE36" s="70">
        <v>405</v>
      </c>
      <c r="DF36" s="70">
        <v>0</v>
      </c>
      <c r="DG36" s="70">
        <v>0</v>
      </c>
      <c r="DH36" s="82">
        <v>405</v>
      </c>
      <c r="DI36" s="70" t="s">
        <v>0</v>
      </c>
    </row>
    <row r="37" spans="1:113" s="70" customFormat="1" ht="15.75" thickBot="1" x14ac:dyDescent="0.3">
      <c r="A37" s="70">
        <v>132029</v>
      </c>
      <c r="B37" s="70" t="s">
        <v>6</v>
      </c>
      <c r="C37" s="71">
        <v>60</v>
      </c>
      <c r="D37" s="70">
        <v>60</v>
      </c>
      <c r="E37" s="70">
        <v>0</v>
      </c>
      <c r="F37" s="70">
        <v>60</v>
      </c>
      <c r="G37" s="70">
        <v>690</v>
      </c>
      <c r="H37" s="70">
        <v>0</v>
      </c>
      <c r="I37" s="70">
        <v>15</v>
      </c>
      <c r="J37" s="49" t="s">
        <v>160</v>
      </c>
      <c r="K37" s="49" t="s">
        <v>159</v>
      </c>
      <c r="L37" s="50">
        <v>45436.409270833297</v>
      </c>
      <c r="M37" s="70">
        <v>0</v>
      </c>
      <c r="N37" s="70">
        <v>0</v>
      </c>
      <c r="O37" s="70">
        <v>0</v>
      </c>
      <c r="R37" s="70" t="s">
        <v>34</v>
      </c>
      <c r="S37" s="70" t="b">
        <v>0</v>
      </c>
      <c r="T37" s="70">
        <v>0.01</v>
      </c>
      <c r="U37" s="72">
        <v>9</v>
      </c>
      <c r="V37" s="70">
        <v>0.01</v>
      </c>
      <c r="W37" s="70">
        <v>0</v>
      </c>
      <c r="X37" s="70">
        <v>2000</v>
      </c>
      <c r="Y37" s="70">
        <v>0</v>
      </c>
      <c r="Z37" s="70">
        <v>10</v>
      </c>
      <c r="AA37" s="70">
        <v>0</v>
      </c>
      <c r="AB37" s="73">
        <v>30</v>
      </c>
      <c r="AC37" s="70">
        <v>0</v>
      </c>
      <c r="AD37" s="70">
        <v>10</v>
      </c>
      <c r="AE37" s="70">
        <v>0</v>
      </c>
      <c r="AF37" s="70">
        <v>2000</v>
      </c>
      <c r="AG37" s="70">
        <v>2</v>
      </c>
      <c r="AH37" s="70">
        <v>9.3800000000000008</v>
      </c>
      <c r="AI37" s="70">
        <v>567</v>
      </c>
      <c r="AJ37" s="70">
        <v>0</v>
      </c>
      <c r="AK37" s="70">
        <v>128</v>
      </c>
      <c r="AL37" s="70">
        <v>0</v>
      </c>
      <c r="AM37" s="70" t="s">
        <v>2</v>
      </c>
      <c r="AN37" s="70">
        <v>0</v>
      </c>
      <c r="AO37" s="70">
        <v>30</v>
      </c>
      <c r="AP37" s="70">
        <v>0</v>
      </c>
      <c r="AW37" s="70" t="b">
        <v>0</v>
      </c>
      <c r="BB37" s="34"/>
      <c r="BC37" s="70">
        <v>36</v>
      </c>
      <c r="BD37" s="89"/>
      <c r="BE37" s="34"/>
      <c r="BF37" s="70">
        <v>1.2</v>
      </c>
      <c r="BG37" s="70">
        <v>0</v>
      </c>
      <c r="BH37" s="70">
        <v>0</v>
      </c>
      <c r="BI37" s="70">
        <v>0</v>
      </c>
      <c r="BJ37" s="70">
        <v>1.2</v>
      </c>
      <c r="BK37" s="70">
        <v>5.5</v>
      </c>
      <c r="BL37" s="70">
        <v>6</v>
      </c>
      <c r="BM37" s="70" t="s">
        <v>1</v>
      </c>
      <c r="BN37" s="60">
        <f t="shared" si="5"/>
        <v>60</v>
      </c>
      <c r="BO37" s="74">
        <f t="shared" si="6"/>
        <v>9</v>
      </c>
      <c r="BP37" s="90">
        <v>600</v>
      </c>
      <c r="BQ37" s="76">
        <v>6.0830000000000002</v>
      </c>
      <c r="BR37" s="76">
        <v>5.242</v>
      </c>
      <c r="BS37" s="76">
        <v>5.6624999999999996</v>
      </c>
      <c r="BT37" s="40"/>
      <c r="BU37" s="40"/>
      <c r="BV37" s="77">
        <v>0</v>
      </c>
      <c r="BW37" s="40"/>
      <c r="BX37" s="77">
        <v>0</v>
      </c>
      <c r="BY37" s="40"/>
      <c r="BZ37" s="77"/>
      <c r="CA37" s="40"/>
      <c r="CB37" s="77"/>
      <c r="CC37" s="40"/>
      <c r="CD37" s="40"/>
      <c r="CE37" s="78"/>
      <c r="CF37" s="79" t="s">
        <v>679</v>
      </c>
      <c r="CG37" s="86">
        <v>5.6624999999999996</v>
      </c>
      <c r="CH37" s="86" t="str">
        <f t="shared" si="7"/>
        <v xml:space="preserve"> </v>
      </c>
      <c r="CI37" s="70">
        <f t="shared" si="8"/>
        <v>4.57</v>
      </c>
      <c r="CJ37" s="70">
        <v>0</v>
      </c>
      <c r="CK37" s="70">
        <v>0</v>
      </c>
      <c r="CL37" s="70">
        <v>0</v>
      </c>
      <c r="CM37" s="70">
        <v>0</v>
      </c>
      <c r="CN37" s="70">
        <v>0</v>
      </c>
      <c r="CO37" s="70">
        <v>0</v>
      </c>
      <c r="CP37" s="70">
        <v>0</v>
      </c>
      <c r="CQ37" s="70">
        <v>0</v>
      </c>
      <c r="CR37" s="80">
        <v>1</v>
      </c>
      <c r="CS37" s="70">
        <v>0</v>
      </c>
      <c r="CT37" s="70">
        <v>0</v>
      </c>
      <c r="CU37" s="81">
        <v>0</v>
      </c>
      <c r="CV37" s="70">
        <v>0</v>
      </c>
      <c r="CW37" s="70">
        <v>0</v>
      </c>
      <c r="CX37" s="70">
        <v>0</v>
      </c>
      <c r="CY37" s="70">
        <v>0</v>
      </c>
      <c r="CZ37" s="70">
        <v>0</v>
      </c>
      <c r="DA37" s="70">
        <v>0</v>
      </c>
      <c r="DB37" s="70">
        <v>0</v>
      </c>
      <c r="DC37" s="18">
        <f t="shared" si="9"/>
        <v>1</v>
      </c>
      <c r="DD37" s="82">
        <v>1</v>
      </c>
      <c r="DE37" s="70">
        <v>405</v>
      </c>
      <c r="DF37" s="70">
        <v>0</v>
      </c>
      <c r="DG37" s="70">
        <v>0</v>
      </c>
      <c r="DH37" s="82">
        <v>405</v>
      </c>
      <c r="DI37" s="70" t="s">
        <v>0</v>
      </c>
    </row>
    <row r="38" spans="1:113" s="70" customFormat="1" ht="15.75" thickBot="1" x14ac:dyDescent="0.3">
      <c r="A38" s="70">
        <v>133860</v>
      </c>
      <c r="B38" s="70" t="s">
        <v>6</v>
      </c>
      <c r="C38" s="71" t="s">
        <v>15</v>
      </c>
      <c r="D38" s="70">
        <v>60</v>
      </c>
      <c r="E38" s="70">
        <v>0</v>
      </c>
      <c r="F38" s="70">
        <v>60</v>
      </c>
      <c r="G38" s="70">
        <v>668</v>
      </c>
      <c r="H38" s="70">
        <v>0</v>
      </c>
      <c r="I38" s="70">
        <v>25</v>
      </c>
      <c r="J38" s="49" t="s">
        <v>158</v>
      </c>
      <c r="K38" s="49" t="s">
        <v>157</v>
      </c>
      <c r="L38" s="50">
        <v>45442.418206018498</v>
      </c>
      <c r="M38" s="70">
        <v>0</v>
      </c>
      <c r="N38" s="70">
        <v>0</v>
      </c>
      <c r="O38" s="70">
        <v>0</v>
      </c>
      <c r="R38" s="70" t="s">
        <v>34</v>
      </c>
      <c r="S38" s="70" t="b">
        <v>0</v>
      </c>
      <c r="T38" s="70">
        <v>0.01</v>
      </c>
      <c r="U38" s="83">
        <v>3.5</v>
      </c>
      <c r="V38" s="70">
        <v>0.01</v>
      </c>
      <c r="W38" s="70">
        <v>0</v>
      </c>
      <c r="X38" s="70">
        <v>1000</v>
      </c>
      <c r="Y38" s="70">
        <v>0</v>
      </c>
      <c r="Z38" s="70">
        <v>10</v>
      </c>
      <c r="AA38" s="70">
        <v>0</v>
      </c>
      <c r="AB38" s="73">
        <v>50</v>
      </c>
      <c r="AC38" s="70">
        <v>0</v>
      </c>
      <c r="AD38" s="70">
        <v>10</v>
      </c>
      <c r="AE38" s="70">
        <v>0</v>
      </c>
      <c r="AF38" s="70">
        <v>2000</v>
      </c>
      <c r="AG38" s="70">
        <v>2</v>
      </c>
      <c r="AH38" s="70">
        <v>3.54</v>
      </c>
      <c r="AI38" s="70">
        <v>529</v>
      </c>
      <c r="AJ38" s="70">
        <v>0</v>
      </c>
      <c r="AK38" s="70">
        <v>81</v>
      </c>
      <c r="AL38" s="70">
        <v>0</v>
      </c>
      <c r="AM38" s="70" t="s">
        <v>2</v>
      </c>
      <c r="AN38" s="70">
        <v>0</v>
      </c>
      <c r="AO38" s="70">
        <v>50</v>
      </c>
      <c r="AP38" s="70">
        <v>0</v>
      </c>
      <c r="AW38" s="70" t="b">
        <v>0</v>
      </c>
      <c r="AZ38" s="70" t="s">
        <v>34</v>
      </c>
      <c r="BB38" s="34"/>
      <c r="BC38" s="70">
        <v>37</v>
      </c>
      <c r="BD38" s="91"/>
      <c r="BE38" s="34"/>
      <c r="BF38" s="70">
        <v>1</v>
      </c>
      <c r="BG38" s="70">
        <v>1</v>
      </c>
      <c r="BH38" s="70">
        <v>0</v>
      </c>
      <c r="BI38" s="70">
        <v>0</v>
      </c>
      <c r="BJ38" s="70">
        <v>0.55000000000000004</v>
      </c>
      <c r="BK38" s="70">
        <v>5.5</v>
      </c>
      <c r="BL38" s="70">
        <v>6</v>
      </c>
      <c r="BM38" s="70" t="s">
        <v>1</v>
      </c>
      <c r="BN38" s="60">
        <f t="shared" si="5"/>
        <v>60</v>
      </c>
      <c r="BO38" s="84">
        <f t="shared" si="6"/>
        <v>3.5</v>
      </c>
      <c r="BP38" s="75">
        <v>200</v>
      </c>
      <c r="BQ38" s="76">
        <v>3.145</v>
      </c>
      <c r="BR38" s="76">
        <v>3.0859999999999999</v>
      </c>
      <c r="BS38" s="76">
        <v>3.1154999999999999</v>
      </c>
      <c r="BT38" s="40"/>
      <c r="BU38" s="40"/>
      <c r="BV38" s="77">
        <v>0</v>
      </c>
      <c r="BW38" s="40"/>
      <c r="BX38" s="77">
        <v>0</v>
      </c>
      <c r="BY38" s="40"/>
      <c r="BZ38" s="77"/>
      <c r="CA38" s="40"/>
      <c r="CB38" s="77"/>
      <c r="CC38" s="40"/>
      <c r="CD38" s="40"/>
      <c r="CE38" s="78"/>
      <c r="CF38" s="79" t="s">
        <v>134</v>
      </c>
      <c r="CG38" s="70">
        <v>3.1154999999999999</v>
      </c>
      <c r="CH38" s="70" t="str">
        <f t="shared" si="7"/>
        <v xml:space="preserve"> </v>
      </c>
      <c r="CI38" s="70">
        <f t="shared" si="8"/>
        <v>2.68</v>
      </c>
      <c r="CJ38" s="70">
        <v>1</v>
      </c>
      <c r="CK38" s="70">
        <v>0</v>
      </c>
      <c r="CL38" s="70">
        <v>0</v>
      </c>
      <c r="CM38" s="70">
        <v>0</v>
      </c>
      <c r="CN38" s="80">
        <v>1</v>
      </c>
      <c r="CO38" s="70">
        <v>0</v>
      </c>
      <c r="CP38" s="70">
        <v>0</v>
      </c>
      <c r="CQ38" s="70">
        <v>0</v>
      </c>
      <c r="CR38" s="70">
        <v>0</v>
      </c>
      <c r="CS38" s="70">
        <v>0</v>
      </c>
      <c r="CT38" s="70">
        <v>0</v>
      </c>
      <c r="CU38" s="81">
        <v>0</v>
      </c>
      <c r="CV38" s="70">
        <v>0</v>
      </c>
      <c r="CW38" s="70">
        <v>0</v>
      </c>
      <c r="CX38" s="70">
        <v>0</v>
      </c>
      <c r="CY38" s="70">
        <v>0</v>
      </c>
      <c r="CZ38" s="70">
        <v>0</v>
      </c>
      <c r="DA38" s="70">
        <v>0</v>
      </c>
      <c r="DB38" s="70">
        <v>0</v>
      </c>
      <c r="DC38" s="18">
        <f t="shared" si="9"/>
        <v>1</v>
      </c>
      <c r="DD38" s="82">
        <v>0</v>
      </c>
      <c r="DE38" s="70">
        <v>306.25</v>
      </c>
      <c r="DF38" s="70">
        <v>0</v>
      </c>
      <c r="DG38" s="70">
        <v>0</v>
      </c>
      <c r="DH38" s="82">
        <v>306.25</v>
      </c>
      <c r="DI38" s="70" t="s">
        <v>0</v>
      </c>
    </row>
    <row r="39" spans="1:113" s="70" customFormat="1" ht="15.75" thickBot="1" x14ac:dyDescent="0.3">
      <c r="A39" s="70">
        <v>133862</v>
      </c>
      <c r="B39" s="70" t="s">
        <v>6</v>
      </c>
      <c r="C39" s="71" t="s">
        <v>15</v>
      </c>
      <c r="D39" s="70">
        <v>60</v>
      </c>
      <c r="E39" s="70">
        <v>0</v>
      </c>
      <c r="F39" s="70">
        <v>60</v>
      </c>
      <c r="G39" s="70">
        <v>670</v>
      </c>
      <c r="H39" s="70">
        <v>0</v>
      </c>
      <c r="I39" s="70">
        <v>25</v>
      </c>
      <c r="J39" s="49" t="s">
        <v>156</v>
      </c>
      <c r="K39" s="49" t="s">
        <v>155</v>
      </c>
      <c r="L39" s="50">
        <v>45442.418310185203</v>
      </c>
      <c r="M39" s="70">
        <v>0</v>
      </c>
      <c r="N39" s="70">
        <v>0</v>
      </c>
      <c r="O39" s="70">
        <v>0</v>
      </c>
      <c r="R39" s="70" t="s">
        <v>34</v>
      </c>
      <c r="S39" s="70" t="b">
        <v>0</v>
      </c>
      <c r="T39" s="70">
        <v>0.01</v>
      </c>
      <c r="U39" s="83">
        <v>3.5</v>
      </c>
      <c r="V39" s="70">
        <v>0.01</v>
      </c>
      <c r="W39" s="70">
        <v>0</v>
      </c>
      <c r="X39" s="70">
        <v>1000</v>
      </c>
      <c r="Y39" s="70">
        <v>0</v>
      </c>
      <c r="Z39" s="70">
        <v>10</v>
      </c>
      <c r="AA39" s="70">
        <v>0</v>
      </c>
      <c r="AB39" s="73">
        <v>50</v>
      </c>
      <c r="AC39" s="70">
        <v>0</v>
      </c>
      <c r="AD39" s="70">
        <v>10</v>
      </c>
      <c r="AE39" s="70">
        <v>0</v>
      </c>
      <c r="AF39" s="70">
        <v>2000</v>
      </c>
      <c r="AG39" s="70">
        <v>2</v>
      </c>
      <c r="AH39" s="70">
        <v>3.51</v>
      </c>
      <c r="AI39" s="70">
        <v>521</v>
      </c>
      <c r="AJ39" s="70">
        <v>0</v>
      </c>
      <c r="AK39" s="70">
        <v>79</v>
      </c>
      <c r="AL39" s="70">
        <v>0</v>
      </c>
      <c r="AM39" s="70" t="s">
        <v>2</v>
      </c>
      <c r="AN39" s="70">
        <v>0</v>
      </c>
      <c r="AO39" s="70">
        <v>50</v>
      </c>
      <c r="AP39" s="70">
        <v>0</v>
      </c>
      <c r="AW39" s="70" t="b">
        <v>0</v>
      </c>
      <c r="AZ39" s="70" t="s">
        <v>34</v>
      </c>
      <c r="BB39" s="34"/>
      <c r="BC39" s="70">
        <v>38</v>
      </c>
      <c r="BD39" s="91"/>
      <c r="BE39" s="34"/>
      <c r="BF39" s="70">
        <v>1</v>
      </c>
      <c r="BG39" s="70">
        <v>1</v>
      </c>
      <c r="BH39" s="70">
        <v>0</v>
      </c>
      <c r="BI39" s="70">
        <v>0</v>
      </c>
      <c r="BJ39" s="70">
        <v>0.55000000000000004</v>
      </c>
      <c r="BK39" s="70">
        <v>5.5</v>
      </c>
      <c r="BL39" s="70">
        <v>6</v>
      </c>
      <c r="BM39" s="70" t="s">
        <v>1</v>
      </c>
      <c r="BN39" s="60">
        <f t="shared" si="5"/>
        <v>60</v>
      </c>
      <c r="BO39" s="84">
        <f t="shared" si="6"/>
        <v>3.5</v>
      </c>
      <c r="BP39" s="75">
        <v>200</v>
      </c>
      <c r="BQ39" s="76">
        <v>3.22</v>
      </c>
      <c r="BR39" s="76">
        <v>3.22</v>
      </c>
      <c r="BS39" s="76">
        <v>3.22</v>
      </c>
      <c r="BT39" s="40"/>
      <c r="BU39" s="40"/>
      <c r="BV39" s="77">
        <v>0</v>
      </c>
      <c r="BW39" s="40"/>
      <c r="BX39" s="77">
        <v>0</v>
      </c>
      <c r="BY39" s="40"/>
      <c r="BZ39" s="77"/>
      <c r="CA39" s="40"/>
      <c r="CB39" s="77"/>
      <c r="CC39" s="40"/>
      <c r="CD39" s="40"/>
      <c r="CE39" s="78"/>
      <c r="CF39" s="79" t="s">
        <v>125</v>
      </c>
      <c r="CG39" s="86">
        <v>3.22</v>
      </c>
      <c r="CH39" s="86" t="str">
        <f t="shared" si="7"/>
        <v xml:space="preserve"> </v>
      </c>
      <c r="CI39" s="70">
        <f t="shared" si="8"/>
        <v>2.68</v>
      </c>
      <c r="CJ39" s="70">
        <v>0</v>
      </c>
      <c r="CK39" s="70">
        <v>0</v>
      </c>
      <c r="CL39" s="70">
        <v>0</v>
      </c>
      <c r="CM39" s="70">
        <v>0</v>
      </c>
      <c r="CN39" s="70">
        <v>0</v>
      </c>
      <c r="CO39" s="70">
        <v>0</v>
      </c>
      <c r="CP39" s="70">
        <v>0</v>
      </c>
      <c r="CQ39" s="70">
        <v>0</v>
      </c>
      <c r="CR39" s="70">
        <v>0</v>
      </c>
      <c r="CS39" s="70">
        <v>0</v>
      </c>
      <c r="CT39" s="70">
        <v>0</v>
      </c>
      <c r="CU39" s="81">
        <v>0</v>
      </c>
      <c r="CV39" s="70">
        <v>0</v>
      </c>
      <c r="CW39" s="70">
        <v>0</v>
      </c>
      <c r="CX39" s="70">
        <v>0</v>
      </c>
      <c r="CY39" s="70">
        <v>0</v>
      </c>
      <c r="CZ39" s="70">
        <v>0</v>
      </c>
      <c r="DA39" s="70">
        <v>0</v>
      </c>
      <c r="DB39" s="70">
        <v>0</v>
      </c>
      <c r="DC39" s="18">
        <f t="shared" si="9"/>
        <v>0</v>
      </c>
      <c r="DD39" s="82">
        <v>0</v>
      </c>
      <c r="DE39" s="70">
        <v>306.25</v>
      </c>
      <c r="DF39" s="70">
        <v>0</v>
      </c>
      <c r="DG39" s="70">
        <v>0</v>
      </c>
      <c r="DH39" s="82">
        <v>306.25</v>
      </c>
      <c r="DI39" s="70" t="s">
        <v>0</v>
      </c>
    </row>
    <row r="40" spans="1:113" s="70" customFormat="1" ht="15.75" thickBot="1" x14ac:dyDescent="0.3">
      <c r="A40" s="70">
        <v>133864</v>
      </c>
      <c r="B40" s="70" t="s">
        <v>6</v>
      </c>
      <c r="C40" s="71" t="s">
        <v>15</v>
      </c>
      <c r="D40" s="70">
        <v>60</v>
      </c>
      <c r="E40" s="70">
        <v>0</v>
      </c>
      <c r="F40" s="70">
        <v>60</v>
      </c>
      <c r="G40" s="70">
        <v>672</v>
      </c>
      <c r="H40" s="70">
        <v>0</v>
      </c>
      <c r="I40" s="70">
        <v>25</v>
      </c>
      <c r="J40" s="49" t="s">
        <v>154</v>
      </c>
      <c r="K40" s="49" t="s">
        <v>153</v>
      </c>
      <c r="L40" s="50">
        <v>45442.418969907398</v>
      </c>
      <c r="M40" s="70">
        <v>0</v>
      </c>
      <c r="N40" s="70">
        <v>0</v>
      </c>
      <c r="O40" s="70">
        <v>0</v>
      </c>
      <c r="R40" s="70" t="s">
        <v>34</v>
      </c>
      <c r="S40" s="70" t="b">
        <v>0</v>
      </c>
      <c r="T40" s="70">
        <v>0.01</v>
      </c>
      <c r="U40" s="83">
        <v>4.5</v>
      </c>
      <c r="V40" s="70">
        <v>0.01</v>
      </c>
      <c r="W40" s="70">
        <v>0</v>
      </c>
      <c r="X40" s="70">
        <v>1000</v>
      </c>
      <c r="Y40" s="70">
        <v>0</v>
      </c>
      <c r="Z40" s="70">
        <v>10</v>
      </c>
      <c r="AA40" s="70">
        <v>0</v>
      </c>
      <c r="AB40" s="73">
        <v>50</v>
      </c>
      <c r="AC40" s="70">
        <v>0</v>
      </c>
      <c r="AD40" s="70">
        <v>10</v>
      </c>
      <c r="AE40" s="70">
        <v>0</v>
      </c>
      <c r="AF40" s="70">
        <v>2000</v>
      </c>
      <c r="AG40" s="70">
        <v>2</v>
      </c>
      <c r="AH40" s="70">
        <v>4.59</v>
      </c>
      <c r="AI40" s="70">
        <v>580</v>
      </c>
      <c r="AJ40" s="70">
        <v>0</v>
      </c>
      <c r="AK40" s="70">
        <v>118</v>
      </c>
      <c r="AL40" s="70">
        <v>0</v>
      </c>
      <c r="AM40" s="70" t="s">
        <v>2</v>
      </c>
      <c r="AN40" s="70">
        <v>0</v>
      </c>
      <c r="AO40" s="70">
        <v>50</v>
      </c>
      <c r="AP40" s="70">
        <v>0</v>
      </c>
      <c r="AW40" s="70" t="b">
        <v>0</v>
      </c>
      <c r="AZ40" s="70" t="s">
        <v>34</v>
      </c>
      <c r="BB40" s="34"/>
      <c r="BC40" s="70">
        <v>39</v>
      </c>
      <c r="BD40" s="91"/>
      <c r="BE40" s="34"/>
      <c r="BF40" s="70">
        <v>1</v>
      </c>
      <c r="BG40" s="70">
        <v>1</v>
      </c>
      <c r="BH40" s="70">
        <v>0</v>
      </c>
      <c r="BI40" s="70">
        <v>0</v>
      </c>
      <c r="BJ40" s="70">
        <v>0.55000000000000004</v>
      </c>
      <c r="BK40" s="70">
        <v>5.5</v>
      </c>
      <c r="BL40" s="70">
        <v>6</v>
      </c>
      <c r="BM40" s="70" t="s">
        <v>1</v>
      </c>
      <c r="BN40" s="60">
        <f t="shared" si="5"/>
        <v>60</v>
      </c>
      <c r="BO40" s="84">
        <f t="shared" si="6"/>
        <v>4.5</v>
      </c>
      <c r="BP40" s="75">
        <v>200</v>
      </c>
      <c r="BQ40" s="76">
        <v>3.7240000000000002</v>
      </c>
      <c r="BR40" s="76">
        <v>3.7839999999999998</v>
      </c>
      <c r="BS40" s="76">
        <v>3.754</v>
      </c>
      <c r="BT40" s="40"/>
      <c r="BU40" s="40"/>
      <c r="BV40" s="77">
        <v>0</v>
      </c>
      <c r="BW40" s="40"/>
      <c r="BX40" s="77">
        <v>0</v>
      </c>
      <c r="BY40" s="40"/>
      <c r="BZ40" s="77"/>
      <c r="CA40" s="40"/>
      <c r="CB40" s="77"/>
      <c r="CC40" s="40"/>
      <c r="CD40" s="40"/>
      <c r="CE40" s="78"/>
      <c r="CF40" s="79" t="s">
        <v>134</v>
      </c>
      <c r="CG40" s="70">
        <v>3.754</v>
      </c>
      <c r="CH40" s="70" t="str">
        <f t="shared" si="7"/>
        <v xml:space="preserve"> </v>
      </c>
      <c r="CI40" s="70">
        <f t="shared" si="8"/>
        <v>2.68</v>
      </c>
      <c r="CJ40" s="70">
        <v>1</v>
      </c>
      <c r="CK40" s="70">
        <v>0</v>
      </c>
      <c r="CL40" s="70">
        <v>0</v>
      </c>
      <c r="CM40" s="70">
        <v>0</v>
      </c>
      <c r="CN40" s="80">
        <v>1</v>
      </c>
      <c r="CO40" s="70">
        <v>0</v>
      </c>
      <c r="CP40" s="70">
        <v>0</v>
      </c>
      <c r="CQ40" s="70">
        <v>0</v>
      </c>
      <c r="CR40" s="70">
        <v>0</v>
      </c>
      <c r="CS40" s="70">
        <v>0</v>
      </c>
      <c r="CT40" s="70">
        <v>0</v>
      </c>
      <c r="CU40" s="81">
        <v>0</v>
      </c>
      <c r="CV40" s="70">
        <v>0</v>
      </c>
      <c r="CW40" s="70">
        <v>0</v>
      </c>
      <c r="CX40" s="70">
        <v>0</v>
      </c>
      <c r="CY40" s="70">
        <v>0</v>
      </c>
      <c r="CZ40" s="70">
        <v>0</v>
      </c>
      <c r="DA40" s="70">
        <v>0</v>
      </c>
      <c r="DB40" s="70">
        <v>0</v>
      </c>
      <c r="DC40" s="18">
        <f t="shared" si="9"/>
        <v>1</v>
      </c>
      <c r="DD40" s="82">
        <v>0</v>
      </c>
      <c r="DE40" s="70">
        <v>506.25</v>
      </c>
      <c r="DF40" s="70">
        <v>0</v>
      </c>
      <c r="DG40" s="70">
        <v>0</v>
      </c>
      <c r="DH40" s="82">
        <v>506.25</v>
      </c>
      <c r="DI40" s="70" t="s">
        <v>0</v>
      </c>
    </row>
    <row r="41" spans="1:113" s="70" customFormat="1" ht="15.75" thickBot="1" x14ac:dyDescent="0.3">
      <c r="A41" s="70">
        <v>133866</v>
      </c>
      <c r="B41" s="70" t="s">
        <v>6</v>
      </c>
      <c r="C41" s="71" t="s">
        <v>15</v>
      </c>
      <c r="D41" s="70">
        <v>60</v>
      </c>
      <c r="E41" s="70">
        <v>0</v>
      </c>
      <c r="F41" s="70">
        <v>60</v>
      </c>
      <c r="G41" s="70">
        <v>674</v>
      </c>
      <c r="H41" s="70">
        <v>0</v>
      </c>
      <c r="I41" s="70">
        <v>25</v>
      </c>
      <c r="J41" s="49" t="s">
        <v>152</v>
      </c>
      <c r="K41" s="49" t="s">
        <v>151</v>
      </c>
      <c r="L41" s="50">
        <v>45442.419062499997</v>
      </c>
      <c r="M41" s="70">
        <v>0</v>
      </c>
      <c r="N41" s="70">
        <v>0</v>
      </c>
      <c r="O41" s="70">
        <v>0</v>
      </c>
      <c r="R41" s="70" t="s">
        <v>34</v>
      </c>
      <c r="S41" s="70" t="b">
        <v>0</v>
      </c>
      <c r="T41" s="70">
        <v>0.01</v>
      </c>
      <c r="U41" s="83">
        <v>4.5</v>
      </c>
      <c r="V41" s="70">
        <v>0.01</v>
      </c>
      <c r="W41" s="70">
        <v>0</v>
      </c>
      <c r="X41" s="70">
        <v>1000</v>
      </c>
      <c r="Y41" s="70">
        <v>0</v>
      </c>
      <c r="Z41" s="70">
        <v>10</v>
      </c>
      <c r="AA41" s="70">
        <v>0</v>
      </c>
      <c r="AB41" s="73">
        <v>50</v>
      </c>
      <c r="AC41" s="70">
        <v>0</v>
      </c>
      <c r="AD41" s="70">
        <v>10</v>
      </c>
      <c r="AE41" s="70">
        <v>0</v>
      </c>
      <c r="AF41" s="70">
        <v>2000</v>
      </c>
      <c r="AG41" s="70">
        <v>2</v>
      </c>
      <c r="AH41" s="70">
        <v>4.5999999999999996</v>
      </c>
      <c r="AI41" s="70">
        <v>580</v>
      </c>
      <c r="AJ41" s="70">
        <v>0</v>
      </c>
      <c r="AK41" s="70">
        <v>117</v>
      </c>
      <c r="AL41" s="70">
        <v>0</v>
      </c>
      <c r="AM41" s="70" t="s">
        <v>2</v>
      </c>
      <c r="AN41" s="70">
        <v>0</v>
      </c>
      <c r="AO41" s="70">
        <v>50</v>
      </c>
      <c r="AP41" s="70">
        <v>0</v>
      </c>
      <c r="AW41" s="70" t="b">
        <v>0</v>
      </c>
      <c r="AZ41" s="70" t="s">
        <v>34</v>
      </c>
      <c r="BB41" s="34"/>
      <c r="BC41" s="70">
        <v>40</v>
      </c>
      <c r="BD41" s="91"/>
      <c r="BE41" s="34"/>
      <c r="BF41" s="70">
        <v>1</v>
      </c>
      <c r="BG41" s="70">
        <v>1</v>
      </c>
      <c r="BH41" s="70">
        <v>0</v>
      </c>
      <c r="BI41" s="70">
        <v>0</v>
      </c>
      <c r="BJ41" s="70">
        <v>0.55000000000000004</v>
      </c>
      <c r="BK41" s="70">
        <v>5.5</v>
      </c>
      <c r="BL41" s="70">
        <v>6</v>
      </c>
      <c r="BM41" s="70" t="s">
        <v>1</v>
      </c>
      <c r="BN41" s="60">
        <f t="shared" si="5"/>
        <v>60</v>
      </c>
      <c r="BO41" s="84">
        <f t="shared" si="6"/>
        <v>4.5</v>
      </c>
      <c r="BP41" s="75">
        <v>200</v>
      </c>
      <c r="BQ41" s="76">
        <v>4.2450000000000001</v>
      </c>
      <c r="BR41" s="76">
        <v>4.2779999999999996</v>
      </c>
      <c r="BS41" s="76">
        <v>4.2614999999999998</v>
      </c>
      <c r="BT41" s="40"/>
      <c r="BU41" s="40"/>
      <c r="BV41" s="77">
        <v>0</v>
      </c>
      <c r="BW41" s="40"/>
      <c r="BX41" s="77">
        <v>0</v>
      </c>
      <c r="BY41" s="40"/>
      <c r="BZ41" s="77"/>
      <c r="CA41" s="40"/>
      <c r="CB41" s="77"/>
      <c r="CC41" s="40"/>
      <c r="CD41" s="40"/>
      <c r="CE41" s="78"/>
      <c r="CF41" s="79" t="s">
        <v>125</v>
      </c>
      <c r="CG41" s="86">
        <v>4.2614999999999998</v>
      </c>
      <c r="CH41" s="86" t="str">
        <f t="shared" si="7"/>
        <v xml:space="preserve"> </v>
      </c>
      <c r="CI41" s="70">
        <f t="shared" si="8"/>
        <v>2.68</v>
      </c>
      <c r="CJ41" s="70">
        <v>0</v>
      </c>
      <c r="CK41" s="70">
        <v>0</v>
      </c>
      <c r="CL41" s="70">
        <v>0</v>
      </c>
      <c r="CM41" s="70">
        <v>0</v>
      </c>
      <c r="CN41" s="70">
        <v>0</v>
      </c>
      <c r="CO41" s="70">
        <v>0</v>
      </c>
      <c r="CP41" s="70">
        <v>0</v>
      </c>
      <c r="CQ41" s="70">
        <v>0</v>
      </c>
      <c r="CR41" s="70">
        <v>0</v>
      </c>
      <c r="CS41" s="70">
        <v>0</v>
      </c>
      <c r="CT41" s="70">
        <v>0</v>
      </c>
      <c r="CU41" s="81">
        <v>0</v>
      </c>
      <c r="CV41" s="70">
        <v>0</v>
      </c>
      <c r="CW41" s="70">
        <v>0</v>
      </c>
      <c r="CX41" s="70">
        <v>0</v>
      </c>
      <c r="CY41" s="70">
        <v>0</v>
      </c>
      <c r="CZ41" s="70">
        <v>0</v>
      </c>
      <c r="DA41" s="70">
        <v>0</v>
      </c>
      <c r="DB41" s="70">
        <v>0</v>
      </c>
      <c r="DC41" s="18">
        <f t="shared" si="9"/>
        <v>0</v>
      </c>
      <c r="DD41" s="82">
        <v>0</v>
      </c>
      <c r="DE41" s="70">
        <v>506.25</v>
      </c>
      <c r="DF41" s="70">
        <v>0</v>
      </c>
      <c r="DG41" s="70">
        <v>0</v>
      </c>
      <c r="DH41" s="82">
        <v>506.25</v>
      </c>
      <c r="DI41" s="70" t="s">
        <v>0</v>
      </c>
    </row>
    <row r="42" spans="1:113" s="70" customFormat="1" ht="15.75" thickBot="1" x14ac:dyDescent="0.3">
      <c r="A42" s="70">
        <v>133868</v>
      </c>
      <c r="B42" s="70" t="s">
        <v>6</v>
      </c>
      <c r="C42" s="71" t="s">
        <v>15</v>
      </c>
      <c r="D42" s="70">
        <v>60</v>
      </c>
      <c r="E42" s="70">
        <v>0</v>
      </c>
      <c r="F42" s="70">
        <v>60</v>
      </c>
      <c r="G42" s="70">
        <v>676</v>
      </c>
      <c r="H42" s="70">
        <v>0</v>
      </c>
      <c r="I42" s="70">
        <v>25</v>
      </c>
      <c r="J42" s="49" t="s">
        <v>150</v>
      </c>
      <c r="K42" s="49" t="s">
        <v>149</v>
      </c>
      <c r="L42" s="50">
        <v>45442.4194907407</v>
      </c>
      <c r="M42" s="70">
        <v>0</v>
      </c>
      <c r="N42" s="70">
        <v>0</v>
      </c>
      <c r="O42" s="70">
        <v>0</v>
      </c>
      <c r="R42" s="70" t="s">
        <v>34</v>
      </c>
      <c r="S42" s="70" t="b">
        <v>0</v>
      </c>
      <c r="T42" s="70">
        <v>0.01</v>
      </c>
      <c r="U42" s="72">
        <v>6</v>
      </c>
      <c r="V42" s="70">
        <v>0.01</v>
      </c>
      <c r="W42" s="70">
        <v>0</v>
      </c>
      <c r="X42" s="70">
        <v>1000</v>
      </c>
      <c r="Y42" s="70">
        <v>0</v>
      </c>
      <c r="Z42" s="70">
        <v>10</v>
      </c>
      <c r="AA42" s="70">
        <v>0</v>
      </c>
      <c r="AB42" s="73">
        <v>50</v>
      </c>
      <c r="AC42" s="70">
        <v>0</v>
      </c>
      <c r="AD42" s="70">
        <v>10</v>
      </c>
      <c r="AE42" s="70">
        <v>0</v>
      </c>
      <c r="AF42" s="70">
        <v>2000</v>
      </c>
      <c r="AG42" s="70">
        <v>2</v>
      </c>
      <c r="AH42" s="70">
        <v>6.17</v>
      </c>
      <c r="AI42" s="70">
        <v>626</v>
      </c>
      <c r="AJ42" s="70">
        <v>0</v>
      </c>
      <c r="AK42" s="70">
        <v>173</v>
      </c>
      <c r="AL42" s="70">
        <v>0</v>
      </c>
      <c r="AM42" s="70" t="s">
        <v>2</v>
      </c>
      <c r="AN42" s="70">
        <v>0</v>
      </c>
      <c r="AO42" s="70">
        <v>50</v>
      </c>
      <c r="AP42" s="70">
        <v>0</v>
      </c>
      <c r="AW42" s="70" t="b">
        <v>0</v>
      </c>
      <c r="AZ42" s="70" t="s">
        <v>34</v>
      </c>
      <c r="BB42" s="34"/>
      <c r="BC42" s="70">
        <v>41</v>
      </c>
      <c r="BD42" s="91"/>
      <c r="BE42" s="34"/>
      <c r="BF42" s="70">
        <v>1</v>
      </c>
      <c r="BG42" s="70">
        <v>1</v>
      </c>
      <c r="BH42" s="70">
        <v>0</v>
      </c>
      <c r="BI42" s="70">
        <v>0</v>
      </c>
      <c r="BJ42" s="70">
        <v>0.55000000000000004</v>
      </c>
      <c r="BK42" s="70">
        <v>5.5</v>
      </c>
      <c r="BL42" s="70">
        <v>6</v>
      </c>
      <c r="BM42" s="70" t="s">
        <v>1</v>
      </c>
      <c r="BN42" s="60">
        <f t="shared" si="5"/>
        <v>60</v>
      </c>
      <c r="BO42" s="74">
        <f t="shared" si="6"/>
        <v>6</v>
      </c>
      <c r="BP42" s="75">
        <v>200</v>
      </c>
      <c r="BQ42" s="76">
        <v>4.5970000000000004</v>
      </c>
      <c r="BR42" s="76">
        <v>4.2949999999999999</v>
      </c>
      <c r="BS42" s="76">
        <v>4.4459999999999997</v>
      </c>
      <c r="BT42" s="40"/>
      <c r="BU42" s="40"/>
      <c r="BV42" s="77">
        <v>0</v>
      </c>
      <c r="BW42" s="40"/>
      <c r="BX42" s="77">
        <v>0</v>
      </c>
      <c r="BY42" s="40"/>
      <c r="BZ42" s="77"/>
      <c r="CA42" s="40"/>
      <c r="CB42" s="77"/>
      <c r="CC42" s="40"/>
      <c r="CD42" s="40"/>
      <c r="CE42" s="78"/>
      <c r="CF42" s="79" t="s">
        <v>125</v>
      </c>
      <c r="CG42" s="70">
        <v>4.4459999999999997</v>
      </c>
      <c r="CH42" s="70" t="str">
        <f t="shared" si="7"/>
        <v xml:space="preserve"> </v>
      </c>
      <c r="CI42" s="70">
        <f t="shared" si="8"/>
        <v>2.68</v>
      </c>
      <c r="CJ42" s="70">
        <v>0</v>
      </c>
      <c r="CK42" s="70">
        <v>0</v>
      </c>
      <c r="CL42" s="70">
        <v>0</v>
      </c>
      <c r="CM42" s="70">
        <v>0</v>
      </c>
      <c r="CN42" s="70">
        <v>0</v>
      </c>
      <c r="CO42" s="70">
        <v>0</v>
      </c>
      <c r="CP42" s="70">
        <v>0</v>
      </c>
      <c r="CQ42" s="70">
        <v>0</v>
      </c>
      <c r="CR42" s="18">
        <v>0</v>
      </c>
      <c r="CS42" s="70">
        <v>0</v>
      </c>
      <c r="CT42" s="70">
        <v>0</v>
      </c>
      <c r="CU42" s="81">
        <v>0</v>
      </c>
      <c r="CV42" s="70">
        <v>0</v>
      </c>
      <c r="CW42" s="70">
        <v>0</v>
      </c>
      <c r="CX42" s="70">
        <v>0</v>
      </c>
      <c r="CY42" s="70">
        <v>0</v>
      </c>
      <c r="CZ42" s="70">
        <v>0</v>
      </c>
      <c r="DA42" s="70">
        <v>0</v>
      </c>
      <c r="DB42" s="70">
        <v>0</v>
      </c>
      <c r="DC42" s="18">
        <f t="shared" si="9"/>
        <v>0</v>
      </c>
      <c r="DD42" s="82">
        <v>0</v>
      </c>
      <c r="DE42" s="70">
        <v>900</v>
      </c>
      <c r="DF42" s="70">
        <v>0</v>
      </c>
      <c r="DG42" s="70">
        <v>0</v>
      </c>
      <c r="DH42" s="82">
        <v>900</v>
      </c>
      <c r="DI42" s="70" t="s">
        <v>0</v>
      </c>
    </row>
    <row r="43" spans="1:113" s="70" customFormat="1" ht="15.75" thickBot="1" x14ac:dyDescent="0.3">
      <c r="A43" s="70">
        <v>133870</v>
      </c>
      <c r="B43" s="70" t="s">
        <v>6</v>
      </c>
      <c r="C43" s="71" t="s">
        <v>15</v>
      </c>
      <c r="D43" s="70">
        <v>60</v>
      </c>
      <c r="E43" s="70">
        <v>0</v>
      </c>
      <c r="F43" s="70">
        <v>60</v>
      </c>
      <c r="G43" s="70">
        <v>678</v>
      </c>
      <c r="H43" s="70">
        <v>0</v>
      </c>
      <c r="I43" s="70">
        <v>25</v>
      </c>
      <c r="J43" s="49" t="s">
        <v>148</v>
      </c>
      <c r="K43" s="49" t="s">
        <v>147</v>
      </c>
      <c r="L43" s="50">
        <v>45442.4195833333</v>
      </c>
      <c r="M43" s="70">
        <v>0</v>
      </c>
      <c r="N43" s="70">
        <v>0</v>
      </c>
      <c r="O43" s="70">
        <v>0</v>
      </c>
      <c r="R43" s="70" t="s">
        <v>34</v>
      </c>
      <c r="S43" s="70" t="b">
        <v>0</v>
      </c>
      <c r="T43" s="70">
        <v>0.01</v>
      </c>
      <c r="U43" s="72">
        <v>6</v>
      </c>
      <c r="V43" s="70">
        <v>0.01</v>
      </c>
      <c r="W43" s="70">
        <v>0</v>
      </c>
      <c r="X43" s="70">
        <v>1000</v>
      </c>
      <c r="Y43" s="70">
        <v>0</v>
      </c>
      <c r="Z43" s="70">
        <v>10</v>
      </c>
      <c r="AA43" s="70">
        <v>0</v>
      </c>
      <c r="AB43" s="73">
        <v>50</v>
      </c>
      <c r="AC43" s="70">
        <v>0</v>
      </c>
      <c r="AD43" s="70">
        <v>10</v>
      </c>
      <c r="AE43" s="70">
        <v>0</v>
      </c>
      <c r="AF43" s="70">
        <v>2000</v>
      </c>
      <c r="AG43" s="70">
        <v>2</v>
      </c>
      <c r="AH43" s="70">
        <v>6.18</v>
      </c>
      <c r="AI43" s="70">
        <v>610</v>
      </c>
      <c r="AJ43" s="70">
        <v>0</v>
      </c>
      <c r="AK43" s="70">
        <v>168</v>
      </c>
      <c r="AL43" s="70">
        <v>0</v>
      </c>
      <c r="AM43" s="70" t="s">
        <v>2</v>
      </c>
      <c r="AN43" s="70">
        <v>0</v>
      </c>
      <c r="AO43" s="70">
        <v>50</v>
      </c>
      <c r="AP43" s="70">
        <v>0</v>
      </c>
      <c r="AW43" s="70" t="b">
        <v>0</v>
      </c>
      <c r="AZ43" s="70" t="s">
        <v>34</v>
      </c>
      <c r="BB43" s="34"/>
      <c r="BC43" s="70">
        <v>42</v>
      </c>
      <c r="BD43" s="91"/>
      <c r="BE43" s="34"/>
      <c r="BF43" s="70">
        <v>1</v>
      </c>
      <c r="BG43" s="70">
        <v>1</v>
      </c>
      <c r="BH43" s="70">
        <v>0</v>
      </c>
      <c r="BI43" s="70">
        <v>0</v>
      </c>
      <c r="BJ43" s="70">
        <v>0.55000000000000004</v>
      </c>
      <c r="BK43" s="70">
        <v>5.5</v>
      </c>
      <c r="BL43" s="70">
        <v>6</v>
      </c>
      <c r="BM43" s="70" t="s">
        <v>1</v>
      </c>
      <c r="BN43" s="60">
        <f t="shared" si="5"/>
        <v>60</v>
      </c>
      <c r="BO43" s="74">
        <f t="shared" si="6"/>
        <v>6</v>
      </c>
      <c r="BP43" s="75">
        <v>200</v>
      </c>
      <c r="BQ43" s="76">
        <v>4.7809999999999997</v>
      </c>
      <c r="BR43" s="76">
        <v>4.8150000000000004</v>
      </c>
      <c r="BS43" s="76">
        <v>4.798</v>
      </c>
      <c r="BT43" s="40"/>
      <c r="BU43" s="40"/>
      <c r="BV43" s="77">
        <v>0</v>
      </c>
      <c r="BW43" s="40"/>
      <c r="BX43" s="77">
        <v>0</v>
      </c>
      <c r="BY43" s="40"/>
      <c r="BZ43" s="77"/>
      <c r="CA43" s="40"/>
      <c r="CB43" s="77"/>
      <c r="CC43" s="40"/>
      <c r="CD43" s="40"/>
      <c r="CE43" s="78"/>
      <c r="CF43" s="79" t="s">
        <v>125</v>
      </c>
      <c r="CG43" s="86">
        <v>4.798</v>
      </c>
      <c r="CH43" s="86" t="str">
        <f t="shared" si="7"/>
        <v xml:space="preserve"> </v>
      </c>
      <c r="CI43" s="70">
        <f t="shared" si="8"/>
        <v>2.68</v>
      </c>
      <c r="CJ43" s="70">
        <v>0</v>
      </c>
      <c r="CK43" s="70">
        <v>0</v>
      </c>
      <c r="CL43" s="70">
        <v>0</v>
      </c>
      <c r="CM43" s="70">
        <v>0</v>
      </c>
      <c r="CN43" s="70">
        <v>0</v>
      </c>
      <c r="CO43" s="70">
        <v>0</v>
      </c>
      <c r="CP43" s="70">
        <v>0</v>
      </c>
      <c r="CQ43" s="70">
        <v>0</v>
      </c>
      <c r="CR43" s="70">
        <v>0</v>
      </c>
      <c r="CS43" s="70">
        <v>0</v>
      </c>
      <c r="CT43" s="70">
        <v>0</v>
      </c>
      <c r="CU43" s="81">
        <v>0</v>
      </c>
      <c r="CV43" s="70">
        <v>0</v>
      </c>
      <c r="CW43" s="70">
        <v>0</v>
      </c>
      <c r="CX43" s="70">
        <v>0</v>
      </c>
      <c r="CY43" s="70">
        <v>0</v>
      </c>
      <c r="CZ43" s="70">
        <v>0</v>
      </c>
      <c r="DA43" s="70">
        <v>0</v>
      </c>
      <c r="DB43" s="70">
        <v>0</v>
      </c>
      <c r="DC43" s="18">
        <f t="shared" si="9"/>
        <v>0</v>
      </c>
      <c r="DD43" s="82">
        <v>0</v>
      </c>
      <c r="DE43" s="70">
        <v>900</v>
      </c>
      <c r="DF43" s="70">
        <v>0</v>
      </c>
      <c r="DG43" s="70">
        <v>0</v>
      </c>
      <c r="DH43" s="82">
        <v>900</v>
      </c>
      <c r="DI43" s="70" t="s">
        <v>0</v>
      </c>
    </row>
    <row r="44" spans="1:113" s="70" customFormat="1" ht="15.75" thickBot="1" x14ac:dyDescent="0.3">
      <c r="A44" s="70">
        <v>133872</v>
      </c>
      <c r="B44" s="70" t="s">
        <v>6</v>
      </c>
      <c r="C44" s="71" t="s">
        <v>15</v>
      </c>
      <c r="D44" s="70">
        <v>60</v>
      </c>
      <c r="E44" s="70">
        <v>0</v>
      </c>
      <c r="F44" s="70">
        <v>60</v>
      </c>
      <c r="G44" s="70">
        <v>680</v>
      </c>
      <c r="H44" s="70">
        <v>0</v>
      </c>
      <c r="I44" s="70">
        <v>25</v>
      </c>
      <c r="J44" s="49" t="s">
        <v>146</v>
      </c>
      <c r="K44" s="49" t="s">
        <v>145</v>
      </c>
      <c r="L44" s="50">
        <v>45442.42</v>
      </c>
      <c r="M44" s="70">
        <v>0</v>
      </c>
      <c r="N44" s="70">
        <v>0</v>
      </c>
      <c r="O44" s="70">
        <v>0</v>
      </c>
      <c r="R44" s="70" t="s">
        <v>34</v>
      </c>
      <c r="S44" s="70" t="b">
        <v>0</v>
      </c>
      <c r="T44" s="70">
        <v>0.01</v>
      </c>
      <c r="U44" s="83">
        <v>7.5</v>
      </c>
      <c r="V44" s="70">
        <v>0.01</v>
      </c>
      <c r="W44" s="70">
        <v>0</v>
      </c>
      <c r="X44" s="70">
        <v>1000</v>
      </c>
      <c r="Y44" s="70">
        <v>0</v>
      </c>
      <c r="Z44" s="70">
        <v>10</v>
      </c>
      <c r="AA44" s="70">
        <v>0</v>
      </c>
      <c r="AB44" s="73">
        <v>50</v>
      </c>
      <c r="AC44" s="70">
        <v>0</v>
      </c>
      <c r="AD44" s="70">
        <v>10</v>
      </c>
      <c r="AE44" s="70">
        <v>0</v>
      </c>
      <c r="AF44" s="70">
        <v>2000</v>
      </c>
      <c r="AG44" s="70">
        <v>2</v>
      </c>
      <c r="AH44" s="70">
        <v>7.79</v>
      </c>
      <c r="AI44" s="70">
        <v>665</v>
      </c>
      <c r="AJ44" s="70">
        <v>0</v>
      </c>
      <c r="AK44" s="70">
        <v>231</v>
      </c>
      <c r="AL44" s="70">
        <v>0</v>
      </c>
      <c r="AM44" s="70" t="s">
        <v>2</v>
      </c>
      <c r="AN44" s="70">
        <v>0</v>
      </c>
      <c r="AO44" s="70">
        <v>50</v>
      </c>
      <c r="AP44" s="70">
        <v>0</v>
      </c>
      <c r="AW44" s="70" t="b">
        <v>0</v>
      </c>
      <c r="AZ44" s="70" t="s">
        <v>34</v>
      </c>
      <c r="BB44" s="34"/>
      <c r="BC44" s="70">
        <v>43</v>
      </c>
      <c r="BD44" s="91"/>
      <c r="BE44" s="34"/>
      <c r="BF44" s="70">
        <v>1</v>
      </c>
      <c r="BG44" s="70">
        <v>1</v>
      </c>
      <c r="BH44" s="70">
        <v>0</v>
      </c>
      <c r="BI44" s="70">
        <v>0</v>
      </c>
      <c r="BJ44" s="70">
        <v>0.55000000000000004</v>
      </c>
      <c r="BK44" s="70">
        <v>5.5</v>
      </c>
      <c r="BL44" s="70">
        <v>6</v>
      </c>
      <c r="BM44" s="70" t="s">
        <v>1</v>
      </c>
      <c r="BN44" s="60">
        <f t="shared" si="5"/>
        <v>60</v>
      </c>
      <c r="BO44" s="84">
        <f t="shared" si="6"/>
        <v>7.5</v>
      </c>
      <c r="BP44" s="75">
        <v>200</v>
      </c>
      <c r="BQ44" s="76">
        <v>4.95</v>
      </c>
      <c r="BR44" s="76">
        <v>5.2039999999999997</v>
      </c>
      <c r="BS44" s="76">
        <v>5.077</v>
      </c>
      <c r="BT44" s="40"/>
      <c r="BU44" s="40"/>
      <c r="BV44" s="77">
        <v>0</v>
      </c>
      <c r="BW44" s="40"/>
      <c r="BX44" s="77">
        <v>0</v>
      </c>
      <c r="BY44" s="40"/>
      <c r="BZ44" s="77"/>
      <c r="CA44" s="40"/>
      <c r="CB44" s="77"/>
      <c r="CC44" s="40"/>
      <c r="CD44" s="40"/>
      <c r="CE44" s="78"/>
      <c r="CF44" s="79" t="s">
        <v>679</v>
      </c>
      <c r="CG44" s="70">
        <v>5.077</v>
      </c>
      <c r="CH44" s="70" t="str">
        <f t="shared" si="7"/>
        <v xml:space="preserve"> </v>
      </c>
      <c r="CI44" s="70">
        <f t="shared" si="8"/>
        <v>2.68</v>
      </c>
      <c r="CJ44" s="70">
        <v>0</v>
      </c>
      <c r="CK44" s="70">
        <v>0</v>
      </c>
      <c r="CL44" s="70">
        <v>0</v>
      </c>
      <c r="CM44" s="70">
        <v>0</v>
      </c>
      <c r="CN44" s="70">
        <v>0</v>
      </c>
      <c r="CO44" s="70">
        <v>0</v>
      </c>
      <c r="CP44" s="70">
        <v>0</v>
      </c>
      <c r="CQ44" s="70">
        <v>0</v>
      </c>
      <c r="CR44" s="80">
        <v>1</v>
      </c>
      <c r="CS44" s="70">
        <v>0</v>
      </c>
      <c r="CT44" s="70">
        <v>0</v>
      </c>
      <c r="CU44" s="81">
        <v>0</v>
      </c>
      <c r="CV44" s="70">
        <v>0</v>
      </c>
      <c r="CW44" s="70">
        <v>0</v>
      </c>
      <c r="CX44" s="70">
        <v>0</v>
      </c>
      <c r="CY44" s="70">
        <v>0</v>
      </c>
      <c r="CZ44" s="70">
        <v>0</v>
      </c>
      <c r="DA44" s="70">
        <v>0</v>
      </c>
      <c r="DB44" s="70">
        <v>0</v>
      </c>
      <c r="DC44" s="18">
        <f t="shared" si="9"/>
        <v>1</v>
      </c>
      <c r="DD44" s="82">
        <v>1</v>
      </c>
      <c r="DE44" s="70">
        <v>1406.25</v>
      </c>
      <c r="DF44" s="70">
        <v>0</v>
      </c>
      <c r="DG44" s="70">
        <v>0</v>
      </c>
      <c r="DH44" s="82">
        <v>1406.25</v>
      </c>
      <c r="DI44" s="70" t="s">
        <v>0</v>
      </c>
    </row>
    <row r="45" spans="1:113" s="70" customFormat="1" ht="15.75" thickBot="1" x14ac:dyDescent="0.3">
      <c r="A45" s="70">
        <v>133874</v>
      </c>
      <c r="B45" s="70" t="s">
        <v>6</v>
      </c>
      <c r="C45" s="71" t="s">
        <v>15</v>
      </c>
      <c r="D45" s="70">
        <v>60</v>
      </c>
      <c r="E45" s="70">
        <v>0</v>
      </c>
      <c r="F45" s="70">
        <v>60</v>
      </c>
      <c r="G45" s="70">
        <v>682</v>
      </c>
      <c r="H45" s="70">
        <v>0</v>
      </c>
      <c r="I45" s="70">
        <v>25</v>
      </c>
      <c r="J45" s="49" t="s">
        <v>144</v>
      </c>
      <c r="K45" s="49" t="s">
        <v>143</v>
      </c>
      <c r="L45" s="50">
        <v>45442.420081018499</v>
      </c>
      <c r="M45" s="70">
        <v>0</v>
      </c>
      <c r="N45" s="70">
        <v>0</v>
      </c>
      <c r="O45" s="70">
        <v>0</v>
      </c>
      <c r="R45" s="70" t="s">
        <v>34</v>
      </c>
      <c r="S45" s="70" t="b">
        <v>0</v>
      </c>
      <c r="T45" s="70">
        <v>0.01</v>
      </c>
      <c r="U45" s="83">
        <v>7.5</v>
      </c>
      <c r="V45" s="70">
        <v>0.01</v>
      </c>
      <c r="W45" s="70">
        <v>0</v>
      </c>
      <c r="X45" s="70">
        <v>1000</v>
      </c>
      <c r="Y45" s="70">
        <v>0</v>
      </c>
      <c r="Z45" s="70">
        <v>10</v>
      </c>
      <c r="AA45" s="70">
        <v>0</v>
      </c>
      <c r="AB45" s="73">
        <v>50</v>
      </c>
      <c r="AC45" s="70">
        <v>0</v>
      </c>
      <c r="AD45" s="70">
        <v>10</v>
      </c>
      <c r="AE45" s="70">
        <v>0</v>
      </c>
      <c r="AF45" s="70">
        <v>2000</v>
      </c>
      <c r="AG45" s="70">
        <v>2</v>
      </c>
      <c r="AH45" s="70">
        <v>7.77</v>
      </c>
      <c r="AI45" s="70">
        <v>652</v>
      </c>
      <c r="AJ45" s="70">
        <v>0</v>
      </c>
      <c r="AK45" s="70">
        <v>229</v>
      </c>
      <c r="AL45" s="70">
        <v>0</v>
      </c>
      <c r="AM45" s="70" t="s">
        <v>2</v>
      </c>
      <c r="AN45" s="70">
        <v>0</v>
      </c>
      <c r="AO45" s="70">
        <v>50</v>
      </c>
      <c r="AP45" s="70">
        <v>0</v>
      </c>
      <c r="AW45" s="70" t="b">
        <v>0</v>
      </c>
      <c r="AZ45" s="70" t="s">
        <v>34</v>
      </c>
      <c r="BB45" s="34"/>
      <c r="BC45" s="70">
        <v>44</v>
      </c>
      <c r="BD45" s="91"/>
      <c r="BE45" s="34"/>
      <c r="BF45" s="70">
        <v>1</v>
      </c>
      <c r="BG45" s="70">
        <v>1</v>
      </c>
      <c r="BH45" s="70">
        <v>0</v>
      </c>
      <c r="BI45" s="70">
        <v>0</v>
      </c>
      <c r="BJ45" s="70">
        <v>0.55000000000000004</v>
      </c>
      <c r="BK45" s="70">
        <v>5.5</v>
      </c>
      <c r="BL45" s="70">
        <v>6</v>
      </c>
      <c r="BM45" s="70" t="s">
        <v>1</v>
      </c>
      <c r="BN45" s="60">
        <f t="shared" si="5"/>
        <v>60</v>
      </c>
      <c r="BO45" s="84">
        <f t="shared" si="6"/>
        <v>7.5</v>
      </c>
      <c r="BP45" s="75">
        <v>200</v>
      </c>
      <c r="BQ45" s="76">
        <v>5.4589999999999996</v>
      </c>
      <c r="BR45" s="76">
        <v>5.1680000000000001</v>
      </c>
      <c r="BS45" s="76">
        <v>5.3134999999999994</v>
      </c>
      <c r="BT45" s="40"/>
      <c r="BU45" s="40"/>
      <c r="BV45" s="77">
        <v>0</v>
      </c>
      <c r="BW45" s="40"/>
      <c r="BX45" s="77">
        <v>0</v>
      </c>
      <c r="BY45" s="40"/>
      <c r="BZ45" s="77"/>
      <c r="CA45" s="40"/>
      <c r="CB45" s="77"/>
      <c r="CC45" s="40"/>
      <c r="CD45" s="40"/>
      <c r="CE45" s="78"/>
      <c r="CF45" s="79" t="s">
        <v>125</v>
      </c>
      <c r="CG45" s="86">
        <v>5.3134999999999994</v>
      </c>
      <c r="CH45" s="86" t="str">
        <f t="shared" si="7"/>
        <v xml:space="preserve"> </v>
      </c>
      <c r="CI45" s="70">
        <f t="shared" si="8"/>
        <v>2.68</v>
      </c>
      <c r="CJ45" s="70">
        <v>0</v>
      </c>
      <c r="CK45" s="70">
        <v>0</v>
      </c>
      <c r="CL45" s="70">
        <v>0</v>
      </c>
      <c r="CM45" s="70">
        <v>0</v>
      </c>
      <c r="CN45" s="70">
        <v>0</v>
      </c>
      <c r="CO45" s="70">
        <v>0</v>
      </c>
      <c r="CP45" s="70">
        <v>0</v>
      </c>
      <c r="CQ45" s="70">
        <v>0</v>
      </c>
      <c r="CR45" s="18">
        <v>0</v>
      </c>
      <c r="CS45" s="70">
        <v>0</v>
      </c>
      <c r="CT45" s="70">
        <v>0</v>
      </c>
      <c r="CU45" s="81">
        <v>0</v>
      </c>
      <c r="CV45" s="70">
        <v>0</v>
      </c>
      <c r="CW45" s="70">
        <v>0</v>
      </c>
      <c r="CX45" s="70">
        <v>0</v>
      </c>
      <c r="CY45" s="70">
        <v>0</v>
      </c>
      <c r="CZ45" s="70">
        <v>0</v>
      </c>
      <c r="DA45" s="70">
        <v>0</v>
      </c>
      <c r="DB45" s="70">
        <v>0</v>
      </c>
      <c r="DC45" s="18">
        <f t="shared" si="9"/>
        <v>0</v>
      </c>
      <c r="DD45" s="82">
        <v>0</v>
      </c>
      <c r="DE45" s="70">
        <v>1406.25</v>
      </c>
      <c r="DF45" s="70">
        <v>0</v>
      </c>
      <c r="DG45" s="70">
        <v>0</v>
      </c>
      <c r="DH45" s="82">
        <v>1406.25</v>
      </c>
      <c r="DI45" s="70" t="s">
        <v>0</v>
      </c>
    </row>
    <row r="46" spans="1:113" s="70" customFormat="1" ht="15.75" thickBot="1" x14ac:dyDescent="0.3">
      <c r="A46" s="70">
        <v>133876</v>
      </c>
      <c r="B46" s="70" t="s">
        <v>6</v>
      </c>
      <c r="C46" s="71" t="s">
        <v>15</v>
      </c>
      <c r="D46" s="70">
        <v>60</v>
      </c>
      <c r="E46" s="70">
        <v>0</v>
      </c>
      <c r="F46" s="70">
        <v>60</v>
      </c>
      <c r="G46" s="70">
        <v>684</v>
      </c>
      <c r="H46" s="70">
        <v>0</v>
      </c>
      <c r="I46" s="70">
        <v>25</v>
      </c>
      <c r="J46" s="49" t="s">
        <v>142</v>
      </c>
      <c r="K46" s="49" t="s">
        <v>141</v>
      </c>
      <c r="L46" s="50">
        <v>45442.420428240701</v>
      </c>
      <c r="M46" s="70">
        <v>0</v>
      </c>
      <c r="N46" s="70">
        <v>0</v>
      </c>
      <c r="O46" s="70">
        <v>0</v>
      </c>
      <c r="R46" s="70" t="s">
        <v>34</v>
      </c>
      <c r="S46" s="70" t="b">
        <v>0</v>
      </c>
      <c r="T46" s="70">
        <v>0.01</v>
      </c>
      <c r="U46" s="83">
        <v>9</v>
      </c>
      <c r="V46" s="70">
        <v>0.01</v>
      </c>
      <c r="W46" s="70">
        <v>0</v>
      </c>
      <c r="X46" s="70">
        <v>1000</v>
      </c>
      <c r="Y46" s="70">
        <v>0</v>
      </c>
      <c r="Z46" s="70">
        <v>10</v>
      </c>
      <c r="AA46" s="70">
        <v>0</v>
      </c>
      <c r="AB46" s="73">
        <v>50</v>
      </c>
      <c r="AC46" s="70">
        <v>0</v>
      </c>
      <c r="AD46" s="70">
        <v>10</v>
      </c>
      <c r="AE46" s="70">
        <v>0</v>
      </c>
      <c r="AF46" s="70">
        <v>2000</v>
      </c>
      <c r="AG46" s="70">
        <v>2</v>
      </c>
      <c r="AH46" s="70">
        <v>9.31</v>
      </c>
      <c r="AI46" s="70">
        <v>677</v>
      </c>
      <c r="AJ46" s="70">
        <v>0</v>
      </c>
      <c r="AK46" s="70">
        <v>285</v>
      </c>
      <c r="AL46" s="70">
        <v>0</v>
      </c>
      <c r="AM46" s="70" t="s">
        <v>2</v>
      </c>
      <c r="AN46" s="70">
        <v>0</v>
      </c>
      <c r="AO46" s="70">
        <v>50</v>
      </c>
      <c r="AP46" s="70">
        <v>0</v>
      </c>
      <c r="AW46" s="70" t="b">
        <v>0</v>
      </c>
      <c r="AZ46" s="70" t="s">
        <v>34</v>
      </c>
      <c r="BB46" s="34"/>
      <c r="BC46" s="70">
        <v>45</v>
      </c>
      <c r="BD46" s="91"/>
      <c r="BE46" s="34"/>
      <c r="BF46" s="70">
        <v>1</v>
      </c>
      <c r="BG46" s="70">
        <v>1</v>
      </c>
      <c r="BH46" s="70">
        <v>0</v>
      </c>
      <c r="BI46" s="70">
        <v>0</v>
      </c>
      <c r="BJ46" s="70">
        <v>0.55000000000000004</v>
      </c>
      <c r="BK46" s="70">
        <v>5.5</v>
      </c>
      <c r="BL46" s="70">
        <v>6</v>
      </c>
      <c r="BM46" s="70" t="s">
        <v>1</v>
      </c>
      <c r="BN46" s="60">
        <f t="shared" si="5"/>
        <v>60</v>
      </c>
      <c r="BO46" s="84">
        <f t="shared" si="6"/>
        <v>9</v>
      </c>
      <c r="BP46" s="75">
        <v>200</v>
      </c>
      <c r="BQ46" s="76">
        <v>5.8550000000000004</v>
      </c>
      <c r="BR46" s="76">
        <v>5.9720000000000004</v>
      </c>
      <c r="BS46" s="76">
        <v>5.9135000000000009</v>
      </c>
      <c r="BT46" s="40"/>
      <c r="BU46" s="40"/>
      <c r="BV46" s="77">
        <v>0</v>
      </c>
      <c r="BW46" s="40"/>
      <c r="BX46" s="77">
        <v>0</v>
      </c>
      <c r="BY46" s="40"/>
      <c r="BZ46" s="77"/>
      <c r="CA46" s="40"/>
      <c r="CB46" s="77"/>
      <c r="CC46" s="40"/>
      <c r="CD46" s="40"/>
      <c r="CE46" s="78"/>
      <c r="CF46" s="79" t="s">
        <v>679</v>
      </c>
      <c r="CG46" s="70">
        <v>5.9135000000000009</v>
      </c>
      <c r="CH46" s="70" t="str">
        <f t="shared" si="7"/>
        <v xml:space="preserve"> </v>
      </c>
      <c r="CI46" s="70">
        <f t="shared" si="8"/>
        <v>2.68</v>
      </c>
      <c r="CJ46" s="70">
        <v>0</v>
      </c>
      <c r="CK46" s="70">
        <v>0</v>
      </c>
      <c r="CL46" s="70">
        <v>0</v>
      </c>
      <c r="CM46" s="70">
        <v>0</v>
      </c>
      <c r="CN46" s="70">
        <v>0</v>
      </c>
      <c r="CO46" s="70">
        <v>0</v>
      </c>
      <c r="CP46" s="70">
        <v>0</v>
      </c>
      <c r="CQ46" s="70">
        <v>0</v>
      </c>
      <c r="CR46" s="80">
        <v>1</v>
      </c>
      <c r="CS46" s="70">
        <v>0</v>
      </c>
      <c r="CT46" s="70">
        <v>0</v>
      </c>
      <c r="CU46" s="81">
        <v>0</v>
      </c>
      <c r="CV46" s="70">
        <v>0</v>
      </c>
      <c r="CW46" s="70">
        <v>0</v>
      </c>
      <c r="CX46" s="70">
        <v>0</v>
      </c>
      <c r="CY46" s="70">
        <v>0</v>
      </c>
      <c r="CZ46" s="70">
        <v>0</v>
      </c>
      <c r="DA46" s="70">
        <v>0</v>
      </c>
      <c r="DB46" s="70">
        <v>0</v>
      </c>
      <c r="DC46" s="18">
        <f t="shared" si="9"/>
        <v>1</v>
      </c>
      <c r="DD46" s="82">
        <v>1</v>
      </c>
      <c r="DE46" s="70">
        <v>2025</v>
      </c>
      <c r="DF46" s="70">
        <v>0</v>
      </c>
      <c r="DG46" s="70">
        <v>0</v>
      </c>
      <c r="DH46" s="82">
        <v>2025</v>
      </c>
      <c r="DI46" s="70" t="s">
        <v>0</v>
      </c>
    </row>
    <row r="47" spans="1:113" s="70" customFormat="1" ht="15.75" thickBot="1" x14ac:dyDescent="0.3">
      <c r="A47" s="70">
        <v>133878</v>
      </c>
      <c r="B47" s="70" t="s">
        <v>6</v>
      </c>
      <c r="C47" s="71" t="s">
        <v>15</v>
      </c>
      <c r="D47" s="70">
        <v>60</v>
      </c>
      <c r="E47" s="70">
        <v>0</v>
      </c>
      <c r="F47" s="70">
        <v>60</v>
      </c>
      <c r="G47" s="70">
        <v>686</v>
      </c>
      <c r="H47" s="70">
        <v>0</v>
      </c>
      <c r="I47" s="70">
        <v>25</v>
      </c>
      <c r="J47" s="49" t="s">
        <v>140</v>
      </c>
      <c r="K47" s="49" t="s">
        <v>139</v>
      </c>
      <c r="L47" s="50">
        <v>45442.420543981498</v>
      </c>
      <c r="M47" s="70">
        <v>0</v>
      </c>
      <c r="N47" s="70">
        <v>0</v>
      </c>
      <c r="O47" s="70">
        <v>0</v>
      </c>
      <c r="R47" s="70" t="s">
        <v>34</v>
      </c>
      <c r="S47" s="70" t="b">
        <v>0</v>
      </c>
      <c r="T47" s="70">
        <v>0.01</v>
      </c>
      <c r="U47" s="83">
        <v>9</v>
      </c>
      <c r="V47" s="70">
        <v>0.01</v>
      </c>
      <c r="W47" s="70">
        <v>0</v>
      </c>
      <c r="X47" s="70">
        <v>1000</v>
      </c>
      <c r="Y47" s="70">
        <v>0</v>
      </c>
      <c r="Z47" s="70">
        <v>10</v>
      </c>
      <c r="AA47" s="70">
        <v>0</v>
      </c>
      <c r="AB47" s="73">
        <v>50</v>
      </c>
      <c r="AC47" s="70">
        <v>0</v>
      </c>
      <c r="AD47" s="70">
        <v>10</v>
      </c>
      <c r="AE47" s="70">
        <v>0</v>
      </c>
      <c r="AF47" s="70">
        <v>2000</v>
      </c>
      <c r="AG47" s="70">
        <v>2</v>
      </c>
      <c r="AH47" s="70">
        <v>9.33</v>
      </c>
      <c r="AI47" s="70">
        <v>677</v>
      </c>
      <c r="AJ47" s="70">
        <v>0</v>
      </c>
      <c r="AK47" s="70">
        <v>285</v>
      </c>
      <c r="AL47" s="70">
        <v>0</v>
      </c>
      <c r="AM47" s="70" t="s">
        <v>2</v>
      </c>
      <c r="AN47" s="70">
        <v>0</v>
      </c>
      <c r="AO47" s="70">
        <v>50</v>
      </c>
      <c r="AP47" s="70">
        <v>0</v>
      </c>
      <c r="AW47" s="70" t="b">
        <v>0</v>
      </c>
      <c r="AZ47" s="70" t="s">
        <v>34</v>
      </c>
      <c r="BB47" s="34"/>
      <c r="BC47" s="70">
        <v>46</v>
      </c>
      <c r="BD47" s="91"/>
      <c r="BE47" s="34"/>
      <c r="BF47" s="70">
        <v>1</v>
      </c>
      <c r="BG47" s="70">
        <v>1</v>
      </c>
      <c r="BH47" s="70">
        <v>0</v>
      </c>
      <c r="BI47" s="70">
        <v>0</v>
      </c>
      <c r="BJ47" s="70">
        <v>0.55000000000000004</v>
      </c>
      <c r="BK47" s="70">
        <v>5.5</v>
      </c>
      <c r="BL47" s="70">
        <v>6</v>
      </c>
      <c r="BM47" s="70" t="s">
        <v>1</v>
      </c>
      <c r="BN47" s="60">
        <f t="shared" si="5"/>
        <v>60</v>
      </c>
      <c r="BO47" s="84">
        <f t="shared" si="6"/>
        <v>9</v>
      </c>
      <c r="BP47" s="75">
        <v>200</v>
      </c>
      <c r="BQ47" s="76">
        <v>6.4589999999999996</v>
      </c>
      <c r="BR47" s="76">
        <v>6.4080000000000004</v>
      </c>
      <c r="BS47" s="76">
        <v>6.4335000000000004</v>
      </c>
      <c r="BT47" s="40"/>
      <c r="BU47" s="40"/>
      <c r="BV47" s="77">
        <v>0</v>
      </c>
      <c r="BW47" s="40"/>
      <c r="BX47" s="77">
        <v>0</v>
      </c>
      <c r="BY47" s="40"/>
      <c r="BZ47" s="77"/>
      <c r="CA47" s="40"/>
      <c r="CB47" s="77"/>
      <c r="CC47" s="40"/>
      <c r="CD47" s="40"/>
      <c r="CE47" s="78"/>
      <c r="CF47" s="79" t="s">
        <v>125</v>
      </c>
      <c r="CG47" s="86">
        <v>6.4335000000000004</v>
      </c>
      <c r="CH47" s="86" t="str">
        <f t="shared" si="7"/>
        <v xml:space="preserve"> </v>
      </c>
      <c r="CI47" s="70">
        <f t="shared" si="8"/>
        <v>2.68</v>
      </c>
      <c r="CJ47" s="70">
        <v>0</v>
      </c>
      <c r="CK47" s="70">
        <v>0</v>
      </c>
      <c r="CL47" s="70">
        <v>0</v>
      </c>
      <c r="CM47" s="70">
        <v>0</v>
      </c>
      <c r="CN47" s="70">
        <v>0</v>
      </c>
      <c r="CO47" s="70">
        <v>0</v>
      </c>
      <c r="CP47" s="70">
        <v>0</v>
      </c>
      <c r="CQ47" s="70">
        <v>0</v>
      </c>
      <c r="CR47" s="18">
        <v>0</v>
      </c>
      <c r="CS47" s="70">
        <v>0</v>
      </c>
      <c r="CT47" s="70">
        <v>0</v>
      </c>
      <c r="CU47" s="81">
        <v>0</v>
      </c>
      <c r="CV47" s="70">
        <v>0</v>
      </c>
      <c r="CW47" s="70">
        <v>0</v>
      </c>
      <c r="CX47" s="70">
        <v>0</v>
      </c>
      <c r="CY47" s="70">
        <v>0</v>
      </c>
      <c r="CZ47" s="70">
        <v>0</v>
      </c>
      <c r="DA47" s="70">
        <v>0</v>
      </c>
      <c r="DB47" s="70">
        <v>0</v>
      </c>
      <c r="DC47" s="18">
        <f t="shared" si="9"/>
        <v>0</v>
      </c>
      <c r="DD47" s="82">
        <v>0</v>
      </c>
      <c r="DE47" s="70">
        <v>2025</v>
      </c>
      <c r="DF47" s="70">
        <v>0</v>
      </c>
      <c r="DG47" s="70">
        <v>0</v>
      </c>
      <c r="DH47" s="82">
        <v>2025</v>
      </c>
      <c r="DI47" s="70" t="s">
        <v>0</v>
      </c>
    </row>
    <row r="48" spans="1:113" s="70" customFormat="1" ht="15.75" thickBot="1" x14ac:dyDescent="0.3">
      <c r="A48" s="70">
        <v>133880</v>
      </c>
      <c r="B48" s="70" t="s">
        <v>6</v>
      </c>
      <c r="C48" s="71" t="s">
        <v>15</v>
      </c>
      <c r="D48" s="70">
        <v>60</v>
      </c>
      <c r="E48" s="70">
        <v>0</v>
      </c>
      <c r="F48" s="70">
        <v>60</v>
      </c>
      <c r="G48" s="70">
        <v>688</v>
      </c>
      <c r="H48" s="70">
        <v>0</v>
      </c>
      <c r="I48" s="70">
        <v>15</v>
      </c>
      <c r="J48" s="49" t="s">
        <v>138</v>
      </c>
      <c r="K48" s="49" t="s">
        <v>137</v>
      </c>
      <c r="L48" s="50">
        <v>45442.420949074076</v>
      </c>
      <c r="M48" s="70">
        <v>0</v>
      </c>
      <c r="N48" s="70">
        <v>0</v>
      </c>
      <c r="O48" s="70">
        <v>0</v>
      </c>
      <c r="R48" s="70" t="s">
        <v>34</v>
      </c>
      <c r="S48" s="70" t="b">
        <v>0</v>
      </c>
      <c r="T48" s="70">
        <v>0.01</v>
      </c>
      <c r="U48" s="72">
        <v>6</v>
      </c>
      <c r="V48" s="70">
        <v>0.01</v>
      </c>
      <c r="W48" s="70">
        <v>0</v>
      </c>
      <c r="X48" s="70">
        <v>1000</v>
      </c>
      <c r="Y48" s="70">
        <v>0</v>
      </c>
      <c r="Z48" s="70">
        <v>10</v>
      </c>
      <c r="AA48" s="70">
        <v>0</v>
      </c>
      <c r="AB48" s="88">
        <v>30</v>
      </c>
      <c r="AC48" s="70">
        <v>0</v>
      </c>
      <c r="AD48" s="70">
        <v>10</v>
      </c>
      <c r="AE48" s="70">
        <v>0</v>
      </c>
      <c r="AF48" s="70">
        <v>2000</v>
      </c>
      <c r="AG48" s="70">
        <v>2</v>
      </c>
      <c r="AH48" s="70">
        <v>6.27</v>
      </c>
      <c r="AI48" s="70">
        <v>610</v>
      </c>
      <c r="AJ48" s="70">
        <v>0</v>
      </c>
      <c r="AK48" s="70">
        <v>89</v>
      </c>
      <c r="AL48" s="70">
        <v>0</v>
      </c>
      <c r="AM48" s="70" t="s">
        <v>2</v>
      </c>
      <c r="AN48" s="70">
        <v>0</v>
      </c>
      <c r="AO48" s="70">
        <v>30</v>
      </c>
      <c r="AP48" s="70">
        <v>0</v>
      </c>
      <c r="AW48" s="70" t="b">
        <v>0</v>
      </c>
      <c r="AZ48" s="70" t="s">
        <v>34</v>
      </c>
      <c r="BB48" s="34"/>
      <c r="BC48" s="70">
        <v>47</v>
      </c>
      <c r="BD48" s="91"/>
      <c r="BE48" s="34"/>
      <c r="BF48" s="70">
        <v>1</v>
      </c>
      <c r="BG48" s="70">
        <v>1</v>
      </c>
      <c r="BH48" s="70">
        <v>0</v>
      </c>
      <c r="BI48" s="70">
        <v>0</v>
      </c>
      <c r="BJ48" s="70">
        <v>0.55000000000000004</v>
      </c>
      <c r="BK48" s="70">
        <v>5.5</v>
      </c>
      <c r="BL48" s="70">
        <v>6</v>
      </c>
      <c r="BM48" s="70" t="s">
        <v>1</v>
      </c>
      <c r="BN48" s="60">
        <f t="shared" si="5"/>
        <v>60</v>
      </c>
      <c r="BO48" s="74">
        <f t="shared" si="6"/>
        <v>6</v>
      </c>
      <c r="BP48" s="75">
        <v>200</v>
      </c>
      <c r="BQ48" s="76">
        <v>3.9020000000000001</v>
      </c>
      <c r="BR48" s="76">
        <v>4.07</v>
      </c>
      <c r="BS48" s="76">
        <v>3.9860000000000002</v>
      </c>
      <c r="BT48" s="40"/>
      <c r="BU48" s="40"/>
      <c r="BV48" s="77">
        <v>0</v>
      </c>
      <c r="BW48" s="40"/>
      <c r="BX48" s="77">
        <v>0</v>
      </c>
      <c r="BY48" s="40"/>
      <c r="BZ48" s="77"/>
      <c r="CA48" s="40"/>
      <c r="CB48" s="77"/>
      <c r="CC48" s="40"/>
      <c r="CD48" s="40"/>
      <c r="CE48" s="78"/>
      <c r="CF48" s="79" t="s">
        <v>134</v>
      </c>
      <c r="CG48" s="70">
        <v>3.9860000000000002</v>
      </c>
      <c r="CH48" s="70" t="str">
        <f t="shared" si="7"/>
        <v xml:space="preserve"> </v>
      </c>
      <c r="CI48" s="70">
        <f t="shared" si="8"/>
        <v>2.68</v>
      </c>
      <c r="CJ48" s="70">
        <v>0</v>
      </c>
      <c r="CK48" s="70">
        <v>0</v>
      </c>
      <c r="CL48" s="70">
        <v>0</v>
      </c>
      <c r="CM48" s="70">
        <v>0</v>
      </c>
      <c r="CN48" s="70">
        <v>0</v>
      </c>
      <c r="CO48" s="80">
        <v>1</v>
      </c>
      <c r="CP48" s="70">
        <v>0</v>
      </c>
      <c r="CQ48" s="70">
        <v>0</v>
      </c>
      <c r="CR48" s="18">
        <v>0</v>
      </c>
      <c r="CS48" s="70">
        <v>0</v>
      </c>
      <c r="CT48" s="70">
        <v>0</v>
      </c>
      <c r="CU48" s="81">
        <v>0</v>
      </c>
      <c r="CV48" s="70">
        <v>0</v>
      </c>
      <c r="CW48" s="70">
        <v>0</v>
      </c>
      <c r="CX48" s="70">
        <v>0</v>
      </c>
      <c r="CY48" s="70">
        <v>0</v>
      </c>
      <c r="CZ48" s="70">
        <v>0</v>
      </c>
      <c r="DA48" s="70">
        <v>0</v>
      </c>
      <c r="DB48" s="70">
        <v>0</v>
      </c>
      <c r="DC48" s="18">
        <f t="shared" si="9"/>
        <v>0</v>
      </c>
      <c r="DD48" s="82">
        <v>0</v>
      </c>
      <c r="DE48" s="70">
        <v>540</v>
      </c>
      <c r="DF48" s="70">
        <v>0</v>
      </c>
      <c r="DG48" s="70">
        <v>0</v>
      </c>
      <c r="DH48" s="82">
        <v>540</v>
      </c>
      <c r="DI48" s="70" t="s">
        <v>0</v>
      </c>
    </row>
    <row r="49" spans="1:113" s="70" customFormat="1" ht="15.75" thickBot="1" x14ac:dyDescent="0.3">
      <c r="A49" s="70">
        <v>133882</v>
      </c>
      <c r="B49" s="70" t="s">
        <v>6</v>
      </c>
      <c r="C49" s="71" t="s">
        <v>15</v>
      </c>
      <c r="D49" s="70">
        <v>60</v>
      </c>
      <c r="E49" s="70">
        <v>0</v>
      </c>
      <c r="F49" s="70">
        <v>60</v>
      </c>
      <c r="G49" s="70">
        <v>690</v>
      </c>
      <c r="H49" s="70">
        <v>0</v>
      </c>
      <c r="I49" s="70">
        <v>15</v>
      </c>
      <c r="J49" s="49" t="s">
        <v>136</v>
      </c>
      <c r="K49" s="49" t="s">
        <v>135</v>
      </c>
      <c r="L49" s="50">
        <v>45442.421041666697</v>
      </c>
      <c r="M49" s="70">
        <v>0</v>
      </c>
      <c r="N49" s="70">
        <v>0</v>
      </c>
      <c r="O49" s="70">
        <v>0</v>
      </c>
      <c r="R49" s="70" t="s">
        <v>34</v>
      </c>
      <c r="S49" s="70" t="b">
        <v>0</v>
      </c>
      <c r="T49" s="70">
        <v>0.01</v>
      </c>
      <c r="U49" s="72">
        <v>6</v>
      </c>
      <c r="V49" s="70">
        <v>0.01</v>
      </c>
      <c r="W49" s="70">
        <v>0</v>
      </c>
      <c r="X49" s="70">
        <v>1000</v>
      </c>
      <c r="Y49" s="70">
        <v>0</v>
      </c>
      <c r="Z49" s="70">
        <v>10</v>
      </c>
      <c r="AA49" s="70">
        <v>0</v>
      </c>
      <c r="AB49" s="88">
        <v>30</v>
      </c>
      <c r="AC49" s="70">
        <v>0</v>
      </c>
      <c r="AD49" s="70">
        <v>10</v>
      </c>
      <c r="AE49" s="70">
        <v>0</v>
      </c>
      <c r="AF49" s="70">
        <v>2000</v>
      </c>
      <c r="AG49" s="70">
        <v>2</v>
      </c>
      <c r="AH49" s="70">
        <v>6.3</v>
      </c>
      <c r="AI49" s="70">
        <v>605</v>
      </c>
      <c r="AJ49" s="70">
        <v>0</v>
      </c>
      <c r="AK49" s="70">
        <v>89</v>
      </c>
      <c r="AL49" s="70">
        <v>0</v>
      </c>
      <c r="AM49" s="70" t="s">
        <v>2</v>
      </c>
      <c r="AN49" s="70">
        <v>0</v>
      </c>
      <c r="AO49" s="70">
        <v>30</v>
      </c>
      <c r="AP49" s="70">
        <v>0</v>
      </c>
      <c r="AW49" s="70" t="b">
        <v>0</v>
      </c>
      <c r="AZ49" s="70" t="s">
        <v>34</v>
      </c>
      <c r="BB49" s="34"/>
      <c r="BC49" s="70">
        <v>48</v>
      </c>
      <c r="BD49" s="91"/>
      <c r="BE49" s="34"/>
      <c r="BF49" s="70">
        <v>1</v>
      </c>
      <c r="BG49" s="70">
        <v>1</v>
      </c>
      <c r="BH49" s="70">
        <v>0</v>
      </c>
      <c r="BI49" s="70">
        <v>0</v>
      </c>
      <c r="BJ49" s="70">
        <v>0.55000000000000004</v>
      </c>
      <c r="BK49" s="70">
        <v>5.5</v>
      </c>
      <c r="BL49" s="70">
        <v>6</v>
      </c>
      <c r="BM49" s="70" t="s">
        <v>1</v>
      </c>
      <c r="BN49" s="60">
        <f t="shared" si="5"/>
        <v>60</v>
      </c>
      <c r="BO49" s="74">
        <f t="shared" si="6"/>
        <v>6</v>
      </c>
      <c r="BP49" s="75">
        <v>200</v>
      </c>
      <c r="BQ49" s="76">
        <v>4.2649999999999997</v>
      </c>
      <c r="BR49" s="76">
        <v>4.1130000000000004</v>
      </c>
      <c r="BS49" s="76">
        <v>4.1890000000000001</v>
      </c>
      <c r="BT49" s="40"/>
      <c r="BU49" s="40"/>
      <c r="BV49" s="77">
        <v>0</v>
      </c>
      <c r="BW49" s="40"/>
      <c r="BX49" s="77">
        <v>0</v>
      </c>
      <c r="BY49" s="40"/>
      <c r="BZ49" s="77"/>
      <c r="CA49" s="40"/>
      <c r="CB49" s="77"/>
      <c r="CC49" s="40"/>
      <c r="CD49" s="40"/>
      <c r="CE49" s="78"/>
      <c r="CF49" s="79" t="s">
        <v>134</v>
      </c>
      <c r="CG49" s="86">
        <v>4.1890000000000001</v>
      </c>
      <c r="CH49" s="86" t="str">
        <f t="shared" si="7"/>
        <v xml:space="preserve"> </v>
      </c>
      <c r="CI49" s="70">
        <f t="shared" si="8"/>
        <v>2.68</v>
      </c>
      <c r="CJ49" s="70">
        <v>0</v>
      </c>
      <c r="CK49" s="70">
        <v>0</v>
      </c>
      <c r="CL49" s="70">
        <v>0</v>
      </c>
      <c r="CM49" s="70">
        <v>0</v>
      </c>
      <c r="CN49" s="70">
        <v>0</v>
      </c>
      <c r="CO49" s="80">
        <v>1</v>
      </c>
      <c r="CP49" s="70">
        <v>0</v>
      </c>
      <c r="CQ49" s="70">
        <v>0</v>
      </c>
      <c r="CR49" s="18">
        <v>0</v>
      </c>
      <c r="CS49" s="70">
        <v>0</v>
      </c>
      <c r="CT49" s="70">
        <v>0</v>
      </c>
      <c r="CU49" s="81">
        <v>0</v>
      </c>
      <c r="CV49" s="70">
        <v>0</v>
      </c>
      <c r="CW49" s="70">
        <v>0</v>
      </c>
      <c r="CX49" s="70">
        <v>0</v>
      </c>
      <c r="CY49" s="70">
        <v>0</v>
      </c>
      <c r="CZ49" s="70">
        <v>0</v>
      </c>
      <c r="DA49" s="70">
        <v>0</v>
      </c>
      <c r="DB49" s="70">
        <v>0</v>
      </c>
      <c r="DC49" s="18">
        <f t="shared" si="9"/>
        <v>0</v>
      </c>
      <c r="DD49" s="82">
        <v>0</v>
      </c>
      <c r="DE49" s="70">
        <v>540</v>
      </c>
      <c r="DF49" s="70">
        <v>0</v>
      </c>
      <c r="DG49" s="70">
        <v>0</v>
      </c>
      <c r="DH49" s="82">
        <v>540</v>
      </c>
      <c r="DI49" s="70" t="s">
        <v>0</v>
      </c>
    </row>
    <row r="50" spans="1:113" s="70" customFormat="1" ht="15.75" thickBot="1" x14ac:dyDescent="0.3">
      <c r="A50" s="70">
        <v>133884</v>
      </c>
      <c r="B50" s="70" t="s">
        <v>6</v>
      </c>
      <c r="C50" s="71" t="s">
        <v>15</v>
      </c>
      <c r="D50" s="70">
        <v>60</v>
      </c>
      <c r="E50" s="70">
        <v>0</v>
      </c>
      <c r="F50" s="70">
        <v>60</v>
      </c>
      <c r="G50" s="70">
        <v>692</v>
      </c>
      <c r="H50" s="70">
        <v>0</v>
      </c>
      <c r="I50" s="70">
        <v>35</v>
      </c>
      <c r="J50" s="49" t="s">
        <v>133</v>
      </c>
      <c r="K50" s="49" t="s">
        <v>132</v>
      </c>
      <c r="L50" s="50">
        <v>45442.421585648102</v>
      </c>
      <c r="M50" s="70">
        <v>0</v>
      </c>
      <c r="N50" s="70">
        <v>0</v>
      </c>
      <c r="O50" s="70">
        <v>0</v>
      </c>
      <c r="R50" s="70" t="s">
        <v>34</v>
      </c>
      <c r="S50" s="70" t="b">
        <v>0</v>
      </c>
      <c r="T50" s="70">
        <v>0.01</v>
      </c>
      <c r="U50" s="72">
        <v>6</v>
      </c>
      <c r="V50" s="70">
        <v>0.01</v>
      </c>
      <c r="W50" s="70">
        <v>0</v>
      </c>
      <c r="X50" s="70">
        <v>1000</v>
      </c>
      <c r="Y50" s="70">
        <v>0</v>
      </c>
      <c r="Z50" s="70">
        <v>10</v>
      </c>
      <c r="AA50" s="70">
        <v>0</v>
      </c>
      <c r="AB50" s="88">
        <v>70</v>
      </c>
      <c r="AC50" s="70">
        <v>0</v>
      </c>
      <c r="AD50" s="70">
        <v>10</v>
      </c>
      <c r="AE50" s="70">
        <v>0</v>
      </c>
      <c r="AF50" s="70">
        <v>2000</v>
      </c>
      <c r="AG50" s="70">
        <v>2</v>
      </c>
      <c r="AH50" s="70">
        <v>6.17</v>
      </c>
      <c r="AI50" s="70">
        <v>601</v>
      </c>
      <c r="AJ50" s="70">
        <v>0</v>
      </c>
      <c r="AK50" s="70">
        <v>242</v>
      </c>
      <c r="AL50" s="70">
        <v>0</v>
      </c>
      <c r="AM50" s="70" t="s">
        <v>2</v>
      </c>
      <c r="AN50" s="70">
        <v>0</v>
      </c>
      <c r="AO50" s="70">
        <v>70</v>
      </c>
      <c r="AP50" s="70">
        <v>0</v>
      </c>
      <c r="AW50" s="70" t="b">
        <v>0</v>
      </c>
      <c r="AZ50" s="70" t="s">
        <v>34</v>
      </c>
      <c r="BB50" s="34"/>
      <c r="BC50" s="70">
        <v>49</v>
      </c>
      <c r="BD50" s="91"/>
      <c r="BE50" s="34"/>
      <c r="BF50" s="70">
        <v>1</v>
      </c>
      <c r="BG50" s="70">
        <v>1</v>
      </c>
      <c r="BH50" s="70">
        <v>0</v>
      </c>
      <c r="BI50" s="70">
        <v>0</v>
      </c>
      <c r="BJ50" s="70">
        <v>0.55000000000000004</v>
      </c>
      <c r="BK50" s="70">
        <v>5.5</v>
      </c>
      <c r="BL50" s="70">
        <v>6</v>
      </c>
      <c r="BM50" s="70" t="s">
        <v>1</v>
      </c>
      <c r="BN50" s="60">
        <f t="shared" si="5"/>
        <v>60</v>
      </c>
      <c r="BO50" s="74">
        <f t="shared" si="6"/>
        <v>6</v>
      </c>
      <c r="BP50" s="75">
        <v>200</v>
      </c>
      <c r="BQ50" s="76">
        <v>4.84</v>
      </c>
      <c r="BR50" s="76">
        <v>4.9800000000000004</v>
      </c>
      <c r="BS50" s="76">
        <v>4.91</v>
      </c>
      <c r="BT50" s="40"/>
      <c r="BU50" s="40"/>
      <c r="BV50" s="77">
        <v>0</v>
      </c>
      <c r="BW50" s="40"/>
      <c r="BX50" s="77">
        <v>0</v>
      </c>
      <c r="BY50" s="40"/>
      <c r="BZ50" s="77"/>
      <c r="CA50" s="40"/>
      <c r="CB50" s="77"/>
      <c r="CC50" s="40"/>
      <c r="CD50" s="40"/>
      <c r="CE50" s="78"/>
      <c r="CF50" s="79" t="s">
        <v>125</v>
      </c>
      <c r="CG50" s="70">
        <v>4.91</v>
      </c>
      <c r="CH50" s="70" t="str">
        <f t="shared" si="7"/>
        <v xml:space="preserve"> </v>
      </c>
      <c r="CI50" s="70">
        <f t="shared" si="8"/>
        <v>2.68</v>
      </c>
      <c r="CJ50" s="70">
        <v>0</v>
      </c>
      <c r="CK50" s="70">
        <v>0</v>
      </c>
      <c r="CL50" s="70">
        <v>0</v>
      </c>
      <c r="CM50" s="70">
        <v>0</v>
      </c>
      <c r="CN50" s="70">
        <v>0</v>
      </c>
      <c r="CO50" s="70">
        <v>0</v>
      </c>
      <c r="CP50" s="70">
        <v>0</v>
      </c>
      <c r="CQ50" s="70">
        <v>0</v>
      </c>
      <c r="CR50" s="18">
        <v>0</v>
      </c>
      <c r="CS50" s="70">
        <v>0</v>
      </c>
      <c r="CT50" s="70">
        <v>0</v>
      </c>
      <c r="CU50" s="81">
        <v>0</v>
      </c>
      <c r="CV50" s="70">
        <v>0</v>
      </c>
      <c r="CW50" s="70">
        <v>0</v>
      </c>
      <c r="CX50" s="70">
        <v>0</v>
      </c>
      <c r="CY50" s="70">
        <v>0</v>
      </c>
      <c r="CZ50" s="70">
        <v>0</v>
      </c>
      <c r="DA50" s="70">
        <v>0</v>
      </c>
      <c r="DB50" s="70">
        <v>0</v>
      </c>
      <c r="DC50" s="18">
        <f t="shared" si="9"/>
        <v>0</v>
      </c>
      <c r="DD50" s="82">
        <v>0</v>
      </c>
      <c r="DE50" s="70">
        <v>1260.0000000000002</v>
      </c>
      <c r="DF50" s="70">
        <v>0</v>
      </c>
      <c r="DG50" s="70">
        <v>0</v>
      </c>
      <c r="DH50" s="82">
        <v>1260.0000000000002</v>
      </c>
      <c r="DI50" s="70" t="s">
        <v>0</v>
      </c>
    </row>
    <row r="51" spans="1:113" s="70" customFormat="1" ht="15.75" thickBot="1" x14ac:dyDescent="0.3">
      <c r="A51" s="70">
        <v>133886</v>
      </c>
      <c r="B51" s="70" t="s">
        <v>6</v>
      </c>
      <c r="C51" s="71" t="s">
        <v>15</v>
      </c>
      <c r="D51" s="70">
        <v>60</v>
      </c>
      <c r="E51" s="70">
        <v>0</v>
      </c>
      <c r="F51" s="70">
        <v>60</v>
      </c>
      <c r="G51" s="70">
        <v>694</v>
      </c>
      <c r="H51" s="70">
        <v>0</v>
      </c>
      <c r="I51" s="70">
        <v>35</v>
      </c>
      <c r="J51" s="49" t="s">
        <v>131</v>
      </c>
      <c r="K51" s="49" t="s">
        <v>130</v>
      </c>
      <c r="L51" s="50">
        <v>45442.421689814801</v>
      </c>
      <c r="M51" s="70">
        <v>0</v>
      </c>
      <c r="N51" s="70">
        <v>0</v>
      </c>
      <c r="O51" s="70">
        <v>0</v>
      </c>
      <c r="R51" s="70" t="s">
        <v>34</v>
      </c>
      <c r="S51" s="70" t="b">
        <v>0</v>
      </c>
      <c r="T51" s="70">
        <v>0.01</v>
      </c>
      <c r="U51" s="72">
        <v>6</v>
      </c>
      <c r="V51" s="70">
        <v>0.01</v>
      </c>
      <c r="W51" s="70">
        <v>0</v>
      </c>
      <c r="X51" s="70">
        <v>1000</v>
      </c>
      <c r="Y51" s="70">
        <v>0</v>
      </c>
      <c r="Z51" s="70">
        <v>10</v>
      </c>
      <c r="AA51" s="70">
        <v>0</v>
      </c>
      <c r="AB51" s="88">
        <v>70</v>
      </c>
      <c r="AC51" s="70">
        <v>0</v>
      </c>
      <c r="AD51" s="70">
        <v>10</v>
      </c>
      <c r="AE51" s="70">
        <v>0</v>
      </c>
      <c r="AF51" s="70">
        <v>2000</v>
      </c>
      <c r="AG51" s="70">
        <v>2</v>
      </c>
      <c r="AH51" s="70">
        <v>6.16</v>
      </c>
      <c r="AI51" s="70">
        <v>593</v>
      </c>
      <c r="AJ51" s="70">
        <v>0</v>
      </c>
      <c r="AK51" s="70">
        <v>239</v>
      </c>
      <c r="AL51" s="70">
        <v>0</v>
      </c>
      <c r="AM51" s="70" t="s">
        <v>2</v>
      </c>
      <c r="AN51" s="70">
        <v>0</v>
      </c>
      <c r="AO51" s="70">
        <v>70</v>
      </c>
      <c r="AP51" s="70">
        <v>0</v>
      </c>
      <c r="AW51" s="70" t="b">
        <v>0</v>
      </c>
      <c r="AZ51" s="70" t="s">
        <v>34</v>
      </c>
      <c r="BB51" s="34"/>
      <c r="BC51" s="70">
        <v>50</v>
      </c>
      <c r="BD51" s="91"/>
      <c r="BE51" s="34"/>
      <c r="BF51" s="70">
        <v>1</v>
      </c>
      <c r="BG51" s="70">
        <v>1</v>
      </c>
      <c r="BH51" s="70">
        <v>0</v>
      </c>
      <c r="BI51" s="70">
        <v>0</v>
      </c>
      <c r="BJ51" s="70">
        <v>0.55000000000000004</v>
      </c>
      <c r="BK51" s="70">
        <v>5.5</v>
      </c>
      <c r="BL51" s="70">
        <v>6</v>
      </c>
      <c r="BM51" s="70" t="s">
        <v>1</v>
      </c>
      <c r="BN51" s="60">
        <f t="shared" si="5"/>
        <v>60</v>
      </c>
      <c r="BO51" s="74">
        <f t="shared" si="6"/>
        <v>6</v>
      </c>
      <c r="BP51" s="75">
        <v>200</v>
      </c>
      <c r="BQ51" s="76">
        <v>5.0350000000000001</v>
      </c>
      <c r="BR51" s="76">
        <v>5.016</v>
      </c>
      <c r="BS51" s="76">
        <v>5.0255000000000001</v>
      </c>
      <c r="BT51" s="40"/>
      <c r="BU51" s="40"/>
      <c r="BV51" s="77">
        <v>0</v>
      </c>
      <c r="BW51" s="40"/>
      <c r="BX51" s="77">
        <v>0</v>
      </c>
      <c r="BY51" s="40"/>
      <c r="BZ51" s="77"/>
      <c r="CA51" s="40"/>
      <c r="CB51" s="77"/>
      <c r="CC51" s="40"/>
      <c r="CD51" s="40"/>
      <c r="CE51" s="78"/>
      <c r="CF51" s="79" t="s">
        <v>125</v>
      </c>
      <c r="CG51" s="86">
        <v>5.0255000000000001</v>
      </c>
      <c r="CH51" s="86" t="str">
        <f t="shared" si="7"/>
        <v xml:space="preserve"> </v>
      </c>
      <c r="CI51" s="70">
        <f t="shared" si="8"/>
        <v>2.68</v>
      </c>
      <c r="CJ51" s="70">
        <v>0</v>
      </c>
      <c r="CK51" s="70">
        <v>0</v>
      </c>
      <c r="CL51" s="70">
        <v>0</v>
      </c>
      <c r="CM51" s="70">
        <v>0</v>
      </c>
      <c r="CN51" s="70">
        <v>0</v>
      </c>
      <c r="CO51" s="70">
        <v>0</v>
      </c>
      <c r="CP51" s="70">
        <v>0</v>
      </c>
      <c r="CQ51" s="70">
        <v>0</v>
      </c>
      <c r="CR51" s="18">
        <v>0</v>
      </c>
      <c r="CS51" s="70">
        <v>0</v>
      </c>
      <c r="CT51" s="70">
        <v>0</v>
      </c>
      <c r="CU51" s="81">
        <v>0</v>
      </c>
      <c r="CV51" s="70">
        <v>0</v>
      </c>
      <c r="CW51" s="70">
        <v>0</v>
      </c>
      <c r="CX51" s="70">
        <v>0</v>
      </c>
      <c r="CY51" s="70">
        <v>0</v>
      </c>
      <c r="CZ51" s="70">
        <v>0</v>
      </c>
      <c r="DA51" s="70">
        <v>0</v>
      </c>
      <c r="DB51" s="70">
        <v>0</v>
      </c>
      <c r="DC51" s="18">
        <f t="shared" si="9"/>
        <v>0</v>
      </c>
      <c r="DD51" s="82">
        <v>0</v>
      </c>
      <c r="DE51" s="70">
        <v>1260.0000000000002</v>
      </c>
      <c r="DF51" s="70">
        <v>0</v>
      </c>
      <c r="DG51" s="70">
        <v>0</v>
      </c>
      <c r="DH51" s="82">
        <v>1260.0000000000002</v>
      </c>
      <c r="DI51" s="70" t="s">
        <v>0</v>
      </c>
    </row>
    <row r="52" spans="1:113" s="70" customFormat="1" ht="15.75" thickBot="1" x14ac:dyDescent="0.3">
      <c r="A52" s="70">
        <v>133888</v>
      </c>
      <c r="B52" s="70" t="s">
        <v>6</v>
      </c>
      <c r="C52" s="71" t="s">
        <v>15</v>
      </c>
      <c r="D52" s="70">
        <v>60</v>
      </c>
      <c r="E52" s="70">
        <v>0</v>
      </c>
      <c r="F52" s="70">
        <v>60</v>
      </c>
      <c r="G52" s="70">
        <v>696</v>
      </c>
      <c r="H52" s="70">
        <v>0</v>
      </c>
      <c r="I52" s="70">
        <v>45</v>
      </c>
      <c r="J52" s="49" t="s">
        <v>129</v>
      </c>
      <c r="K52" s="49" t="s">
        <v>128</v>
      </c>
      <c r="L52" s="50">
        <v>45442.4223726852</v>
      </c>
      <c r="M52" s="70">
        <v>0</v>
      </c>
      <c r="N52" s="70">
        <v>0</v>
      </c>
      <c r="O52" s="70">
        <v>0</v>
      </c>
      <c r="R52" s="70" t="s">
        <v>34</v>
      </c>
      <c r="S52" s="70" t="b">
        <v>0</v>
      </c>
      <c r="T52" s="70">
        <v>0.01</v>
      </c>
      <c r="U52" s="72">
        <v>6</v>
      </c>
      <c r="V52" s="70">
        <v>0.01</v>
      </c>
      <c r="W52" s="70">
        <v>0</v>
      </c>
      <c r="X52" s="70">
        <v>1000</v>
      </c>
      <c r="Y52" s="70">
        <v>0</v>
      </c>
      <c r="Z52" s="70">
        <v>10</v>
      </c>
      <c r="AA52" s="70">
        <v>0</v>
      </c>
      <c r="AB52" s="88">
        <v>90</v>
      </c>
      <c r="AC52" s="70">
        <v>0</v>
      </c>
      <c r="AD52" s="70">
        <v>10</v>
      </c>
      <c r="AE52" s="70">
        <v>0</v>
      </c>
      <c r="AF52" s="70">
        <v>2000</v>
      </c>
      <c r="AG52" s="70">
        <v>2</v>
      </c>
      <c r="AH52" s="70">
        <v>6.12</v>
      </c>
      <c r="AI52" s="70">
        <v>571</v>
      </c>
      <c r="AJ52" s="70">
        <v>0</v>
      </c>
      <c r="AK52" s="70">
        <v>303</v>
      </c>
      <c r="AL52" s="70">
        <v>0</v>
      </c>
      <c r="AM52" s="70" t="s">
        <v>2</v>
      </c>
      <c r="AN52" s="70">
        <v>0</v>
      </c>
      <c r="AO52" s="70">
        <v>90</v>
      </c>
      <c r="AP52" s="70">
        <v>0</v>
      </c>
      <c r="AW52" s="70" t="b">
        <v>0</v>
      </c>
      <c r="AZ52" s="70" t="s">
        <v>34</v>
      </c>
      <c r="BB52" s="34"/>
      <c r="BC52" s="70">
        <v>51</v>
      </c>
      <c r="BD52" s="91"/>
      <c r="BE52" s="34"/>
      <c r="BF52" s="70">
        <v>1</v>
      </c>
      <c r="BG52" s="70">
        <v>1</v>
      </c>
      <c r="BH52" s="70">
        <v>0</v>
      </c>
      <c r="BI52" s="70">
        <v>0</v>
      </c>
      <c r="BJ52" s="70">
        <v>0.55000000000000004</v>
      </c>
      <c r="BK52" s="70">
        <v>5.5</v>
      </c>
      <c r="BL52" s="70">
        <v>6</v>
      </c>
      <c r="BM52" s="70" t="s">
        <v>1</v>
      </c>
      <c r="BN52" s="60">
        <f t="shared" si="5"/>
        <v>60</v>
      </c>
      <c r="BO52" s="74">
        <f t="shared" si="6"/>
        <v>6</v>
      </c>
      <c r="BP52" s="75">
        <v>200</v>
      </c>
      <c r="BQ52" s="76">
        <v>5.5609999999999999</v>
      </c>
      <c r="BR52" s="76">
        <v>5.4550000000000001</v>
      </c>
      <c r="BS52" s="76">
        <v>5.508</v>
      </c>
      <c r="BT52" s="40"/>
      <c r="BU52" s="40"/>
      <c r="BV52" s="77">
        <v>0</v>
      </c>
      <c r="BW52" s="40"/>
      <c r="BX52" s="77">
        <v>0</v>
      </c>
      <c r="BY52" s="40"/>
      <c r="BZ52" s="77"/>
      <c r="CA52" s="40"/>
      <c r="CB52" s="77"/>
      <c r="CC52" s="40"/>
      <c r="CD52" s="40"/>
      <c r="CE52" s="78"/>
      <c r="CF52" s="79" t="s">
        <v>125</v>
      </c>
      <c r="CG52" s="70">
        <v>5.508</v>
      </c>
      <c r="CH52" s="70" t="str">
        <f t="shared" si="7"/>
        <v xml:space="preserve"> </v>
      </c>
      <c r="CI52" s="70">
        <f t="shared" si="8"/>
        <v>2.68</v>
      </c>
      <c r="CJ52" s="70">
        <v>0</v>
      </c>
      <c r="CK52" s="70">
        <v>0</v>
      </c>
      <c r="CL52" s="70">
        <v>0</v>
      </c>
      <c r="CM52" s="70">
        <v>0</v>
      </c>
      <c r="CN52" s="70">
        <v>0</v>
      </c>
      <c r="CO52" s="70">
        <v>0</v>
      </c>
      <c r="CP52" s="70">
        <v>0</v>
      </c>
      <c r="CQ52" s="70">
        <v>0</v>
      </c>
      <c r="CR52" s="70">
        <v>0</v>
      </c>
      <c r="CS52" s="70">
        <v>0</v>
      </c>
      <c r="CT52" s="70">
        <v>0</v>
      </c>
      <c r="CU52" s="81">
        <v>0</v>
      </c>
      <c r="CV52" s="70">
        <v>0</v>
      </c>
      <c r="CW52" s="70">
        <v>0</v>
      </c>
      <c r="CX52" s="70">
        <v>0</v>
      </c>
      <c r="CY52" s="70">
        <v>0</v>
      </c>
      <c r="CZ52" s="70">
        <v>0</v>
      </c>
      <c r="DA52" s="70">
        <v>0</v>
      </c>
      <c r="DB52" s="70">
        <v>0</v>
      </c>
      <c r="DC52" s="18">
        <f t="shared" si="9"/>
        <v>0</v>
      </c>
      <c r="DD52" s="82">
        <v>0</v>
      </c>
      <c r="DE52" s="70">
        <v>1620</v>
      </c>
      <c r="DF52" s="70">
        <v>0</v>
      </c>
      <c r="DG52" s="70">
        <v>0</v>
      </c>
      <c r="DH52" s="82">
        <v>1620</v>
      </c>
      <c r="DI52" s="70" t="s">
        <v>0</v>
      </c>
    </row>
    <row r="53" spans="1:113" s="70" customFormat="1" ht="15.75" thickBot="1" x14ac:dyDescent="0.3">
      <c r="A53" s="70">
        <v>133890</v>
      </c>
      <c r="B53" s="70" t="s">
        <v>6</v>
      </c>
      <c r="C53" s="71" t="s">
        <v>15</v>
      </c>
      <c r="D53" s="70">
        <v>60</v>
      </c>
      <c r="E53" s="70">
        <v>0</v>
      </c>
      <c r="F53" s="70">
        <v>60</v>
      </c>
      <c r="G53" s="70">
        <v>698</v>
      </c>
      <c r="H53" s="70">
        <v>0</v>
      </c>
      <c r="I53" s="70">
        <v>45</v>
      </c>
      <c r="J53" s="49" t="s">
        <v>127</v>
      </c>
      <c r="K53" s="49" t="s">
        <v>126</v>
      </c>
      <c r="L53" s="50">
        <v>45442.422465277799</v>
      </c>
      <c r="M53" s="70">
        <v>0</v>
      </c>
      <c r="N53" s="70">
        <v>0</v>
      </c>
      <c r="O53" s="70">
        <v>0</v>
      </c>
      <c r="R53" s="70" t="s">
        <v>34</v>
      </c>
      <c r="S53" s="70" t="b">
        <v>0</v>
      </c>
      <c r="T53" s="70">
        <v>0.01</v>
      </c>
      <c r="U53" s="72">
        <v>6</v>
      </c>
      <c r="V53" s="70">
        <v>0.01</v>
      </c>
      <c r="W53" s="70">
        <v>0</v>
      </c>
      <c r="X53" s="70">
        <v>1000</v>
      </c>
      <c r="Y53" s="70">
        <v>0</v>
      </c>
      <c r="Z53" s="70">
        <v>10</v>
      </c>
      <c r="AA53" s="70">
        <v>0</v>
      </c>
      <c r="AB53" s="88">
        <v>90</v>
      </c>
      <c r="AC53" s="70">
        <v>0</v>
      </c>
      <c r="AD53" s="70">
        <v>10</v>
      </c>
      <c r="AE53" s="70">
        <v>0</v>
      </c>
      <c r="AF53" s="70">
        <v>2000</v>
      </c>
      <c r="AG53" s="70">
        <v>2</v>
      </c>
      <c r="AH53" s="70">
        <v>6.12</v>
      </c>
      <c r="AI53" s="70">
        <v>567</v>
      </c>
      <c r="AJ53" s="70">
        <v>0</v>
      </c>
      <c r="AK53" s="70">
        <v>300</v>
      </c>
      <c r="AL53" s="70">
        <v>0</v>
      </c>
      <c r="AM53" s="70" t="s">
        <v>2</v>
      </c>
      <c r="AN53" s="70">
        <v>0</v>
      </c>
      <c r="AO53" s="70">
        <v>90</v>
      </c>
      <c r="AP53" s="70">
        <v>0</v>
      </c>
      <c r="AW53" s="70" t="b">
        <v>0</v>
      </c>
      <c r="AZ53" s="70" t="s">
        <v>34</v>
      </c>
      <c r="BB53" s="34"/>
      <c r="BC53" s="70">
        <v>52</v>
      </c>
      <c r="BD53" s="91"/>
      <c r="BE53" s="34"/>
      <c r="BF53" s="70">
        <v>1</v>
      </c>
      <c r="BG53" s="70">
        <v>1</v>
      </c>
      <c r="BH53" s="70">
        <v>0</v>
      </c>
      <c r="BI53" s="70">
        <v>0</v>
      </c>
      <c r="BJ53" s="70">
        <v>0.55000000000000004</v>
      </c>
      <c r="BK53" s="70">
        <v>5.5</v>
      </c>
      <c r="BL53" s="70">
        <v>6</v>
      </c>
      <c r="BM53" s="70" t="s">
        <v>1</v>
      </c>
      <c r="BN53" s="60">
        <f t="shared" si="5"/>
        <v>60</v>
      </c>
      <c r="BO53" s="74">
        <f t="shared" si="6"/>
        <v>6</v>
      </c>
      <c r="BP53" s="75">
        <v>200</v>
      </c>
      <c r="BQ53" s="76">
        <v>5.508</v>
      </c>
      <c r="BR53" s="76">
        <v>5.1740000000000004</v>
      </c>
      <c r="BS53" s="76">
        <v>5.3410000000000002</v>
      </c>
      <c r="BT53" s="40"/>
      <c r="BU53" s="40"/>
      <c r="BV53" s="77">
        <v>0</v>
      </c>
      <c r="BW53" s="40"/>
      <c r="BX53" s="77">
        <v>0</v>
      </c>
      <c r="BY53" s="40"/>
      <c r="BZ53" s="77"/>
      <c r="CA53" s="40"/>
      <c r="CB53" s="77"/>
      <c r="CC53" s="40"/>
      <c r="CD53" s="40"/>
      <c r="CE53" s="78"/>
      <c r="CF53" s="79" t="s">
        <v>125</v>
      </c>
      <c r="CG53" s="86">
        <v>5.3410000000000002</v>
      </c>
      <c r="CH53" s="86" t="str">
        <f t="shared" si="7"/>
        <v xml:space="preserve"> </v>
      </c>
      <c r="CI53" s="70">
        <f t="shared" si="8"/>
        <v>2.68</v>
      </c>
      <c r="CJ53" s="70">
        <v>0</v>
      </c>
      <c r="CK53" s="70">
        <v>0</v>
      </c>
      <c r="CL53" s="70">
        <v>0</v>
      </c>
      <c r="CM53" s="70">
        <v>0</v>
      </c>
      <c r="CN53" s="70">
        <v>0</v>
      </c>
      <c r="CO53" s="70">
        <v>0</v>
      </c>
      <c r="CP53" s="70">
        <v>0</v>
      </c>
      <c r="CQ53" s="70">
        <v>0</v>
      </c>
      <c r="CR53" s="70">
        <v>0</v>
      </c>
      <c r="CS53" s="70">
        <v>0</v>
      </c>
      <c r="CT53" s="70">
        <v>0</v>
      </c>
      <c r="CU53" s="81">
        <v>0</v>
      </c>
      <c r="CV53" s="70">
        <v>0</v>
      </c>
      <c r="CW53" s="70">
        <v>0</v>
      </c>
      <c r="CX53" s="70">
        <v>0</v>
      </c>
      <c r="CY53" s="70">
        <v>0</v>
      </c>
      <c r="CZ53" s="70">
        <v>0</v>
      </c>
      <c r="DA53" s="70">
        <v>0</v>
      </c>
      <c r="DB53" s="70">
        <v>0</v>
      </c>
      <c r="DC53" s="18">
        <f t="shared" si="9"/>
        <v>0</v>
      </c>
      <c r="DD53" s="82">
        <v>0</v>
      </c>
      <c r="DE53" s="70">
        <v>1620</v>
      </c>
      <c r="DF53" s="70">
        <v>0</v>
      </c>
      <c r="DG53" s="70">
        <v>0</v>
      </c>
      <c r="DH53" s="82">
        <v>1620</v>
      </c>
      <c r="DI53" s="70" t="s">
        <v>0</v>
      </c>
    </row>
    <row r="54" spans="1:113" s="70" customFormat="1" ht="15.75" thickBot="1" x14ac:dyDescent="0.3">
      <c r="A54" s="70">
        <v>142266</v>
      </c>
      <c r="B54" s="70" t="s">
        <v>6</v>
      </c>
      <c r="C54" s="71" t="s">
        <v>15</v>
      </c>
      <c r="D54" s="70">
        <v>60</v>
      </c>
      <c r="E54" s="70">
        <v>0</v>
      </c>
      <c r="F54" s="70">
        <v>60</v>
      </c>
      <c r="G54" s="70">
        <v>956</v>
      </c>
      <c r="H54" s="70">
        <v>0</v>
      </c>
      <c r="I54" s="70">
        <v>15</v>
      </c>
      <c r="J54" s="49" t="s">
        <v>124</v>
      </c>
      <c r="K54" s="49" t="s">
        <v>123</v>
      </c>
      <c r="L54" s="50">
        <v>45468.692847222199</v>
      </c>
      <c r="M54" s="70">
        <v>0</v>
      </c>
      <c r="N54" s="70">
        <v>0</v>
      </c>
      <c r="O54" s="70">
        <v>0</v>
      </c>
      <c r="R54" s="70" t="s">
        <v>34</v>
      </c>
      <c r="S54" s="70" t="b">
        <v>0</v>
      </c>
      <c r="T54" s="70">
        <v>0.01</v>
      </c>
      <c r="U54" s="83">
        <v>11</v>
      </c>
      <c r="V54" s="70">
        <v>0.01</v>
      </c>
      <c r="W54" s="70">
        <v>0</v>
      </c>
      <c r="X54" s="70">
        <v>2000</v>
      </c>
      <c r="Y54" s="70">
        <v>0</v>
      </c>
      <c r="Z54" s="70">
        <v>10</v>
      </c>
      <c r="AA54" s="70">
        <v>0</v>
      </c>
      <c r="AB54" s="88">
        <v>30</v>
      </c>
      <c r="AC54" s="70">
        <v>0</v>
      </c>
      <c r="AD54" s="70">
        <v>10</v>
      </c>
      <c r="AE54" s="70">
        <v>0</v>
      </c>
      <c r="AF54" s="70">
        <v>2000</v>
      </c>
      <c r="AG54" s="70">
        <v>2</v>
      </c>
      <c r="AH54" s="70">
        <v>11.64</v>
      </c>
      <c r="AI54" s="70">
        <v>715</v>
      </c>
      <c r="AJ54" s="70">
        <v>0</v>
      </c>
      <c r="AK54" s="70">
        <v>204</v>
      </c>
      <c r="AL54" s="70">
        <v>0</v>
      </c>
      <c r="AM54" s="70" t="s">
        <v>2</v>
      </c>
      <c r="AN54" s="70">
        <v>0</v>
      </c>
      <c r="AO54" s="70">
        <v>30</v>
      </c>
      <c r="AP54" s="70">
        <v>0</v>
      </c>
      <c r="AW54" s="70" t="b">
        <v>0</v>
      </c>
      <c r="AZ54" s="70" t="s">
        <v>34</v>
      </c>
      <c r="BB54" s="34"/>
      <c r="BC54" s="70">
        <v>53</v>
      </c>
      <c r="BD54" s="89"/>
      <c r="BE54" s="34"/>
      <c r="BF54" s="70">
        <v>1.2</v>
      </c>
      <c r="BG54" s="70">
        <v>0</v>
      </c>
      <c r="BH54" s="70">
        <v>0</v>
      </c>
      <c r="BI54" s="70">
        <v>0</v>
      </c>
      <c r="BJ54" s="70">
        <v>1.2</v>
      </c>
      <c r="BK54" s="70">
        <v>5.5</v>
      </c>
      <c r="BL54" s="70">
        <v>6</v>
      </c>
      <c r="BM54" s="70" t="s">
        <v>1</v>
      </c>
      <c r="BN54" s="60">
        <f t="shared" si="5"/>
        <v>60</v>
      </c>
      <c r="BO54" s="74">
        <f t="shared" si="6"/>
        <v>11</v>
      </c>
      <c r="BP54" s="75">
        <v>200</v>
      </c>
      <c r="BQ54" s="76">
        <v>6.1529999999999996</v>
      </c>
      <c r="BR54" s="76">
        <v>6.1680000000000001</v>
      </c>
      <c r="BS54" s="76">
        <v>6.1604999999999999</v>
      </c>
      <c r="BT54" s="40"/>
      <c r="BU54" s="40"/>
      <c r="BV54" s="77">
        <v>0</v>
      </c>
      <c r="BW54" s="40"/>
      <c r="BX54" s="77">
        <v>0</v>
      </c>
      <c r="BY54" s="40"/>
      <c r="BZ54" s="77"/>
      <c r="CA54" s="40"/>
      <c r="CB54" s="77"/>
      <c r="CC54" s="40"/>
      <c r="CD54" s="40"/>
      <c r="CE54" s="78"/>
      <c r="CF54" s="79" t="s">
        <v>679</v>
      </c>
      <c r="CG54" s="70">
        <v>6.1604999999999999</v>
      </c>
      <c r="CH54" s="70" t="str">
        <f t="shared" si="7"/>
        <v xml:space="preserve"> </v>
      </c>
      <c r="CI54" s="70">
        <f t="shared" si="8"/>
        <v>4.57</v>
      </c>
      <c r="CJ54" s="70">
        <v>0</v>
      </c>
      <c r="CK54" s="70">
        <v>0</v>
      </c>
      <c r="CL54" s="70">
        <v>0</v>
      </c>
      <c r="CM54" s="70">
        <v>0</v>
      </c>
      <c r="CN54" s="70">
        <v>0</v>
      </c>
      <c r="CO54" s="70">
        <v>0</v>
      </c>
      <c r="CP54" s="70">
        <v>0</v>
      </c>
      <c r="CQ54" s="70">
        <v>0</v>
      </c>
      <c r="CR54" s="80">
        <v>1</v>
      </c>
      <c r="CS54" s="70">
        <v>0</v>
      </c>
      <c r="CT54" s="70">
        <v>0</v>
      </c>
      <c r="CU54" s="81">
        <v>0</v>
      </c>
      <c r="CV54" s="70">
        <v>0</v>
      </c>
      <c r="CW54" s="70">
        <v>0</v>
      </c>
      <c r="CX54" s="70">
        <v>0</v>
      </c>
      <c r="CY54" s="70">
        <v>0</v>
      </c>
      <c r="CZ54" s="70">
        <v>0</v>
      </c>
      <c r="DA54" s="70">
        <v>0</v>
      </c>
      <c r="DB54" s="70">
        <v>0</v>
      </c>
      <c r="DC54" s="18">
        <f t="shared" si="9"/>
        <v>1</v>
      </c>
      <c r="DD54" s="82">
        <v>1</v>
      </c>
      <c r="DE54" s="70">
        <v>1815</v>
      </c>
      <c r="DF54" s="70">
        <v>0</v>
      </c>
      <c r="DG54" s="70">
        <v>0</v>
      </c>
      <c r="DH54" s="82">
        <v>1815</v>
      </c>
      <c r="DI54" s="70" t="s">
        <v>0</v>
      </c>
    </row>
    <row r="55" spans="1:113" s="70" customFormat="1" ht="15.75" thickBot="1" x14ac:dyDescent="0.3">
      <c r="A55" s="70">
        <v>142268</v>
      </c>
      <c r="B55" s="70" t="s">
        <v>6</v>
      </c>
      <c r="C55" s="71" t="s">
        <v>15</v>
      </c>
      <c r="D55" s="70">
        <v>60</v>
      </c>
      <c r="E55" s="70">
        <v>0</v>
      </c>
      <c r="F55" s="70">
        <v>60</v>
      </c>
      <c r="G55" s="70">
        <v>958</v>
      </c>
      <c r="H55" s="70">
        <v>0</v>
      </c>
      <c r="I55" s="70">
        <v>15</v>
      </c>
      <c r="J55" s="49" t="s">
        <v>122</v>
      </c>
      <c r="K55" s="49" t="s">
        <v>121</v>
      </c>
      <c r="L55" s="50">
        <v>45468.692962963003</v>
      </c>
      <c r="M55" s="70">
        <v>0</v>
      </c>
      <c r="N55" s="70">
        <v>0</v>
      </c>
      <c r="O55" s="70">
        <v>0</v>
      </c>
      <c r="R55" s="70" t="s">
        <v>34</v>
      </c>
      <c r="S55" s="70" t="b">
        <v>0</v>
      </c>
      <c r="T55" s="70">
        <v>0.01</v>
      </c>
      <c r="U55" s="83">
        <v>11</v>
      </c>
      <c r="V55" s="70">
        <v>0.01</v>
      </c>
      <c r="W55" s="70">
        <v>0</v>
      </c>
      <c r="X55" s="70">
        <v>2000</v>
      </c>
      <c r="Y55" s="70">
        <v>0</v>
      </c>
      <c r="Z55" s="70">
        <v>10</v>
      </c>
      <c r="AA55" s="70">
        <v>0</v>
      </c>
      <c r="AB55" s="88">
        <v>30</v>
      </c>
      <c r="AC55" s="70">
        <v>0</v>
      </c>
      <c r="AD55" s="70">
        <v>10</v>
      </c>
      <c r="AE55" s="70">
        <v>0</v>
      </c>
      <c r="AF55" s="70">
        <v>2000</v>
      </c>
      <c r="AG55" s="70">
        <v>2</v>
      </c>
      <c r="AH55" s="70">
        <v>11.64</v>
      </c>
      <c r="AI55" s="70">
        <v>707</v>
      </c>
      <c r="AJ55" s="70">
        <v>0</v>
      </c>
      <c r="AK55" s="70">
        <v>204</v>
      </c>
      <c r="AL55" s="70">
        <v>0</v>
      </c>
      <c r="AM55" s="70" t="s">
        <v>2</v>
      </c>
      <c r="AN55" s="70">
        <v>0</v>
      </c>
      <c r="AO55" s="70">
        <v>30</v>
      </c>
      <c r="AP55" s="70">
        <v>0</v>
      </c>
      <c r="AW55" s="70" t="b">
        <v>0</v>
      </c>
      <c r="AZ55" s="70" t="s">
        <v>34</v>
      </c>
      <c r="BB55" s="34"/>
      <c r="BC55" s="70">
        <v>54</v>
      </c>
      <c r="BD55" s="89"/>
      <c r="BE55" s="34"/>
      <c r="BF55" s="70">
        <v>1.2</v>
      </c>
      <c r="BG55" s="70">
        <v>0</v>
      </c>
      <c r="BH55" s="70">
        <v>0</v>
      </c>
      <c r="BI55" s="70">
        <v>0</v>
      </c>
      <c r="BJ55" s="70">
        <v>1.2</v>
      </c>
      <c r="BK55" s="70">
        <v>5.5</v>
      </c>
      <c r="BL55" s="70">
        <v>6</v>
      </c>
      <c r="BM55" s="70" t="s">
        <v>1</v>
      </c>
      <c r="BN55" s="60">
        <f t="shared" si="5"/>
        <v>60</v>
      </c>
      <c r="BO55" s="74">
        <f t="shared" si="6"/>
        <v>11</v>
      </c>
      <c r="BP55" s="75">
        <v>200</v>
      </c>
      <c r="BQ55" s="76">
        <v>7.0190000000000001</v>
      </c>
      <c r="BR55" s="76">
        <v>6.2969999999999997</v>
      </c>
      <c r="BS55" s="76">
        <v>6.6579999999999995</v>
      </c>
      <c r="BT55" s="40"/>
      <c r="BU55" s="40"/>
      <c r="BV55" s="77">
        <v>0</v>
      </c>
      <c r="BW55" s="40"/>
      <c r="BX55" s="77">
        <v>0</v>
      </c>
      <c r="BY55" s="40"/>
      <c r="BZ55" s="77"/>
      <c r="CA55" s="40"/>
      <c r="CB55" s="77"/>
      <c r="CC55" s="40"/>
      <c r="CD55" s="40"/>
      <c r="CE55" s="78"/>
      <c r="CF55" s="79" t="s">
        <v>679</v>
      </c>
      <c r="CG55" s="86">
        <v>6.6579999999999995</v>
      </c>
      <c r="CH55" s="86" t="str">
        <f t="shared" si="7"/>
        <v xml:space="preserve"> </v>
      </c>
      <c r="CI55" s="70">
        <f t="shared" si="8"/>
        <v>4.57</v>
      </c>
      <c r="CJ55" s="70">
        <v>0</v>
      </c>
      <c r="CK55" s="70">
        <v>0</v>
      </c>
      <c r="CL55" s="70">
        <v>0</v>
      </c>
      <c r="CM55" s="70">
        <v>0</v>
      </c>
      <c r="CN55" s="70">
        <v>0</v>
      </c>
      <c r="CO55" s="70">
        <v>0</v>
      </c>
      <c r="CP55" s="70">
        <v>0</v>
      </c>
      <c r="CQ55" s="70">
        <v>0</v>
      </c>
      <c r="CR55" s="80">
        <v>1</v>
      </c>
      <c r="CS55" s="70">
        <v>0</v>
      </c>
      <c r="CT55" s="70">
        <v>0</v>
      </c>
      <c r="CU55" s="81">
        <v>0</v>
      </c>
      <c r="CV55" s="70">
        <v>0</v>
      </c>
      <c r="CW55" s="70">
        <v>0</v>
      </c>
      <c r="CX55" s="70">
        <v>0</v>
      </c>
      <c r="CY55" s="70">
        <v>0</v>
      </c>
      <c r="CZ55" s="70">
        <v>0</v>
      </c>
      <c r="DA55" s="70">
        <v>0</v>
      </c>
      <c r="DB55" s="70">
        <v>0</v>
      </c>
      <c r="DC55" s="18">
        <f t="shared" si="9"/>
        <v>1</v>
      </c>
      <c r="DD55" s="82">
        <v>1</v>
      </c>
      <c r="DE55" s="70">
        <v>1815</v>
      </c>
      <c r="DF55" s="70">
        <v>0</v>
      </c>
      <c r="DG55" s="70">
        <v>0</v>
      </c>
      <c r="DH55" s="82">
        <v>1815</v>
      </c>
      <c r="DI55" s="70" t="s">
        <v>0</v>
      </c>
    </row>
    <row r="56" spans="1:113" s="70" customFormat="1" ht="15" customHeight="1" thickBot="1" x14ac:dyDescent="0.3">
      <c r="A56" s="70">
        <v>143226</v>
      </c>
      <c r="B56" s="70" t="s">
        <v>6</v>
      </c>
      <c r="C56" s="71" t="s">
        <v>15</v>
      </c>
      <c r="D56" s="70">
        <v>60</v>
      </c>
      <c r="E56" s="70">
        <v>0</v>
      </c>
      <c r="F56" s="70">
        <v>60</v>
      </c>
      <c r="G56" s="70">
        <v>958</v>
      </c>
      <c r="H56" s="70">
        <v>0</v>
      </c>
      <c r="I56" s="70">
        <v>15</v>
      </c>
      <c r="J56" s="49" t="s">
        <v>120</v>
      </c>
      <c r="K56" s="49" t="s">
        <v>119</v>
      </c>
      <c r="L56" s="50">
        <v>45469.473402777803</v>
      </c>
      <c r="M56" s="70">
        <v>0</v>
      </c>
      <c r="N56" s="70">
        <v>0</v>
      </c>
      <c r="O56" s="70">
        <v>0</v>
      </c>
      <c r="R56" s="70" t="s">
        <v>34</v>
      </c>
      <c r="S56" s="70" t="b">
        <v>0</v>
      </c>
      <c r="T56" s="70">
        <v>0.01</v>
      </c>
      <c r="U56" s="83">
        <v>11</v>
      </c>
      <c r="V56" s="70">
        <v>0.01</v>
      </c>
      <c r="W56" s="70">
        <v>0</v>
      </c>
      <c r="X56" s="70">
        <v>2000</v>
      </c>
      <c r="Y56" s="70">
        <v>0</v>
      </c>
      <c r="Z56" s="70">
        <v>10</v>
      </c>
      <c r="AA56" s="70">
        <v>0</v>
      </c>
      <c r="AB56" s="88">
        <v>30</v>
      </c>
      <c r="AC56" s="70">
        <v>0</v>
      </c>
      <c r="AD56" s="70">
        <v>10</v>
      </c>
      <c r="AE56" s="70">
        <v>0</v>
      </c>
      <c r="AF56" s="70">
        <v>2000</v>
      </c>
      <c r="AG56" s="70">
        <v>2</v>
      </c>
      <c r="AH56" s="70">
        <v>11.73</v>
      </c>
      <c r="AI56" s="70">
        <v>787</v>
      </c>
      <c r="AJ56" s="70">
        <v>0</v>
      </c>
      <c r="AK56" s="70">
        <v>227</v>
      </c>
      <c r="AL56" s="70">
        <v>0</v>
      </c>
      <c r="AM56" s="70" t="s">
        <v>2</v>
      </c>
      <c r="AN56" s="70">
        <v>0</v>
      </c>
      <c r="AO56" s="70">
        <v>30</v>
      </c>
      <c r="AP56" s="70">
        <v>0</v>
      </c>
      <c r="AW56" s="70" t="b">
        <v>0</v>
      </c>
      <c r="AZ56" s="70" t="s">
        <v>34</v>
      </c>
      <c r="BB56" s="34"/>
      <c r="BC56" s="70">
        <v>55</v>
      </c>
      <c r="BD56" s="92" t="s">
        <v>116</v>
      </c>
      <c r="BE56" s="34"/>
      <c r="BF56" s="70">
        <v>1.2</v>
      </c>
      <c r="BG56" s="70">
        <v>0</v>
      </c>
      <c r="BH56" s="70">
        <v>0</v>
      </c>
      <c r="BI56" s="70">
        <v>0</v>
      </c>
      <c r="BJ56" s="70">
        <v>1.2</v>
      </c>
      <c r="BK56" s="70">
        <v>5.5</v>
      </c>
      <c r="BL56" s="70">
        <v>6</v>
      </c>
      <c r="BM56" s="70" t="s">
        <v>1</v>
      </c>
      <c r="BN56" s="60">
        <f t="shared" si="5"/>
        <v>60</v>
      </c>
      <c r="BO56" s="84">
        <f t="shared" si="6"/>
        <v>11</v>
      </c>
      <c r="BP56" s="90">
        <v>150</v>
      </c>
      <c r="BQ56" s="76">
        <v>5.859</v>
      </c>
      <c r="BR56" s="76">
        <v>6.3310000000000004</v>
      </c>
      <c r="BS56" s="76">
        <v>6.0950000000000006</v>
      </c>
      <c r="BT56" s="40"/>
      <c r="BU56" s="40"/>
      <c r="BV56" s="77">
        <v>0</v>
      </c>
      <c r="BW56" s="40"/>
      <c r="BX56" s="77">
        <v>0</v>
      </c>
      <c r="BY56" s="40"/>
      <c r="BZ56" s="77"/>
      <c r="CA56" s="40"/>
      <c r="CB56" s="77"/>
      <c r="CC56" s="40"/>
      <c r="CD56" s="40"/>
      <c r="CE56" s="78"/>
      <c r="CF56" s="79" t="s">
        <v>679</v>
      </c>
      <c r="CG56" s="70">
        <v>6.0950000000000006</v>
      </c>
      <c r="CH56" s="70" t="str">
        <f t="shared" si="7"/>
        <v xml:space="preserve"> </v>
      </c>
      <c r="CI56" s="70">
        <f t="shared" si="8"/>
        <v>4.57</v>
      </c>
      <c r="CJ56" s="70">
        <v>0</v>
      </c>
      <c r="CK56" s="70">
        <v>0</v>
      </c>
      <c r="CL56" s="70">
        <v>0</v>
      </c>
      <c r="CM56" s="70">
        <v>0</v>
      </c>
      <c r="CN56" s="70">
        <v>0</v>
      </c>
      <c r="CO56" s="70">
        <v>0</v>
      </c>
      <c r="CP56" s="70">
        <v>0</v>
      </c>
      <c r="CQ56" s="70">
        <v>0</v>
      </c>
      <c r="CR56" s="80">
        <v>1</v>
      </c>
      <c r="CS56" s="70">
        <v>0</v>
      </c>
      <c r="CT56" s="70">
        <v>0</v>
      </c>
      <c r="CU56" s="81">
        <v>0</v>
      </c>
      <c r="CV56" s="70">
        <v>0</v>
      </c>
      <c r="CW56" s="70">
        <v>0</v>
      </c>
      <c r="CX56" s="70">
        <v>0</v>
      </c>
      <c r="CY56" s="70">
        <v>0</v>
      </c>
      <c r="CZ56" s="70">
        <v>0</v>
      </c>
      <c r="DA56" s="70">
        <v>0</v>
      </c>
      <c r="DB56" s="70">
        <v>0</v>
      </c>
      <c r="DC56" s="18">
        <f t="shared" si="9"/>
        <v>1</v>
      </c>
      <c r="DD56" s="82">
        <v>1</v>
      </c>
      <c r="DE56" s="70">
        <v>2420</v>
      </c>
      <c r="DF56" s="70">
        <v>0</v>
      </c>
      <c r="DG56" s="70">
        <v>0</v>
      </c>
      <c r="DH56" s="82">
        <v>2420</v>
      </c>
      <c r="DI56" s="70" t="s">
        <v>0</v>
      </c>
    </row>
    <row r="57" spans="1:113" s="70" customFormat="1" ht="15" customHeight="1" thickBot="1" x14ac:dyDescent="0.3">
      <c r="A57" s="70">
        <v>143228</v>
      </c>
      <c r="B57" s="70" t="s">
        <v>6</v>
      </c>
      <c r="C57" s="71" t="s">
        <v>15</v>
      </c>
      <c r="D57" s="70">
        <v>60</v>
      </c>
      <c r="E57" s="70">
        <v>0</v>
      </c>
      <c r="F57" s="70">
        <v>60</v>
      </c>
      <c r="G57" s="70">
        <v>960</v>
      </c>
      <c r="H57" s="70">
        <v>0</v>
      </c>
      <c r="I57" s="70">
        <v>15</v>
      </c>
      <c r="J57" s="49" t="s">
        <v>118</v>
      </c>
      <c r="K57" s="49" t="s">
        <v>117</v>
      </c>
      <c r="L57" s="50">
        <v>45469.4735069444</v>
      </c>
      <c r="M57" s="70">
        <v>0</v>
      </c>
      <c r="N57" s="70">
        <v>0</v>
      </c>
      <c r="O57" s="70">
        <v>0</v>
      </c>
      <c r="R57" s="70" t="s">
        <v>34</v>
      </c>
      <c r="S57" s="70" t="b">
        <v>0</v>
      </c>
      <c r="T57" s="70">
        <v>0.01</v>
      </c>
      <c r="U57" s="83">
        <v>11</v>
      </c>
      <c r="V57" s="70">
        <v>0.01</v>
      </c>
      <c r="W57" s="70">
        <v>0</v>
      </c>
      <c r="X57" s="70">
        <v>2000</v>
      </c>
      <c r="Y57" s="70">
        <v>0</v>
      </c>
      <c r="Z57" s="70">
        <v>10</v>
      </c>
      <c r="AA57" s="70">
        <v>0</v>
      </c>
      <c r="AB57" s="88">
        <v>30</v>
      </c>
      <c r="AC57" s="70">
        <v>0</v>
      </c>
      <c r="AD57" s="70">
        <v>10</v>
      </c>
      <c r="AE57" s="70">
        <v>0</v>
      </c>
      <c r="AF57" s="70">
        <v>2000</v>
      </c>
      <c r="AG57" s="70">
        <v>2</v>
      </c>
      <c r="AH57" s="70">
        <v>11.69</v>
      </c>
      <c r="AI57" s="70">
        <v>749</v>
      </c>
      <c r="AJ57" s="70">
        <v>0</v>
      </c>
      <c r="AK57" s="70">
        <v>217</v>
      </c>
      <c r="AL57" s="70">
        <v>0</v>
      </c>
      <c r="AM57" s="70" t="s">
        <v>2</v>
      </c>
      <c r="AN57" s="70">
        <v>0</v>
      </c>
      <c r="AO57" s="70">
        <v>30</v>
      </c>
      <c r="AP57" s="70">
        <v>0</v>
      </c>
      <c r="AW57" s="70" t="b">
        <v>0</v>
      </c>
      <c r="AZ57" s="70" t="s">
        <v>34</v>
      </c>
      <c r="BB57" s="34"/>
      <c r="BC57" s="70">
        <v>56</v>
      </c>
      <c r="BD57" s="92" t="s">
        <v>116</v>
      </c>
      <c r="BE57" s="34"/>
      <c r="BF57" s="70">
        <v>1.2</v>
      </c>
      <c r="BG57" s="70">
        <v>0</v>
      </c>
      <c r="BH57" s="70">
        <v>0</v>
      </c>
      <c r="BI57" s="70">
        <v>0</v>
      </c>
      <c r="BJ57" s="70">
        <v>1.2</v>
      </c>
      <c r="BK57" s="70">
        <v>5.5</v>
      </c>
      <c r="BL57" s="70">
        <v>6</v>
      </c>
      <c r="BM57" s="70" t="s">
        <v>1</v>
      </c>
      <c r="BN57" s="60">
        <f t="shared" si="5"/>
        <v>60</v>
      </c>
      <c r="BO57" s="84">
        <f t="shared" si="6"/>
        <v>11</v>
      </c>
      <c r="BP57" s="90">
        <v>150</v>
      </c>
      <c r="BQ57" s="76">
        <v>6.8929999999999998</v>
      </c>
      <c r="BR57" s="76">
        <v>5.8949999999999996</v>
      </c>
      <c r="BS57" s="76">
        <v>6.3940000000000001</v>
      </c>
      <c r="BT57" s="40"/>
      <c r="BU57" s="40"/>
      <c r="BV57" s="77">
        <v>0</v>
      </c>
      <c r="BW57" s="40"/>
      <c r="BX57" s="77">
        <v>0</v>
      </c>
      <c r="BY57" s="40"/>
      <c r="BZ57" s="77"/>
      <c r="CA57" s="40"/>
      <c r="CB57" s="77"/>
      <c r="CC57" s="40"/>
      <c r="CD57" s="40"/>
      <c r="CE57" s="78"/>
      <c r="CF57" s="79" t="s">
        <v>679</v>
      </c>
      <c r="CG57" s="70">
        <v>6.3940000000000001</v>
      </c>
      <c r="CH57" s="70" t="str">
        <f t="shared" si="7"/>
        <v xml:space="preserve"> </v>
      </c>
      <c r="CI57" s="70">
        <f t="shared" si="8"/>
        <v>4.57</v>
      </c>
      <c r="CJ57" s="70">
        <v>0</v>
      </c>
      <c r="CK57" s="70">
        <v>0</v>
      </c>
      <c r="CL57" s="70">
        <v>0</v>
      </c>
      <c r="CM57" s="70">
        <v>0</v>
      </c>
      <c r="CN57" s="70">
        <v>0</v>
      </c>
      <c r="CO57" s="70">
        <v>0</v>
      </c>
      <c r="CP57" s="70">
        <v>0</v>
      </c>
      <c r="CQ57" s="70">
        <v>0</v>
      </c>
      <c r="CR57" s="80">
        <v>1</v>
      </c>
      <c r="CS57" s="70">
        <v>0</v>
      </c>
      <c r="CT57" s="70">
        <v>0</v>
      </c>
      <c r="CU57" s="81">
        <v>0</v>
      </c>
      <c r="CV57" s="70">
        <v>0</v>
      </c>
      <c r="CW57" s="70">
        <v>0</v>
      </c>
      <c r="CX57" s="70">
        <v>0</v>
      </c>
      <c r="CY57" s="70">
        <v>0</v>
      </c>
      <c r="CZ57" s="70">
        <v>0</v>
      </c>
      <c r="DA57" s="70">
        <v>0</v>
      </c>
      <c r="DB57" s="70">
        <v>0</v>
      </c>
      <c r="DC57" s="18">
        <f t="shared" si="9"/>
        <v>1</v>
      </c>
      <c r="DD57" s="82">
        <v>1</v>
      </c>
      <c r="DE57" s="70">
        <v>2420</v>
      </c>
      <c r="DF57" s="70">
        <v>0</v>
      </c>
      <c r="DG57" s="70">
        <v>0</v>
      </c>
      <c r="DH57" s="82">
        <v>2420</v>
      </c>
      <c r="DI57" s="70" t="s">
        <v>0</v>
      </c>
    </row>
    <row r="58" spans="1:113" s="70" customFormat="1" ht="15" customHeight="1" thickBot="1" x14ac:dyDescent="0.3">
      <c r="A58" s="70">
        <v>144566</v>
      </c>
      <c r="B58" s="70" t="s">
        <v>6</v>
      </c>
      <c r="C58" s="71" t="s">
        <v>15</v>
      </c>
      <c r="D58" s="70">
        <v>60</v>
      </c>
      <c r="E58" s="70">
        <v>0</v>
      </c>
      <c r="F58" s="70">
        <v>60</v>
      </c>
      <c r="G58" s="70">
        <v>2298</v>
      </c>
      <c r="H58" s="70">
        <v>0</v>
      </c>
      <c r="I58" s="70">
        <v>25</v>
      </c>
      <c r="J58" s="49" t="s">
        <v>115</v>
      </c>
      <c r="K58" s="49" t="s">
        <v>114</v>
      </c>
      <c r="L58" s="50">
        <v>45470.407766203702</v>
      </c>
      <c r="M58" s="70">
        <v>0</v>
      </c>
      <c r="N58" s="70">
        <v>0</v>
      </c>
      <c r="O58" s="70">
        <v>0</v>
      </c>
      <c r="R58" s="70" t="s">
        <v>34</v>
      </c>
      <c r="S58" s="70" t="b">
        <v>0</v>
      </c>
      <c r="T58" s="70">
        <v>0.01</v>
      </c>
      <c r="U58" s="83">
        <v>2</v>
      </c>
      <c r="V58" s="70">
        <v>0.01</v>
      </c>
      <c r="W58" s="70">
        <v>0</v>
      </c>
      <c r="X58" s="70">
        <v>1000</v>
      </c>
      <c r="Y58" s="70">
        <v>0</v>
      </c>
      <c r="Z58" s="70">
        <v>10</v>
      </c>
      <c r="AA58" s="70">
        <v>0</v>
      </c>
      <c r="AB58" s="88">
        <v>50</v>
      </c>
      <c r="AC58" s="70">
        <v>0</v>
      </c>
      <c r="AD58" s="70">
        <v>10</v>
      </c>
      <c r="AE58" s="70">
        <v>0</v>
      </c>
      <c r="AF58" s="70">
        <v>2000</v>
      </c>
      <c r="AG58" s="70">
        <v>2</v>
      </c>
      <c r="AH58" s="70">
        <v>2.0299999999999998</v>
      </c>
      <c r="AI58" s="70">
        <v>364</v>
      </c>
      <c r="AJ58" s="70">
        <v>0</v>
      </c>
      <c r="AK58" s="70">
        <v>30</v>
      </c>
      <c r="AL58" s="70">
        <v>0</v>
      </c>
      <c r="AM58" s="70" t="s">
        <v>2</v>
      </c>
      <c r="AN58" s="70">
        <v>0</v>
      </c>
      <c r="AO58" s="70">
        <v>50</v>
      </c>
      <c r="AP58" s="70">
        <v>0</v>
      </c>
      <c r="AW58" s="70" t="b">
        <v>0</v>
      </c>
      <c r="AZ58" s="70" t="s">
        <v>34</v>
      </c>
      <c r="BB58" s="34"/>
      <c r="BC58" s="70">
        <v>57</v>
      </c>
      <c r="BD58" s="92" t="s">
        <v>99</v>
      </c>
      <c r="BE58" s="34"/>
      <c r="BF58" s="70">
        <v>1</v>
      </c>
      <c r="BG58" s="70">
        <v>1</v>
      </c>
      <c r="BH58" s="70">
        <v>0</v>
      </c>
      <c r="BI58" s="70">
        <v>0</v>
      </c>
      <c r="BJ58" s="70">
        <v>0.55000000000000004</v>
      </c>
      <c r="BK58" s="70">
        <v>5.5</v>
      </c>
      <c r="BL58" s="70">
        <v>6</v>
      </c>
      <c r="BM58" s="70" t="s">
        <v>1</v>
      </c>
      <c r="BN58" s="60">
        <f t="shared" si="5"/>
        <v>60</v>
      </c>
      <c r="BO58" s="84">
        <f t="shared" si="6"/>
        <v>2</v>
      </c>
      <c r="BP58" s="75">
        <v>200</v>
      </c>
      <c r="BQ58" s="76">
        <v>0</v>
      </c>
      <c r="BR58" s="76">
        <v>0</v>
      </c>
      <c r="BS58" s="76">
        <v>0</v>
      </c>
      <c r="BT58" s="40"/>
      <c r="BU58" s="40"/>
      <c r="BV58" s="77">
        <v>0</v>
      </c>
      <c r="BW58" s="40"/>
      <c r="BX58" s="77">
        <v>0</v>
      </c>
      <c r="BY58" s="40"/>
      <c r="BZ58" s="77"/>
      <c r="CA58" s="40"/>
      <c r="CB58" s="77"/>
      <c r="CC58" s="40"/>
      <c r="CD58" s="40"/>
      <c r="CE58" s="78"/>
      <c r="CF58" s="79" t="s">
        <v>12</v>
      </c>
      <c r="CG58" s="70">
        <v>3.4805000000000001</v>
      </c>
      <c r="CH58" s="70" t="str">
        <f t="shared" si="7"/>
        <v xml:space="preserve"> </v>
      </c>
      <c r="CI58" s="70">
        <f t="shared" si="8"/>
        <v>2.68</v>
      </c>
      <c r="CJ58" s="70">
        <v>0</v>
      </c>
      <c r="CK58" s="70">
        <v>0</v>
      </c>
      <c r="CL58" s="70">
        <v>0</v>
      </c>
      <c r="CM58" s="70">
        <v>0</v>
      </c>
      <c r="CN58" s="70">
        <v>0</v>
      </c>
      <c r="CO58" s="70">
        <v>0</v>
      </c>
      <c r="CP58" s="70">
        <v>0</v>
      </c>
      <c r="CQ58" s="70">
        <v>0</v>
      </c>
      <c r="CR58" s="18">
        <v>0</v>
      </c>
      <c r="CS58" s="70">
        <v>0</v>
      </c>
      <c r="CT58" s="70">
        <v>0</v>
      </c>
      <c r="CU58" s="81">
        <v>1</v>
      </c>
      <c r="CV58" s="70">
        <v>0</v>
      </c>
      <c r="CW58" s="70">
        <v>0</v>
      </c>
      <c r="CX58" s="70">
        <v>0</v>
      </c>
      <c r="CY58" s="70">
        <v>0</v>
      </c>
      <c r="CZ58" s="70">
        <v>0</v>
      </c>
      <c r="DA58" s="70">
        <v>0</v>
      </c>
      <c r="DB58" s="70">
        <v>0</v>
      </c>
      <c r="DC58" s="18">
        <f t="shared" si="9"/>
        <v>1</v>
      </c>
      <c r="DD58" s="82">
        <v>2</v>
      </c>
      <c r="DE58" s="70">
        <v>100</v>
      </c>
      <c r="DF58" s="70">
        <v>0</v>
      </c>
      <c r="DG58" s="70">
        <v>0</v>
      </c>
      <c r="DH58" s="82">
        <v>100</v>
      </c>
      <c r="DI58" s="70" t="s">
        <v>0</v>
      </c>
    </row>
    <row r="59" spans="1:113" s="70" customFormat="1" ht="15" customHeight="1" thickBot="1" x14ac:dyDescent="0.3">
      <c r="A59" s="70">
        <v>144567</v>
      </c>
      <c r="B59" s="70" t="s">
        <v>6</v>
      </c>
      <c r="C59" s="71" t="s">
        <v>15</v>
      </c>
      <c r="D59" s="70">
        <v>60</v>
      </c>
      <c r="E59" s="70">
        <v>0</v>
      </c>
      <c r="F59" s="70">
        <v>60</v>
      </c>
      <c r="G59" s="70">
        <v>2299</v>
      </c>
      <c r="H59" s="70">
        <v>0</v>
      </c>
      <c r="I59" s="70">
        <v>25</v>
      </c>
      <c r="J59" s="49" t="s">
        <v>113</v>
      </c>
      <c r="K59" s="49" t="s">
        <v>112</v>
      </c>
      <c r="L59" s="50">
        <v>45470.407812500001</v>
      </c>
      <c r="M59" s="70">
        <v>0</v>
      </c>
      <c r="N59" s="70">
        <v>0</v>
      </c>
      <c r="O59" s="70">
        <v>0</v>
      </c>
      <c r="R59" s="70" t="s">
        <v>34</v>
      </c>
      <c r="S59" s="70" t="b">
        <v>0</v>
      </c>
      <c r="T59" s="70">
        <v>0.01</v>
      </c>
      <c r="U59" s="83">
        <v>2</v>
      </c>
      <c r="V59" s="70">
        <v>0.01</v>
      </c>
      <c r="W59" s="70">
        <v>0</v>
      </c>
      <c r="X59" s="70">
        <v>1000</v>
      </c>
      <c r="Y59" s="70">
        <v>0</v>
      </c>
      <c r="Z59" s="70">
        <v>10</v>
      </c>
      <c r="AA59" s="70">
        <v>0</v>
      </c>
      <c r="AB59" s="88">
        <v>50</v>
      </c>
      <c r="AC59" s="70">
        <v>0</v>
      </c>
      <c r="AD59" s="70">
        <v>10</v>
      </c>
      <c r="AE59" s="70">
        <v>0</v>
      </c>
      <c r="AF59" s="70">
        <v>2000</v>
      </c>
      <c r="AG59" s="70">
        <v>2</v>
      </c>
      <c r="AH59" s="70">
        <v>2.0699999999999998</v>
      </c>
      <c r="AI59" s="70">
        <v>393</v>
      </c>
      <c r="AJ59" s="70">
        <v>0</v>
      </c>
      <c r="AK59" s="70">
        <v>33</v>
      </c>
      <c r="AL59" s="70">
        <v>0</v>
      </c>
      <c r="AM59" s="70" t="s">
        <v>2</v>
      </c>
      <c r="AN59" s="70">
        <v>0</v>
      </c>
      <c r="AO59" s="70">
        <v>50</v>
      </c>
      <c r="AP59" s="70">
        <v>0</v>
      </c>
      <c r="AW59" s="70" t="b">
        <v>0</v>
      </c>
      <c r="AZ59" s="70" t="s">
        <v>34</v>
      </c>
      <c r="BB59" s="34"/>
      <c r="BC59" s="70">
        <v>58</v>
      </c>
      <c r="BD59" s="92" t="s">
        <v>99</v>
      </c>
      <c r="BE59" s="34"/>
      <c r="BF59" s="70">
        <v>1</v>
      </c>
      <c r="BG59" s="70">
        <v>1</v>
      </c>
      <c r="BH59" s="70">
        <v>0</v>
      </c>
      <c r="BI59" s="70">
        <v>0</v>
      </c>
      <c r="BJ59" s="70">
        <v>0.55000000000000004</v>
      </c>
      <c r="BK59" s="70">
        <v>5.5</v>
      </c>
      <c r="BL59" s="70">
        <v>6</v>
      </c>
      <c r="BM59" s="70" t="s">
        <v>1</v>
      </c>
      <c r="BN59" s="60">
        <f t="shared" si="5"/>
        <v>60</v>
      </c>
      <c r="BO59" s="84">
        <f t="shared" si="6"/>
        <v>2</v>
      </c>
      <c r="BP59" s="75">
        <v>200</v>
      </c>
      <c r="BQ59" s="76">
        <v>0</v>
      </c>
      <c r="BR59" s="76">
        <v>0</v>
      </c>
      <c r="BS59" s="76">
        <v>0</v>
      </c>
      <c r="BT59" s="40"/>
      <c r="BU59" s="40"/>
      <c r="BV59" s="77">
        <v>0</v>
      </c>
      <c r="BW59" s="40"/>
      <c r="BX59" s="77">
        <v>0</v>
      </c>
      <c r="BY59" s="40"/>
      <c r="BZ59" s="77"/>
      <c r="CA59" s="40"/>
      <c r="CB59" s="77"/>
      <c r="CC59" s="40"/>
      <c r="CD59" s="40"/>
      <c r="CE59" s="78"/>
      <c r="CF59" s="79" t="s">
        <v>12</v>
      </c>
      <c r="CG59" s="70">
        <v>3.4950000000000001</v>
      </c>
      <c r="CH59" s="70" t="str">
        <f t="shared" si="7"/>
        <v xml:space="preserve"> </v>
      </c>
      <c r="CI59" s="70">
        <f t="shared" si="8"/>
        <v>2.68</v>
      </c>
      <c r="CJ59" s="70">
        <v>0</v>
      </c>
      <c r="CK59" s="70">
        <v>0</v>
      </c>
      <c r="CL59" s="70">
        <v>0</v>
      </c>
      <c r="CM59" s="70">
        <v>0</v>
      </c>
      <c r="CN59" s="70">
        <v>0</v>
      </c>
      <c r="CO59" s="70">
        <v>0</v>
      </c>
      <c r="CP59" s="70">
        <v>0</v>
      </c>
      <c r="CQ59" s="70">
        <v>0</v>
      </c>
      <c r="CR59" s="18">
        <v>0</v>
      </c>
      <c r="CS59" s="70">
        <v>0</v>
      </c>
      <c r="CT59" s="70">
        <v>0</v>
      </c>
      <c r="CU59" s="81">
        <v>1</v>
      </c>
      <c r="CV59" s="70">
        <v>0</v>
      </c>
      <c r="CW59" s="70">
        <v>0</v>
      </c>
      <c r="CX59" s="70">
        <v>0</v>
      </c>
      <c r="CY59" s="70">
        <v>0</v>
      </c>
      <c r="CZ59" s="70">
        <v>0</v>
      </c>
      <c r="DA59" s="70">
        <v>0</v>
      </c>
      <c r="DB59" s="70">
        <v>0</v>
      </c>
      <c r="DC59" s="18">
        <f t="shared" si="9"/>
        <v>1</v>
      </c>
      <c r="DD59" s="82">
        <v>2</v>
      </c>
      <c r="DE59" s="70">
        <v>100</v>
      </c>
      <c r="DF59" s="70">
        <v>0</v>
      </c>
      <c r="DG59" s="70">
        <v>0</v>
      </c>
      <c r="DH59" s="82">
        <v>100</v>
      </c>
      <c r="DI59" s="70" t="s">
        <v>0</v>
      </c>
    </row>
    <row r="60" spans="1:113" s="70" customFormat="1" ht="15" customHeight="1" thickBot="1" x14ac:dyDescent="0.3">
      <c r="A60" s="70">
        <v>144568</v>
      </c>
      <c r="B60" s="70" t="s">
        <v>6</v>
      </c>
      <c r="C60" s="71" t="s">
        <v>15</v>
      </c>
      <c r="D60" s="70">
        <v>60</v>
      </c>
      <c r="E60" s="70">
        <v>0</v>
      </c>
      <c r="F60" s="70">
        <v>60</v>
      </c>
      <c r="G60" s="70">
        <v>2300</v>
      </c>
      <c r="H60" s="70">
        <v>0</v>
      </c>
      <c r="I60" s="70">
        <v>25</v>
      </c>
      <c r="J60" s="49" t="s">
        <v>111</v>
      </c>
      <c r="K60" s="49" t="s">
        <v>110</v>
      </c>
      <c r="L60" s="50">
        <v>45470.407858796301</v>
      </c>
      <c r="M60" s="70">
        <v>0</v>
      </c>
      <c r="N60" s="70">
        <v>0</v>
      </c>
      <c r="O60" s="70">
        <v>0</v>
      </c>
      <c r="R60" s="70" t="s">
        <v>34</v>
      </c>
      <c r="S60" s="70" t="b">
        <v>0</v>
      </c>
      <c r="T60" s="70">
        <v>0.01</v>
      </c>
      <c r="U60" s="83">
        <v>2</v>
      </c>
      <c r="V60" s="70">
        <v>0.01</v>
      </c>
      <c r="W60" s="70">
        <v>0</v>
      </c>
      <c r="X60" s="70">
        <v>1000</v>
      </c>
      <c r="Y60" s="70">
        <v>0</v>
      </c>
      <c r="Z60" s="70">
        <v>10</v>
      </c>
      <c r="AA60" s="70">
        <v>0</v>
      </c>
      <c r="AB60" s="88">
        <v>50</v>
      </c>
      <c r="AC60" s="70">
        <v>0</v>
      </c>
      <c r="AD60" s="70">
        <v>10</v>
      </c>
      <c r="AE60" s="70">
        <v>0</v>
      </c>
      <c r="AF60" s="70">
        <v>2000</v>
      </c>
      <c r="AG60" s="70">
        <v>2</v>
      </c>
      <c r="AH60" s="70">
        <v>2.0299999999999998</v>
      </c>
      <c r="AI60" s="70">
        <v>347</v>
      </c>
      <c r="AJ60" s="70">
        <v>0</v>
      </c>
      <c r="AK60" s="70">
        <v>29</v>
      </c>
      <c r="AL60" s="70">
        <v>0</v>
      </c>
      <c r="AM60" s="70" t="s">
        <v>2</v>
      </c>
      <c r="AN60" s="70">
        <v>0</v>
      </c>
      <c r="AO60" s="70">
        <v>50</v>
      </c>
      <c r="AP60" s="70">
        <v>0</v>
      </c>
      <c r="AW60" s="70" t="b">
        <v>0</v>
      </c>
      <c r="AZ60" s="70" t="s">
        <v>34</v>
      </c>
      <c r="BB60" s="34"/>
      <c r="BC60" s="70">
        <v>59</v>
      </c>
      <c r="BD60" s="92" t="s">
        <v>99</v>
      </c>
      <c r="BE60" s="34"/>
      <c r="BF60" s="70">
        <v>1</v>
      </c>
      <c r="BG60" s="70">
        <v>1</v>
      </c>
      <c r="BH60" s="70">
        <v>0</v>
      </c>
      <c r="BI60" s="70">
        <v>0</v>
      </c>
      <c r="BJ60" s="70">
        <v>0.55000000000000004</v>
      </c>
      <c r="BK60" s="70">
        <v>5.5</v>
      </c>
      <c r="BL60" s="70">
        <v>6</v>
      </c>
      <c r="BM60" s="70" t="s">
        <v>1</v>
      </c>
      <c r="BN60" s="60">
        <f t="shared" si="5"/>
        <v>60</v>
      </c>
      <c r="BO60" s="84">
        <f t="shared" si="6"/>
        <v>2</v>
      </c>
      <c r="BP60" s="75">
        <v>200</v>
      </c>
      <c r="BQ60" s="76">
        <v>0</v>
      </c>
      <c r="BR60" s="76">
        <v>0</v>
      </c>
      <c r="BS60" s="76">
        <v>0</v>
      </c>
      <c r="BT60" s="40"/>
      <c r="BU60" s="40"/>
      <c r="BV60" s="77">
        <v>0</v>
      </c>
      <c r="BW60" s="40"/>
      <c r="BX60" s="77">
        <v>0</v>
      </c>
      <c r="BY60" s="40"/>
      <c r="BZ60" s="77"/>
      <c r="CA60" s="40"/>
      <c r="CB60" s="77"/>
      <c r="CC60" s="40"/>
      <c r="CD60" s="40"/>
      <c r="CE60" s="78"/>
      <c r="CF60" s="79" t="s">
        <v>12</v>
      </c>
      <c r="CG60" s="86">
        <v>3.4119999999999999</v>
      </c>
      <c r="CH60" s="86" t="str">
        <f t="shared" si="7"/>
        <v xml:space="preserve"> </v>
      </c>
      <c r="CI60" s="70">
        <f t="shared" si="8"/>
        <v>2.68</v>
      </c>
      <c r="CJ60" s="70">
        <v>0</v>
      </c>
      <c r="CK60" s="70">
        <v>0</v>
      </c>
      <c r="CL60" s="70">
        <v>0</v>
      </c>
      <c r="CM60" s="70">
        <v>0</v>
      </c>
      <c r="CN60" s="70">
        <v>0</v>
      </c>
      <c r="CO60" s="70">
        <v>0</v>
      </c>
      <c r="CP60" s="70">
        <v>0</v>
      </c>
      <c r="CQ60" s="70">
        <v>0</v>
      </c>
      <c r="CR60" s="18">
        <v>0</v>
      </c>
      <c r="CS60" s="70">
        <v>0</v>
      </c>
      <c r="CT60" s="70">
        <v>0</v>
      </c>
      <c r="CU60" s="81">
        <v>1</v>
      </c>
      <c r="CV60" s="70">
        <v>0</v>
      </c>
      <c r="CW60" s="70">
        <v>0</v>
      </c>
      <c r="CX60" s="70">
        <v>0</v>
      </c>
      <c r="CY60" s="70">
        <v>0</v>
      </c>
      <c r="CZ60" s="70">
        <v>0</v>
      </c>
      <c r="DA60" s="70">
        <v>0</v>
      </c>
      <c r="DB60" s="70">
        <v>0</v>
      </c>
      <c r="DC60" s="18">
        <f t="shared" si="9"/>
        <v>1</v>
      </c>
      <c r="DD60" s="82">
        <v>2</v>
      </c>
      <c r="DE60" s="86">
        <v>100</v>
      </c>
      <c r="DF60" s="86">
        <v>0</v>
      </c>
      <c r="DG60" s="86">
        <v>0</v>
      </c>
      <c r="DH60" s="93">
        <v>100</v>
      </c>
      <c r="DI60" s="70" t="s">
        <v>0</v>
      </c>
    </row>
    <row r="61" spans="1:113" s="70" customFormat="1" ht="15" customHeight="1" thickBot="1" x14ac:dyDescent="0.3">
      <c r="A61" s="70">
        <v>144569</v>
      </c>
      <c r="B61" s="70" t="s">
        <v>6</v>
      </c>
      <c r="C61" s="71" t="s">
        <v>15</v>
      </c>
      <c r="D61" s="70">
        <v>60</v>
      </c>
      <c r="E61" s="70">
        <v>0</v>
      </c>
      <c r="F61" s="70">
        <v>60</v>
      </c>
      <c r="G61" s="70">
        <v>2301</v>
      </c>
      <c r="H61" s="70">
        <v>0</v>
      </c>
      <c r="I61" s="70">
        <v>25</v>
      </c>
      <c r="J61" s="49" t="s">
        <v>109</v>
      </c>
      <c r="K61" s="49" t="s">
        <v>108</v>
      </c>
      <c r="L61" s="50">
        <v>45470.407893518503</v>
      </c>
      <c r="M61" s="70">
        <v>0</v>
      </c>
      <c r="N61" s="70">
        <v>0</v>
      </c>
      <c r="O61" s="70">
        <v>0</v>
      </c>
      <c r="R61" s="70" t="s">
        <v>34</v>
      </c>
      <c r="S61" s="70" t="b">
        <v>0</v>
      </c>
      <c r="T61" s="70">
        <v>0.01</v>
      </c>
      <c r="U61" s="83">
        <v>2</v>
      </c>
      <c r="V61" s="70">
        <v>0.01</v>
      </c>
      <c r="W61" s="70">
        <v>0</v>
      </c>
      <c r="X61" s="70">
        <v>1000</v>
      </c>
      <c r="Y61" s="70">
        <v>0</v>
      </c>
      <c r="Z61" s="70">
        <v>10</v>
      </c>
      <c r="AA61" s="70">
        <v>0</v>
      </c>
      <c r="AB61" s="88">
        <v>50</v>
      </c>
      <c r="AC61" s="70">
        <v>0</v>
      </c>
      <c r="AD61" s="70">
        <v>10</v>
      </c>
      <c r="AE61" s="70">
        <v>0</v>
      </c>
      <c r="AF61" s="70">
        <v>2000</v>
      </c>
      <c r="AG61" s="70">
        <v>2</v>
      </c>
      <c r="AH61" s="70">
        <v>2.04</v>
      </c>
      <c r="AI61" s="70">
        <v>377</v>
      </c>
      <c r="AJ61" s="70">
        <v>0</v>
      </c>
      <c r="AK61" s="70">
        <v>32</v>
      </c>
      <c r="AL61" s="70">
        <v>0</v>
      </c>
      <c r="AM61" s="70" t="s">
        <v>2</v>
      </c>
      <c r="AN61" s="70">
        <v>0</v>
      </c>
      <c r="AO61" s="70">
        <v>50</v>
      </c>
      <c r="AP61" s="70">
        <v>0</v>
      </c>
      <c r="AW61" s="70" t="b">
        <v>0</v>
      </c>
      <c r="AZ61" s="70" t="s">
        <v>34</v>
      </c>
      <c r="BB61" s="34"/>
      <c r="BC61" s="70">
        <v>60</v>
      </c>
      <c r="BD61" s="92" t="s">
        <v>99</v>
      </c>
      <c r="BE61" s="34"/>
      <c r="BF61" s="70">
        <v>1</v>
      </c>
      <c r="BG61" s="70">
        <v>1</v>
      </c>
      <c r="BH61" s="70">
        <v>0</v>
      </c>
      <c r="BI61" s="70">
        <v>0</v>
      </c>
      <c r="BJ61" s="70">
        <v>0.55000000000000004</v>
      </c>
      <c r="BK61" s="70">
        <v>5.5</v>
      </c>
      <c r="BL61" s="70">
        <v>6</v>
      </c>
      <c r="BM61" s="70" t="s">
        <v>1</v>
      </c>
      <c r="BN61" s="60">
        <f t="shared" si="5"/>
        <v>60</v>
      </c>
      <c r="BO61" s="84">
        <f t="shared" si="6"/>
        <v>2</v>
      </c>
      <c r="BP61" s="75">
        <v>200</v>
      </c>
      <c r="BQ61" s="76">
        <v>0</v>
      </c>
      <c r="BR61" s="76">
        <v>0</v>
      </c>
      <c r="BS61" s="76">
        <v>0</v>
      </c>
      <c r="BT61" s="40"/>
      <c r="BU61" s="40"/>
      <c r="BV61" s="77">
        <v>0</v>
      </c>
      <c r="BW61" s="40"/>
      <c r="BX61" s="77">
        <v>0</v>
      </c>
      <c r="BY61" s="40"/>
      <c r="BZ61" s="77"/>
      <c r="CA61" s="40"/>
      <c r="CB61" s="77"/>
      <c r="CC61" s="40"/>
      <c r="CD61" s="40"/>
      <c r="CE61" s="78"/>
      <c r="CF61" s="79" t="s">
        <v>12</v>
      </c>
      <c r="CG61" s="86">
        <v>3.4649999999999999</v>
      </c>
      <c r="CH61" s="86" t="str">
        <f t="shared" si="7"/>
        <v xml:space="preserve"> </v>
      </c>
      <c r="CI61" s="70">
        <f t="shared" si="8"/>
        <v>2.68</v>
      </c>
      <c r="CJ61" s="70">
        <v>0</v>
      </c>
      <c r="CK61" s="70">
        <v>0</v>
      </c>
      <c r="CL61" s="70">
        <v>0</v>
      </c>
      <c r="CM61" s="70">
        <v>0</v>
      </c>
      <c r="CN61" s="70">
        <v>0</v>
      </c>
      <c r="CO61" s="70">
        <v>0</v>
      </c>
      <c r="CP61" s="70">
        <v>0</v>
      </c>
      <c r="CQ61" s="70">
        <v>0</v>
      </c>
      <c r="CR61" s="18">
        <v>0</v>
      </c>
      <c r="CS61" s="70">
        <v>0</v>
      </c>
      <c r="CT61" s="70">
        <v>0</v>
      </c>
      <c r="CU61" s="81">
        <v>1</v>
      </c>
      <c r="CV61" s="70">
        <v>0</v>
      </c>
      <c r="CW61" s="70">
        <v>0</v>
      </c>
      <c r="CX61" s="70">
        <v>0</v>
      </c>
      <c r="CY61" s="70">
        <v>0</v>
      </c>
      <c r="CZ61" s="70">
        <v>0</v>
      </c>
      <c r="DA61" s="70">
        <v>0</v>
      </c>
      <c r="DB61" s="70">
        <v>0</v>
      </c>
      <c r="DC61" s="18">
        <f t="shared" si="9"/>
        <v>1</v>
      </c>
      <c r="DD61" s="82">
        <v>2</v>
      </c>
      <c r="DE61" s="70">
        <v>100</v>
      </c>
      <c r="DF61" s="70">
        <v>0</v>
      </c>
      <c r="DG61" s="70">
        <v>0</v>
      </c>
      <c r="DH61" s="82">
        <v>100</v>
      </c>
      <c r="DI61" s="70" t="s">
        <v>0</v>
      </c>
    </row>
    <row r="62" spans="1:113" s="70" customFormat="1" ht="15" customHeight="1" thickBot="1" x14ac:dyDescent="0.3">
      <c r="A62" s="70">
        <v>144570</v>
      </c>
      <c r="B62" s="70" t="s">
        <v>6</v>
      </c>
      <c r="C62" s="71" t="s">
        <v>15</v>
      </c>
      <c r="D62" s="70">
        <v>60</v>
      </c>
      <c r="E62" s="70">
        <v>0</v>
      </c>
      <c r="F62" s="70">
        <v>60</v>
      </c>
      <c r="G62" s="70">
        <v>2302</v>
      </c>
      <c r="H62" s="70">
        <v>0</v>
      </c>
      <c r="I62" s="70">
        <v>25</v>
      </c>
      <c r="J62" s="49" t="s">
        <v>107</v>
      </c>
      <c r="K62" s="49" t="s">
        <v>106</v>
      </c>
      <c r="L62" s="50">
        <v>45470.413113425901</v>
      </c>
      <c r="M62" s="70">
        <v>0</v>
      </c>
      <c r="N62" s="70">
        <v>0</v>
      </c>
      <c r="O62" s="70">
        <v>0</v>
      </c>
      <c r="R62" s="70" t="s">
        <v>34</v>
      </c>
      <c r="S62" s="70" t="b">
        <v>0</v>
      </c>
      <c r="T62" s="70">
        <v>0.01</v>
      </c>
      <c r="U62" s="83">
        <v>3</v>
      </c>
      <c r="V62" s="70">
        <v>0.01</v>
      </c>
      <c r="W62" s="70">
        <v>0</v>
      </c>
      <c r="X62" s="70">
        <v>1000</v>
      </c>
      <c r="Y62" s="70">
        <v>0</v>
      </c>
      <c r="Z62" s="70">
        <v>10</v>
      </c>
      <c r="AA62" s="70">
        <v>0</v>
      </c>
      <c r="AB62" s="88">
        <v>50</v>
      </c>
      <c r="AC62" s="70">
        <v>0</v>
      </c>
      <c r="AD62" s="70">
        <v>10</v>
      </c>
      <c r="AE62" s="70">
        <v>0</v>
      </c>
      <c r="AF62" s="70">
        <v>2000</v>
      </c>
      <c r="AG62" s="70">
        <v>2</v>
      </c>
      <c r="AH62" s="70">
        <v>3.01</v>
      </c>
      <c r="AI62" s="70">
        <v>461</v>
      </c>
      <c r="AJ62" s="70">
        <v>0</v>
      </c>
      <c r="AK62" s="70">
        <v>60</v>
      </c>
      <c r="AL62" s="70">
        <v>0</v>
      </c>
      <c r="AM62" s="70" t="s">
        <v>2</v>
      </c>
      <c r="AN62" s="70">
        <v>0</v>
      </c>
      <c r="AO62" s="70">
        <v>50</v>
      </c>
      <c r="AP62" s="70">
        <v>0</v>
      </c>
      <c r="AW62" s="70" t="b">
        <v>0</v>
      </c>
      <c r="AZ62" s="70" t="s">
        <v>34</v>
      </c>
      <c r="BB62" s="34"/>
      <c r="BC62" s="70">
        <v>61</v>
      </c>
      <c r="BD62" s="92" t="s">
        <v>99</v>
      </c>
      <c r="BE62" s="34"/>
      <c r="BF62" s="70">
        <v>1</v>
      </c>
      <c r="BG62" s="70">
        <v>1</v>
      </c>
      <c r="BH62" s="70">
        <v>0</v>
      </c>
      <c r="BI62" s="70">
        <v>0</v>
      </c>
      <c r="BJ62" s="70">
        <v>0.55000000000000004</v>
      </c>
      <c r="BK62" s="70">
        <v>5.5</v>
      </c>
      <c r="BL62" s="70">
        <v>6</v>
      </c>
      <c r="BM62" s="70" t="s">
        <v>1</v>
      </c>
      <c r="BN62" s="60">
        <f t="shared" si="5"/>
        <v>60</v>
      </c>
      <c r="BO62" s="84">
        <f t="shared" si="6"/>
        <v>3</v>
      </c>
      <c r="BP62" s="75">
        <v>200</v>
      </c>
      <c r="BQ62" s="76">
        <v>0</v>
      </c>
      <c r="BR62" s="76">
        <v>0</v>
      </c>
      <c r="BS62" s="76">
        <v>0</v>
      </c>
      <c r="BT62" s="40"/>
      <c r="BU62" s="40"/>
      <c r="BV62" s="77">
        <v>0</v>
      </c>
      <c r="BW62" s="40"/>
      <c r="BX62" s="77">
        <v>0</v>
      </c>
      <c r="BY62" s="40"/>
      <c r="BZ62" s="77"/>
      <c r="CA62" s="40"/>
      <c r="CB62" s="77"/>
      <c r="CC62" s="40"/>
      <c r="CD62" s="40"/>
      <c r="CE62" s="78"/>
      <c r="CF62" s="79" t="s">
        <v>12</v>
      </c>
      <c r="CG62" s="70">
        <v>3.5649999999999999</v>
      </c>
      <c r="CH62" s="70" t="str">
        <f t="shared" si="7"/>
        <v xml:space="preserve"> </v>
      </c>
      <c r="CI62" s="70">
        <f t="shared" si="8"/>
        <v>2.68</v>
      </c>
      <c r="CJ62" s="70">
        <v>0</v>
      </c>
      <c r="CK62" s="70">
        <v>0</v>
      </c>
      <c r="CL62" s="70">
        <v>0</v>
      </c>
      <c r="CM62" s="70">
        <v>0</v>
      </c>
      <c r="CN62" s="70">
        <v>0</v>
      </c>
      <c r="CO62" s="70">
        <v>0</v>
      </c>
      <c r="CP62" s="70">
        <v>0</v>
      </c>
      <c r="CQ62" s="70">
        <v>0</v>
      </c>
      <c r="CR62" s="18">
        <v>0</v>
      </c>
      <c r="CS62" s="70">
        <v>0</v>
      </c>
      <c r="CT62" s="70">
        <v>0</v>
      </c>
      <c r="CU62" s="81">
        <v>1</v>
      </c>
      <c r="CV62" s="70">
        <v>0</v>
      </c>
      <c r="CW62" s="70">
        <v>0</v>
      </c>
      <c r="CX62" s="70">
        <v>0</v>
      </c>
      <c r="CY62" s="70">
        <v>0</v>
      </c>
      <c r="CZ62" s="70">
        <v>0</v>
      </c>
      <c r="DA62" s="70">
        <v>0</v>
      </c>
      <c r="DB62" s="70">
        <v>0</v>
      </c>
      <c r="DC62" s="18">
        <f t="shared" si="9"/>
        <v>1</v>
      </c>
      <c r="DD62" s="82">
        <v>2</v>
      </c>
      <c r="DE62" s="70">
        <v>225</v>
      </c>
      <c r="DF62" s="70">
        <v>0</v>
      </c>
      <c r="DG62" s="70">
        <v>0</v>
      </c>
      <c r="DH62" s="82">
        <v>225</v>
      </c>
      <c r="DI62" s="70" t="s">
        <v>0</v>
      </c>
    </row>
    <row r="63" spans="1:113" s="70" customFormat="1" ht="15" customHeight="1" thickBot="1" x14ac:dyDescent="0.3">
      <c r="A63" s="70">
        <v>144571</v>
      </c>
      <c r="B63" s="70" t="s">
        <v>6</v>
      </c>
      <c r="C63" s="71" t="s">
        <v>15</v>
      </c>
      <c r="D63" s="70">
        <v>60</v>
      </c>
      <c r="E63" s="70">
        <v>0</v>
      </c>
      <c r="F63" s="70">
        <v>60</v>
      </c>
      <c r="G63" s="70">
        <v>2303</v>
      </c>
      <c r="H63" s="70">
        <v>0</v>
      </c>
      <c r="I63" s="70">
        <v>25</v>
      </c>
      <c r="J63" s="49" t="s">
        <v>105</v>
      </c>
      <c r="K63" s="49" t="s">
        <v>104</v>
      </c>
      <c r="L63" s="50">
        <v>45470.413148148102</v>
      </c>
      <c r="M63" s="70">
        <v>0</v>
      </c>
      <c r="N63" s="70">
        <v>0</v>
      </c>
      <c r="O63" s="70">
        <v>0</v>
      </c>
      <c r="R63" s="70" t="s">
        <v>34</v>
      </c>
      <c r="S63" s="70" t="b">
        <v>0</v>
      </c>
      <c r="T63" s="70">
        <v>0.01</v>
      </c>
      <c r="U63" s="83">
        <v>3</v>
      </c>
      <c r="V63" s="70">
        <v>0.01</v>
      </c>
      <c r="W63" s="70">
        <v>0</v>
      </c>
      <c r="X63" s="70">
        <v>1000</v>
      </c>
      <c r="Y63" s="70">
        <v>0</v>
      </c>
      <c r="Z63" s="70">
        <v>10</v>
      </c>
      <c r="AA63" s="70">
        <v>0</v>
      </c>
      <c r="AB63" s="88">
        <v>50</v>
      </c>
      <c r="AC63" s="70">
        <v>0</v>
      </c>
      <c r="AD63" s="70">
        <v>10</v>
      </c>
      <c r="AE63" s="70">
        <v>0</v>
      </c>
      <c r="AF63" s="70">
        <v>2000</v>
      </c>
      <c r="AG63" s="70">
        <v>2</v>
      </c>
      <c r="AH63" s="70">
        <v>2.97</v>
      </c>
      <c r="AI63" s="70">
        <v>423</v>
      </c>
      <c r="AJ63" s="70">
        <v>0</v>
      </c>
      <c r="AK63" s="70">
        <v>54</v>
      </c>
      <c r="AL63" s="70">
        <v>0</v>
      </c>
      <c r="AM63" s="70" t="s">
        <v>2</v>
      </c>
      <c r="AN63" s="70">
        <v>0</v>
      </c>
      <c r="AO63" s="70">
        <v>50</v>
      </c>
      <c r="AP63" s="70">
        <v>0</v>
      </c>
      <c r="AW63" s="70" t="b">
        <v>0</v>
      </c>
      <c r="AZ63" s="70" t="s">
        <v>34</v>
      </c>
      <c r="BB63" s="34"/>
      <c r="BC63" s="70">
        <v>62</v>
      </c>
      <c r="BD63" s="92" t="s">
        <v>99</v>
      </c>
      <c r="BE63" s="34"/>
      <c r="BF63" s="70">
        <v>1</v>
      </c>
      <c r="BG63" s="70">
        <v>1</v>
      </c>
      <c r="BH63" s="70">
        <v>0</v>
      </c>
      <c r="BI63" s="70">
        <v>0</v>
      </c>
      <c r="BJ63" s="70">
        <v>0.55000000000000004</v>
      </c>
      <c r="BK63" s="70">
        <v>5.5</v>
      </c>
      <c r="BL63" s="70">
        <v>6</v>
      </c>
      <c r="BM63" s="70" t="s">
        <v>1</v>
      </c>
      <c r="BN63" s="60">
        <f t="shared" si="5"/>
        <v>60</v>
      </c>
      <c r="BO63" s="84">
        <f t="shared" si="6"/>
        <v>3</v>
      </c>
      <c r="BP63" s="75">
        <v>200</v>
      </c>
      <c r="BQ63" s="76">
        <v>0</v>
      </c>
      <c r="BR63" s="76">
        <v>0</v>
      </c>
      <c r="BS63" s="76">
        <v>0</v>
      </c>
      <c r="BT63" s="40"/>
      <c r="BU63" s="40"/>
      <c r="BV63" s="77">
        <v>0</v>
      </c>
      <c r="BW63" s="40"/>
      <c r="BX63" s="77">
        <v>0</v>
      </c>
      <c r="BY63" s="40"/>
      <c r="BZ63" s="77"/>
      <c r="CA63" s="40"/>
      <c r="CB63" s="77"/>
      <c r="CC63" s="40"/>
      <c r="CD63" s="40"/>
      <c r="CE63" s="78"/>
      <c r="CF63" s="79" t="s">
        <v>12</v>
      </c>
      <c r="CG63" s="70">
        <v>3.5484999999999998</v>
      </c>
      <c r="CH63" s="70" t="str">
        <f t="shared" si="7"/>
        <v xml:space="preserve"> </v>
      </c>
      <c r="CI63" s="70">
        <f t="shared" si="8"/>
        <v>2.68</v>
      </c>
      <c r="CJ63" s="70">
        <v>0</v>
      </c>
      <c r="CK63" s="70">
        <v>0</v>
      </c>
      <c r="CL63" s="70">
        <v>0</v>
      </c>
      <c r="CM63" s="70">
        <v>0</v>
      </c>
      <c r="CN63" s="70">
        <v>0</v>
      </c>
      <c r="CO63" s="70">
        <v>0</v>
      </c>
      <c r="CP63" s="70">
        <v>0</v>
      </c>
      <c r="CQ63" s="70">
        <v>0</v>
      </c>
      <c r="CR63" s="18">
        <v>0</v>
      </c>
      <c r="CS63" s="70">
        <v>0</v>
      </c>
      <c r="CT63" s="70">
        <v>0</v>
      </c>
      <c r="CU63" s="81">
        <v>1</v>
      </c>
      <c r="CV63" s="70">
        <v>0</v>
      </c>
      <c r="CW63" s="70">
        <v>0</v>
      </c>
      <c r="CX63" s="70">
        <v>0</v>
      </c>
      <c r="CY63" s="70">
        <v>0</v>
      </c>
      <c r="CZ63" s="70">
        <v>0</v>
      </c>
      <c r="DA63" s="70">
        <v>0</v>
      </c>
      <c r="DB63" s="70">
        <v>0</v>
      </c>
      <c r="DC63" s="18">
        <f t="shared" si="9"/>
        <v>1</v>
      </c>
      <c r="DD63" s="82">
        <v>2</v>
      </c>
      <c r="DE63" s="70">
        <v>225</v>
      </c>
      <c r="DF63" s="70">
        <v>0</v>
      </c>
      <c r="DG63" s="70">
        <v>0</v>
      </c>
      <c r="DH63" s="82">
        <v>225</v>
      </c>
      <c r="DI63" s="70" t="s">
        <v>0</v>
      </c>
    </row>
    <row r="64" spans="1:113" s="70" customFormat="1" ht="15" customHeight="1" thickBot="1" x14ac:dyDescent="0.3">
      <c r="A64" s="70">
        <v>144572</v>
      </c>
      <c r="B64" s="70" t="s">
        <v>6</v>
      </c>
      <c r="C64" s="71" t="s">
        <v>15</v>
      </c>
      <c r="D64" s="70">
        <v>60</v>
      </c>
      <c r="E64" s="70">
        <v>0</v>
      </c>
      <c r="F64" s="70">
        <v>60</v>
      </c>
      <c r="G64" s="70">
        <v>2304</v>
      </c>
      <c r="H64" s="70">
        <v>0</v>
      </c>
      <c r="I64" s="70">
        <v>25</v>
      </c>
      <c r="J64" s="49" t="s">
        <v>103</v>
      </c>
      <c r="K64" s="49" t="s">
        <v>102</v>
      </c>
      <c r="L64" s="50">
        <v>45470.413194444402</v>
      </c>
      <c r="M64" s="70">
        <v>0</v>
      </c>
      <c r="N64" s="70">
        <v>0</v>
      </c>
      <c r="O64" s="70">
        <v>0</v>
      </c>
      <c r="R64" s="70" t="s">
        <v>34</v>
      </c>
      <c r="S64" s="70" t="b">
        <v>0</v>
      </c>
      <c r="T64" s="70">
        <v>0.01</v>
      </c>
      <c r="U64" s="83">
        <v>3</v>
      </c>
      <c r="V64" s="70">
        <v>0.01</v>
      </c>
      <c r="W64" s="70">
        <v>0</v>
      </c>
      <c r="X64" s="70">
        <v>1000</v>
      </c>
      <c r="Y64" s="70">
        <v>0</v>
      </c>
      <c r="Z64" s="70">
        <v>10</v>
      </c>
      <c r="AA64" s="70">
        <v>0</v>
      </c>
      <c r="AB64" s="88">
        <v>50</v>
      </c>
      <c r="AC64" s="70">
        <v>0</v>
      </c>
      <c r="AD64" s="70">
        <v>10</v>
      </c>
      <c r="AE64" s="70">
        <v>0</v>
      </c>
      <c r="AF64" s="70">
        <v>2000</v>
      </c>
      <c r="AG64" s="70">
        <v>2</v>
      </c>
      <c r="AH64" s="70">
        <v>3</v>
      </c>
      <c r="AI64" s="70">
        <v>440</v>
      </c>
      <c r="AJ64" s="70">
        <v>0</v>
      </c>
      <c r="AK64" s="70">
        <v>57</v>
      </c>
      <c r="AL64" s="70">
        <v>0</v>
      </c>
      <c r="AM64" s="70" t="s">
        <v>2</v>
      </c>
      <c r="AN64" s="70">
        <v>0</v>
      </c>
      <c r="AO64" s="70">
        <v>50</v>
      </c>
      <c r="AP64" s="70">
        <v>0</v>
      </c>
      <c r="AW64" s="70" t="b">
        <v>0</v>
      </c>
      <c r="AZ64" s="70" t="s">
        <v>34</v>
      </c>
      <c r="BB64" s="34"/>
      <c r="BC64" s="70">
        <v>63</v>
      </c>
      <c r="BD64" s="92" t="s">
        <v>99</v>
      </c>
      <c r="BE64" s="34"/>
      <c r="BF64" s="70">
        <v>1</v>
      </c>
      <c r="BG64" s="70">
        <v>1</v>
      </c>
      <c r="BH64" s="70">
        <v>0</v>
      </c>
      <c r="BI64" s="70">
        <v>0</v>
      </c>
      <c r="BJ64" s="70">
        <v>0.55000000000000004</v>
      </c>
      <c r="BK64" s="70">
        <v>5.5</v>
      </c>
      <c r="BL64" s="70">
        <v>6</v>
      </c>
      <c r="BM64" s="70" t="s">
        <v>1</v>
      </c>
      <c r="BN64" s="60">
        <f t="shared" si="5"/>
        <v>60</v>
      </c>
      <c r="BO64" s="84">
        <f t="shared" si="6"/>
        <v>3</v>
      </c>
      <c r="BP64" s="75">
        <v>200</v>
      </c>
      <c r="BQ64" s="76">
        <v>0</v>
      </c>
      <c r="BR64" s="76">
        <v>0</v>
      </c>
      <c r="BS64" s="76">
        <v>0</v>
      </c>
      <c r="BT64" s="40"/>
      <c r="BU64" s="40"/>
      <c r="BV64" s="77">
        <v>0</v>
      </c>
      <c r="BW64" s="40"/>
      <c r="BX64" s="77">
        <v>0</v>
      </c>
      <c r="BY64" s="40"/>
      <c r="BZ64" s="77"/>
      <c r="CA64" s="40"/>
      <c r="CB64" s="77"/>
      <c r="CC64" s="40"/>
      <c r="CD64" s="40"/>
      <c r="CE64" s="78"/>
      <c r="CF64" s="79" t="s">
        <v>12</v>
      </c>
      <c r="CG64" s="86">
        <v>3.298</v>
      </c>
      <c r="CH64" s="86" t="str">
        <f t="shared" si="7"/>
        <v xml:space="preserve"> </v>
      </c>
      <c r="CI64" s="70">
        <f t="shared" si="8"/>
        <v>2.68</v>
      </c>
      <c r="CJ64" s="70">
        <v>0</v>
      </c>
      <c r="CK64" s="70">
        <v>0</v>
      </c>
      <c r="CL64" s="70">
        <v>0</v>
      </c>
      <c r="CM64" s="70">
        <v>0</v>
      </c>
      <c r="CN64" s="70">
        <v>0</v>
      </c>
      <c r="CO64" s="70">
        <v>0</v>
      </c>
      <c r="CP64" s="70">
        <v>0</v>
      </c>
      <c r="CQ64" s="70">
        <v>0</v>
      </c>
      <c r="CR64" s="18">
        <v>0</v>
      </c>
      <c r="CS64" s="70">
        <v>0</v>
      </c>
      <c r="CT64" s="70">
        <v>0</v>
      </c>
      <c r="CU64" s="81">
        <v>1</v>
      </c>
      <c r="CV64" s="70">
        <v>0</v>
      </c>
      <c r="CW64" s="70">
        <v>0</v>
      </c>
      <c r="CX64" s="70">
        <v>0</v>
      </c>
      <c r="CY64" s="70">
        <v>0</v>
      </c>
      <c r="CZ64" s="70">
        <v>0</v>
      </c>
      <c r="DA64" s="70">
        <v>0</v>
      </c>
      <c r="DB64" s="70">
        <v>0</v>
      </c>
      <c r="DC64" s="18">
        <f t="shared" si="9"/>
        <v>1</v>
      </c>
      <c r="DD64" s="82">
        <v>2</v>
      </c>
      <c r="DE64" s="86">
        <v>225</v>
      </c>
      <c r="DF64" s="86">
        <v>0</v>
      </c>
      <c r="DG64" s="86">
        <v>0</v>
      </c>
      <c r="DH64" s="93">
        <v>225</v>
      </c>
      <c r="DI64" s="70" t="s">
        <v>0</v>
      </c>
    </row>
    <row r="65" spans="1:113" s="70" customFormat="1" ht="15" customHeight="1" thickBot="1" x14ac:dyDescent="0.3">
      <c r="A65" s="70">
        <v>144573</v>
      </c>
      <c r="B65" s="70" t="s">
        <v>6</v>
      </c>
      <c r="C65" s="71" t="s">
        <v>15</v>
      </c>
      <c r="D65" s="70">
        <v>60</v>
      </c>
      <c r="E65" s="70">
        <v>0</v>
      </c>
      <c r="F65" s="70">
        <v>60</v>
      </c>
      <c r="G65" s="70">
        <v>2305</v>
      </c>
      <c r="H65" s="70">
        <v>0</v>
      </c>
      <c r="I65" s="70">
        <v>25</v>
      </c>
      <c r="J65" s="49" t="s">
        <v>101</v>
      </c>
      <c r="K65" s="49" t="s">
        <v>100</v>
      </c>
      <c r="L65" s="50">
        <v>45470.413240740701</v>
      </c>
      <c r="M65" s="70">
        <v>0</v>
      </c>
      <c r="N65" s="70">
        <v>0</v>
      </c>
      <c r="O65" s="70">
        <v>0</v>
      </c>
      <c r="R65" s="70" t="s">
        <v>34</v>
      </c>
      <c r="S65" s="70" t="b">
        <v>0</v>
      </c>
      <c r="T65" s="70">
        <v>0.01</v>
      </c>
      <c r="U65" s="83">
        <v>3</v>
      </c>
      <c r="V65" s="70">
        <v>0.01</v>
      </c>
      <c r="W65" s="70">
        <v>0</v>
      </c>
      <c r="X65" s="70">
        <v>1000</v>
      </c>
      <c r="Y65" s="70">
        <v>0</v>
      </c>
      <c r="Z65" s="70">
        <v>10</v>
      </c>
      <c r="AA65" s="70">
        <v>0</v>
      </c>
      <c r="AB65" s="88">
        <v>50</v>
      </c>
      <c r="AC65" s="70">
        <v>0</v>
      </c>
      <c r="AD65" s="70">
        <v>10</v>
      </c>
      <c r="AE65" s="70">
        <v>0</v>
      </c>
      <c r="AF65" s="70">
        <v>2000</v>
      </c>
      <c r="AG65" s="70">
        <v>2</v>
      </c>
      <c r="AH65" s="70">
        <v>2.99</v>
      </c>
      <c r="AI65" s="70">
        <v>427</v>
      </c>
      <c r="AJ65" s="70">
        <v>0</v>
      </c>
      <c r="AK65" s="70">
        <v>55</v>
      </c>
      <c r="AL65" s="70">
        <v>0</v>
      </c>
      <c r="AM65" s="70" t="s">
        <v>2</v>
      </c>
      <c r="AN65" s="70">
        <v>0</v>
      </c>
      <c r="AO65" s="70">
        <v>50</v>
      </c>
      <c r="AP65" s="70">
        <v>0</v>
      </c>
      <c r="AW65" s="70" t="b">
        <v>0</v>
      </c>
      <c r="AZ65" s="70" t="s">
        <v>34</v>
      </c>
      <c r="BB65" s="34"/>
      <c r="BC65" s="70">
        <v>64</v>
      </c>
      <c r="BD65" s="92" t="s">
        <v>99</v>
      </c>
      <c r="BE65" s="34"/>
      <c r="BF65" s="70">
        <v>1</v>
      </c>
      <c r="BG65" s="70">
        <v>1</v>
      </c>
      <c r="BH65" s="70">
        <v>0</v>
      </c>
      <c r="BI65" s="70">
        <v>0</v>
      </c>
      <c r="BJ65" s="70">
        <v>0.55000000000000004</v>
      </c>
      <c r="BK65" s="70">
        <v>5.5</v>
      </c>
      <c r="BL65" s="70">
        <v>6</v>
      </c>
      <c r="BM65" s="70" t="s">
        <v>1</v>
      </c>
      <c r="BN65" s="60">
        <f t="shared" si="5"/>
        <v>60</v>
      </c>
      <c r="BO65" s="84">
        <f t="shared" si="6"/>
        <v>3</v>
      </c>
      <c r="BP65" s="75">
        <v>200</v>
      </c>
      <c r="BQ65" s="76">
        <v>0</v>
      </c>
      <c r="BR65" s="76">
        <v>0</v>
      </c>
      <c r="BS65" s="76">
        <v>0</v>
      </c>
      <c r="BT65" s="40"/>
      <c r="BU65" s="40"/>
      <c r="BV65" s="77">
        <v>0</v>
      </c>
      <c r="BW65" s="40"/>
      <c r="BX65" s="77">
        <v>0</v>
      </c>
      <c r="BY65" s="40"/>
      <c r="BZ65" s="77"/>
      <c r="CA65" s="40"/>
      <c r="CB65" s="77"/>
      <c r="CC65" s="40"/>
      <c r="CD65" s="40"/>
      <c r="CE65" s="78"/>
      <c r="CF65" s="79" t="s">
        <v>12</v>
      </c>
      <c r="CG65" s="86">
        <v>3.5185</v>
      </c>
      <c r="CH65" s="86" t="str">
        <f t="shared" si="7"/>
        <v xml:space="preserve"> </v>
      </c>
      <c r="CI65" s="70">
        <f t="shared" si="8"/>
        <v>2.68</v>
      </c>
      <c r="CJ65" s="70">
        <v>0</v>
      </c>
      <c r="CK65" s="70">
        <v>0</v>
      </c>
      <c r="CL65" s="70">
        <v>0</v>
      </c>
      <c r="CM65" s="70">
        <v>0</v>
      </c>
      <c r="CN65" s="70">
        <v>0</v>
      </c>
      <c r="CO65" s="70">
        <v>0</v>
      </c>
      <c r="CP65" s="70">
        <v>0</v>
      </c>
      <c r="CQ65" s="70">
        <v>0</v>
      </c>
      <c r="CR65" s="18">
        <v>0</v>
      </c>
      <c r="CS65" s="70">
        <v>0</v>
      </c>
      <c r="CT65" s="70">
        <v>0</v>
      </c>
      <c r="CU65" s="81">
        <v>1</v>
      </c>
      <c r="CV65" s="70">
        <v>0</v>
      </c>
      <c r="CW65" s="70">
        <v>0</v>
      </c>
      <c r="CX65" s="70">
        <v>0</v>
      </c>
      <c r="CY65" s="70">
        <v>0</v>
      </c>
      <c r="CZ65" s="70">
        <v>0</v>
      </c>
      <c r="DA65" s="70">
        <v>0</v>
      </c>
      <c r="DB65" s="70">
        <v>0</v>
      </c>
      <c r="DC65" s="18">
        <f t="shared" si="9"/>
        <v>1</v>
      </c>
      <c r="DD65" s="82">
        <v>2</v>
      </c>
      <c r="DE65" s="70">
        <v>225</v>
      </c>
      <c r="DF65" s="70">
        <v>0</v>
      </c>
      <c r="DG65" s="70">
        <v>0</v>
      </c>
      <c r="DH65" s="82">
        <v>225</v>
      </c>
      <c r="DI65" s="70" t="s">
        <v>0</v>
      </c>
    </row>
    <row r="66" spans="1:113" s="70" customFormat="1" ht="15" customHeight="1" thickBot="1" x14ac:dyDescent="0.3">
      <c r="A66" s="70">
        <v>298689</v>
      </c>
      <c r="B66" s="70" t="s">
        <v>6</v>
      </c>
      <c r="C66" s="71" t="s">
        <v>15</v>
      </c>
      <c r="D66" s="70">
        <v>60</v>
      </c>
      <c r="E66" s="70">
        <v>0</v>
      </c>
      <c r="F66" s="70">
        <v>60</v>
      </c>
      <c r="G66" s="70">
        <v>1</v>
      </c>
      <c r="H66" s="70">
        <v>0</v>
      </c>
      <c r="I66" s="70">
        <v>25</v>
      </c>
      <c r="J66" s="49" t="s">
        <v>98</v>
      </c>
      <c r="K66" s="49" t="s">
        <v>97</v>
      </c>
      <c r="L66" s="50">
        <v>45706.672916666699</v>
      </c>
      <c r="M66" s="70">
        <v>0</v>
      </c>
      <c r="N66" s="70">
        <v>0</v>
      </c>
      <c r="O66" s="70">
        <v>0</v>
      </c>
      <c r="R66" s="70" t="s">
        <v>34</v>
      </c>
      <c r="S66" s="70" t="b">
        <v>0</v>
      </c>
      <c r="T66" s="70">
        <v>2</v>
      </c>
      <c r="U66" s="94">
        <v>6</v>
      </c>
      <c r="V66" s="70">
        <v>3</v>
      </c>
      <c r="W66" s="70">
        <v>0</v>
      </c>
      <c r="X66" s="70">
        <v>1000</v>
      </c>
      <c r="Z66" s="70">
        <v>10</v>
      </c>
      <c r="AB66" s="95">
        <v>50</v>
      </c>
      <c r="AF66" s="70">
        <v>2000</v>
      </c>
      <c r="AG66" s="70">
        <v>2</v>
      </c>
      <c r="AH66" s="70">
        <v>6.35</v>
      </c>
      <c r="AI66" s="70">
        <v>711</v>
      </c>
      <c r="AJ66" s="70">
        <v>0</v>
      </c>
      <c r="AK66" s="70">
        <v>208</v>
      </c>
      <c r="AM66" s="70" t="s">
        <v>2</v>
      </c>
      <c r="AO66" s="70">
        <v>50</v>
      </c>
      <c r="AW66" s="70" t="b">
        <v>0</v>
      </c>
      <c r="AZ66" s="70" t="s">
        <v>34</v>
      </c>
      <c r="BB66" s="34"/>
      <c r="BC66" s="70">
        <v>65</v>
      </c>
      <c r="BD66" s="92" t="s">
        <v>76</v>
      </c>
      <c r="BE66" s="34"/>
      <c r="BF66" s="70">
        <v>1</v>
      </c>
      <c r="BG66" s="70">
        <v>1</v>
      </c>
      <c r="BH66" s="70">
        <v>0</v>
      </c>
      <c r="BI66" s="70">
        <v>0</v>
      </c>
      <c r="BJ66" s="70">
        <v>0.55000000000000004</v>
      </c>
      <c r="BK66" s="70">
        <v>5.5</v>
      </c>
      <c r="BL66" s="70">
        <v>6</v>
      </c>
      <c r="BM66" s="70" t="s">
        <v>1</v>
      </c>
      <c r="BN66" s="60">
        <f t="shared" si="5"/>
        <v>60</v>
      </c>
      <c r="BO66" s="74">
        <f t="shared" si="6"/>
        <v>6</v>
      </c>
      <c r="BP66" s="75">
        <v>250</v>
      </c>
      <c r="BQ66" s="76">
        <v>4.085</v>
      </c>
      <c r="BR66" s="76">
        <v>4.13</v>
      </c>
      <c r="BS66" s="76">
        <v>4.1074999999999999</v>
      </c>
      <c r="BT66" s="40"/>
      <c r="BU66" s="40"/>
      <c r="BV66" s="77"/>
      <c r="BW66" s="40"/>
      <c r="BX66" s="77"/>
      <c r="BY66" s="40"/>
      <c r="BZ66" s="77"/>
      <c r="CA66" s="40"/>
      <c r="CB66" s="77"/>
      <c r="CC66" s="40"/>
      <c r="CD66" s="40"/>
      <c r="CE66" s="78"/>
      <c r="CF66" s="79" t="s">
        <v>676</v>
      </c>
      <c r="CG66" s="70">
        <v>4.1074999999999999</v>
      </c>
      <c r="CH66" s="70" t="str">
        <f t="shared" si="7"/>
        <v xml:space="preserve"> </v>
      </c>
      <c r="CI66" s="70">
        <f t="shared" si="8"/>
        <v>2.68</v>
      </c>
      <c r="CJ66" s="70">
        <v>0</v>
      </c>
      <c r="CR66" s="18">
        <v>1</v>
      </c>
      <c r="CS66" s="70">
        <v>0</v>
      </c>
      <c r="CT66" s="70">
        <v>0</v>
      </c>
      <c r="CU66" s="81">
        <v>0</v>
      </c>
      <c r="CV66" s="70">
        <v>0</v>
      </c>
      <c r="CW66" s="70">
        <v>0</v>
      </c>
      <c r="CX66" s="70">
        <v>0</v>
      </c>
      <c r="CY66" s="70">
        <v>0</v>
      </c>
      <c r="CZ66" s="70">
        <v>0</v>
      </c>
      <c r="DA66" s="70">
        <v>0</v>
      </c>
      <c r="DB66" s="70">
        <v>0</v>
      </c>
      <c r="DC66" s="18">
        <f t="shared" si="9"/>
        <v>1</v>
      </c>
      <c r="DD66" s="82">
        <v>1</v>
      </c>
      <c r="DH66" s="82"/>
      <c r="DI66" s="70" t="s">
        <v>0</v>
      </c>
    </row>
    <row r="67" spans="1:113" s="70" customFormat="1" ht="15" customHeight="1" thickBot="1" x14ac:dyDescent="0.3">
      <c r="A67" s="70">
        <v>298690</v>
      </c>
      <c r="B67" s="70" t="s">
        <v>6</v>
      </c>
      <c r="C67" s="71" t="s">
        <v>15</v>
      </c>
      <c r="D67" s="70">
        <v>60</v>
      </c>
      <c r="E67" s="70">
        <v>0</v>
      </c>
      <c r="F67" s="70">
        <v>60</v>
      </c>
      <c r="G67" s="70">
        <v>2</v>
      </c>
      <c r="H67" s="70">
        <v>0</v>
      </c>
      <c r="I67" s="70">
        <v>25</v>
      </c>
      <c r="J67" s="49" t="s">
        <v>96</v>
      </c>
      <c r="K67" s="49" t="s">
        <v>95</v>
      </c>
      <c r="L67" s="50">
        <v>45706.673310185201</v>
      </c>
      <c r="M67" s="70">
        <v>0</v>
      </c>
      <c r="N67" s="70">
        <v>0</v>
      </c>
      <c r="O67" s="70">
        <v>0</v>
      </c>
      <c r="R67" s="70" t="s">
        <v>34</v>
      </c>
      <c r="S67" s="70" t="b">
        <v>0</v>
      </c>
      <c r="T67" s="70">
        <v>2</v>
      </c>
      <c r="U67" s="83">
        <v>5</v>
      </c>
      <c r="V67" s="70">
        <v>3</v>
      </c>
      <c r="W67" s="70">
        <v>0</v>
      </c>
      <c r="X67" s="70">
        <v>1000</v>
      </c>
      <c r="Z67" s="70">
        <v>10</v>
      </c>
      <c r="AB67" s="95">
        <v>50</v>
      </c>
      <c r="AF67" s="70">
        <v>2000</v>
      </c>
      <c r="AG67" s="70">
        <v>2</v>
      </c>
      <c r="AH67" s="70">
        <v>5.24</v>
      </c>
      <c r="AI67" s="70">
        <v>639</v>
      </c>
      <c r="AJ67" s="70">
        <v>0</v>
      </c>
      <c r="AK67" s="70">
        <v>153</v>
      </c>
      <c r="AM67" s="70" t="s">
        <v>2</v>
      </c>
      <c r="AO67" s="70">
        <v>50</v>
      </c>
      <c r="AW67" s="70" t="b">
        <v>0</v>
      </c>
      <c r="AZ67" s="70" t="s">
        <v>34</v>
      </c>
      <c r="BB67" s="34"/>
      <c r="BC67" s="70">
        <v>66</v>
      </c>
      <c r="BD67" s="92" t="s">
        <v>76</v>
      </c>
      <c r="BE67" s="34"/>
      <c r="BF67" s="70">
        <v>1</v>
      </c>
      <c r="BG67" s="70">
        <v>1</v>
      </c>
      <c r="BH67" s="70">
        <v>0</v>
      </c>
      <c r="BI67" s="70">
        <v>0</v>
      </c>
      <c r="BJ67" s="70">
        <v>0.55000000000000004</v>
      </c>
      <c r="BK67" s="70">
        <v>5.5</v>
      </c>
      <c r="BL67" s="70">
        <v>6</v>
      </c>
      <c r="BM67" s="70" t="s">
        <v>1</v>
      </c>
      <c r="BN67" s="60">
        <f t="shared" si="5"/>
        <v>60</v>
      </c>
      <c r="BO67" s="84">
        <f t="shared" si="6"/>
        <v>5</v>
      </c>
      <c r="BP67" s="75">
        <v>250</v>
      </c>
      <c r="BQ67" s="76">
        <v>3.0379999999999998</v>
      </c>
      <c r="BR67" s="76">
        <v>2.92</v>
      </c>
      <c r="BS67" s="76">
        <v>2.9790000000000001</v>
      </c>
      <c r="BT67" s="40"/>
      <c r="BU67" s="40"/>
      <c r="BV67" s="77"/>
      <c r="BW67" s="40"/>
      <c r="BX67" s="77"/>
      <c r="BY67" s="40"/>
      <c r="BZ67" s="77"/>
      <c r="CA67" s="40"/>
      <c r="CB67" s="77"/>
      <c r="CC67" s="40"/>
      <c r="CD67" s="40"/>
      <c r="CE67" s="78"/>
      <c r="CF67" s="79" t="s">
        <v>676</v>
      </c>
      <c r="CG67" s="70">
        <v>2.9790000000000001</v>
      </c>
      <c r="CH67" s="70" t="str">
        <f t="shared" si="7"/>
        <v xml:space="preserve"> </v>
      </c>
      <c r="CI67" s="70">
        <f t="shared" si="8"/>
        <v>2.68</v>
      </c>
      <c r="CJ67" s="70">
        <v>0</v>
      </c>
      <c r="CR67" s="18">
        <v>1</v>
      </c>
      <c r="CS67" s="70">
        <v>0</v>
      </c>
      <c r="CT67" s="70">
        <v>0</v>
      </c>
      <c r="CU67" s="81">
        <v>0</v>
      </c>
      <c r="CV67" s="70">
        <v>0</v>
      </c>
      <c r="CW67" s="70">
        <v>0</v>
      </c>
      <c r="CX67" s="70">
        <v>0</v>
      </c>
      <c r="CY67" s="70">
        <v>0</v>
      </c>
      <c r="CZ67" s="70">
        <v>0</v>
      </c>
      <c r="DA67" s="70">
        <v>0</v>
      </c>
      <c r="DB67" s="70">
        <v>0</v>
      </c>
      <c r="DC67" s="18">
        <f t="shared" si="9"/>
        <v>1</v>
      </c>
      <c r="DD67" s="82">
        <v>1</v>
      </c>
      <c r="DH67" s="82"/>
      <c r="DI67" s="70" t="s">
        <v>0</v>
      </c>
    </row>
    <row r="68" spans="1:113" s="70" customFormat="1" ht="15" customHeight="1" thickBot="1" x14ac:dyDescent="0.3">
      <c r="A68" s="70">
        <v>298691</v>
      </c>
      <c r="B68" s="70" t="s">
        <v>6</v>
      </c>
      <c r="C68" s="71" t="s">
        <v>15</v>
      </c>
      <c r="D68" s="70">
        <v>60</v>
      </c>
      <c r="E68" s="70">
        <v>0</v>
      </c>
      <c r="F68" s="70">
        <v>60</v>
      </c>
      <c r="G68" s="70">
        <v>3</v>
      </c>
      <c r="H68" s="70">
        <v>0</v>
      </c>
      <c r="I68" s="70">
        <v>25</v>
      </c>
      <c r="J68" s="49" t="s">
        <v>94</v>
      </c>
      <c r="K68" s="49" t="s">
        <v>93</v>
      </c>
      <c r="L68" s="50">
        <v>45706.673460648097</v>
      </c>
      <c r="M68" s="70">
        <v>0</v>
      </c>
      <c r="N68" s="70">
        <v>0</v>
      </c>
      <c r="O68" s="70">
        <v>0</v>
      </c>
      <c r="R68" s="70" t="s">
        <v>34</v>
      </c>
      <c r="S68" s="70" t="b">
        <v>0</v>
      </c>
      <c r="T68" s="70">
        <v>2</v>
      </c>
      <c r="U68" s="83">
        <v>3</v>
      </c>
      <c r="V68" s="70">
        <v>3</v>
      </c>
      <c r="W68" s="70">
        <v>0</v>
      </c>
      <c r="X68" s="70">
        <v>1000</v>
      </c>
      <c r="Z68" s="70">
        <v>10</v>
      </c>
      <c r="AB68" s="95">
        <v>50</v>
      </c>
      <c r="AF68" s="70">
        <v>2000</v>
      </c>
      <c r="AG68" s="70">
        <v>2</v>
      </c>
      <c r="AH68" s="70">
        <v>3.1</v>
      </c>
      <c r="AI68" s="70">
        <v>550</v>
      </c>
      <c r="AJ68" s="70">
        <v>0</v>
      </c>
      <c r="AK68" s="70">
        <v>76</v>
      </c>
      <c r="AM68" s="70" t="s">
        <v>2</v>
      </c>
      <c r="AO68" s="70">
        <v>50</v>
      </c>
      <c r="AW68" s="70" t="b">
        <v>0</v>
      </c>
      <c r="AZ68" s="70" t="s">
        <v>34</v>
      </c>
      <c r="BB68" s="34"/>
      <c r="BC68" s="70">
        <v>67</v>
      </c>
      <c r="BD68" s="92" t="s">
        <v>76</v>
      </c>
      <c r="BE68" s="34"/>
      <c r="BF68" s="70">
        <v>1</v>
      </c>
      <c r="BG68" s="70">
        <v>1</v>
      </c>
      <c r="BH68" s="70">
        <v>0</v>
      </c>
      <c r="BI68" s="70">
        <v>0</v>
      </c>
      <c r="BJ68" s="70">
        <v>0.55000000000000004</v>
      </c>
      <c r="BK68" s="70">
        <v>5.5</v>
      </c>
      <c r="BL68" s="70">
        <v>6</v>
      </c>
      <c r="BM68" s="70" t="s">
        <v>1</v>
      </c>
      <c r="BN68" s="60">
        <f t="shared" ref="BN68:BN99" si="10">D68</f>
        <v>60</v>
      </c>
      <c r="BO68" s="84">
        <f t="shared" ref="BO68:BO99" si="11">U68</f>
        <v>3</v>
      </c>
      <c r="BP68" s="75">
        <v>250</v>
      </c>
      <c r="BQ68" s="76">
        <v>0</v>
      </c>
      <c r="BR68" s="76">
        <v>0</v>
      </c>
      <c r="BS68" s="76">
        <v>0</v>
      </c>
      <c r="BT68" s="40"/>
      <c r="BU68" s="40"/>
      <c r="BV68" s="77"/>
      <c r="BW68" s="40"/>
      <c r="BX68" s="77"/>
      <c r="BY68" s="40"/>
      <c r="BZ68" s="77"/>
      <c r="CA68" s="40"/>
      <c r="CB68" s="77"/>
      <c r="CC68" s="40"/>
      <c r="CD68" s="40"/>
      <c r="CE68" s="78"/>
      <c r="CF68" s="79" t="s">
        <v>12</v>
      </c>
      <c r="CG68" s="70">
        <v>0</v>
      </c>
      <c r="CH68" s="70" t="str">
        <f t="shared" ref="CH68:CH96" si="12" xml:space="preserve"> IF(DI68="D", " ",BT68)</f>
        <v xml:space="preserve"> </v>
      </c>
      <c r="CI68" s="70">
        <f t="shared" ref="CI68:CI99" si="13">IF(MIN(BF68,BJ68)=0.55,  2.68,          IF(MIN(BF68,BJ68)=0.8,     3.56,          IF(MIN(BF68,BJ68)=0.9,      3.81,             IF(MIN(BF68,BJ68)=1,     4.06,                IF(MIN(BF68,BJ68)=1.2,        4.57,             IF(MIN(BF68,BJ68)=1.6,          5.08  ))))))</f>
        <v>2.68</v>
      </c>
      <c r="CJ68" s="70">
        <v>0</v>
      </c>
      <c r="CR68" s="18">
        <v>0</v>
      </c>
      <c r="CS68" s="70">
        <v>0</v>
      </c>
      <c r="CT68" s="70">
        <v>0</v>
      </c>
      <c r="CU68" s="81">
        <v>1</v>
      </c>
      <c r="CV68" s="70">
        <v>0</v>
      </c>
      <c r="CW68" s="70">
        <v>0</v>
      </c>
      <c r="CX68" s="70">
        <v>0</v>
      </c>
      <c r="CY68" s="70">
        <v>0</v>
      </c>
      <c r="CZ68" s="70">
        <v>0</v>
      </c>
      <c r="DA68" s="70">
        <v>0</v>
      </c>
      <c r="DB68" s="70">
        <v>0</v>
      </c>
      <c r="DC68" s="18">
        <f t="shared" ref="DC68:DC99" si="14">IF(CR68 + CU68 + CJ68 &gt; 0, 1,0)</f>
        <v>1</v>
      </c>
      <c r="DD68" s="82">
        <v>2</v>
      </c>
      <c r="DH68" s="82"/>
      <c r="DI68" s="70" t="s">
        <v>0</v>
      </c>
    </row>
    <row r="69" spans="1:113" s="70" customFormat="1" ht="15" customHeight="1" thickBot="1" x14ac:dyDescent="0.3">
      <c r="A69" s="70">
        <v>298692</v>
      </c>
      <c r="B69" s="70" t="s">
        <v>6</v>
      </c>
      <c r="C69" s="71" t="s">
        <v>15</v>
      </c>
      <c r="D69" s="70">
        <v>60</v>
      </c>
      <c r="E69" s="70">
        <v>0</v>
      </c>
      <c r="F69" s="70">
        <v>60</v>
      </c>
      <c r="G69" s="70">
        <v>4</v>
      </c>
      <c r="H69" s="70">
        <v>0</v>
      </c>
      <c r="I69" s="70">
        <v>25</v>
      </c>
      <c r="J69" s="49" t="s">
        <v>92</v>
      </c>
      <c r="K69" s="49" t="s">
        <v>91</v>
      </c>
      <c r="L69" s="50">
        <v>45706.673564814802</v>
      </c>
      <c r="M69" s="70">
        <v>0</v>
      </c>
      <c r="N69" s="70">
        <v>0</v>
      </c>
      <c r="O69" s="70">
        <v>0</v>
      </c>
      <c r="R69" s="70" t="s">
        <v>34</v>
      </c>
      <c r="S69" s="70" t="b">
        <v>0</v>
      </c>
      <c r="T69" s="70">
        <v>2</v>
      </c>
      <c r="U69" s="83">
        <v>2</v>
      </c>
      <c r="V69" s="70">
        <v>3</v>
      </c>
      <c r="W69" s="70">
        <v>0</v>
      </c>
      <c r="X69" s="70">
        <v>1000</v>
      </c>
      <c r="Z69" s="70">
        <v>10</v>
      </c>
      <c r="AB69" s="95">
        <v>50</v>
      </c>
      <c r="AF69" s="70">
        <v>2000</v>
      </c>
      <c r="AG69" s="70">
        <v>2</v>
      </c>
      <c r="AH69" s="70">
        <v>2.0299999999999998</v>
      </c>
      <c r="AI69" s="70">
        <v>449</v>
      </c>
      <c r="AJ69" s="70">
        <v>0</v>
      </c>
      <c r="AK69" s="70">
        <v>39</v>
      </c>
      <c r="AM69" s="70" t="s">
        <v>2</v>
      </c>
      <c r="AO69" s="70">
        <v>50</v>
      </c>
      <c r="AW69" s="70" t="b">
        <v>0</v>
      </c>
      <c r="AZ69" s="70" t="s">
        <v>34</v>
      </c>
      <c r="BB69" s="34"/>
      <c r="BC69" s="70">
        <v>68</v>
      </c>
      <c r="BD69" s="92" t="s">
        <v>76</v>
      </c>
      <c r="BE69" s="34"/>
      <c r="BF69" s="70">
        <v>1</v>
      </c>
      <c r="BG69" s="70">
        <v>1</v>
      </c>
      <c r="BH69" s="70">
        <v>0</v>
      </c>
      <c r="BI69" s="70">
        <v>0</v>
      </c>
      <c r="BJ69" s="70">
        <v>0.55000000000000004</v>
      </c>
      <c r="BK69" s="70">
        <v>5.5</v>
      </c>
      <c r="BL69" s="70">
        <v>6</v>
      </c>
      <c r="BM69" s="70" t="s">
        <v>1</v>
      </c>
      <c r="BN69" s="60">
        <f t="shared" si="10"/>
        <v>60</v>
      </c>
      <c r="BO69" s="84">
        <f t="shared" si="11"/>
        <v>2</v>
      </c>
      <c r="BP69" s="75">
        <v>250</v>
      </c>
      <c r="BQ69" s="76">
        <v>0</v>
      </c>
      <c r="BR69" s="76">
        <v>0</v>
      </c>
      <c r="BS69" s="76">
        <v>0</v>
      </c>
      <c r="BT69" s="40"/>
      <c r="BU69" s="40"/>
      <c r="BV69" s="77"/>
      <c r="BW69" s="40"/>
      <c r="BX69" s="77"/>
      <c r="BY69" s="40"/>
      <c r="BZ69" s="77"/>
      <c r="CA69" s="40"/>
      <c r="CB69" s="77"/>
      <c r="CC69" s="40"/>
      <c r="CD69" s="40"/>
      <c r="CE69" s="78"/>
      <c r="CF69" s="79" t="s">
        <v>12</v>
      </c>
      <c r="CG69" s="70">
        <v>0</v>
      </c>
      <c r="CH69" s="70" t="str">
        <f t="shared" si="12"/>
        <v xml:space="preserve"> </v>
      </c>
      <c r="CI69" s="70">
        <f t="shared" si="13"/>
        <v>2.68</v>
      </c>
      <c r="CJ69" s="70">
        <v>0</v>
      </c>
      <c r="CR69" s="18">
        <v>0</v>
      </c>
      <c r="CS69" s="70">
        <v>0</v>
      </c>
      <c r="CT69" s="70">
        <v>0</v>
      </c>
      <c r="CU69" s="81">
        <v>1</v>
      </c>
      <c r="CV69" s="70">
        <v>0</v>
      </c>
      <c r="CW69" s="70">
        <v>0</v>
      </c>
      <c r="CX69" s="70">
        <v>0</v>
      </c>
      <c r="CY69" s="70">
        <v>0</v>
      </c>
      <c r="CZ69" s="70">
        <v>0</v>
      </c>
      <c r="DA69" s="70">
        <v>0</v>
      </c>
      <c r="DB69" s="70">
        <v>0</v>
      </c>
      <c r="DC69" s="18">
        <f t="shared" si="14"/>
        <v>1</v>
      </c>
      <c r="DD69" s="82">
        <v>2</v>
      </c>
      <c r="DH69" s="82"/>
      <c r="DI69" s="70" t="s">
        <v>0</v>
      </c>
    </row>
    <row r="70" spans="1:113" s="70" customFormat="1" ht="15" customHeight="1" thickBot="1" x14ac:dyDescent="0.3">
      <c r="A70" s="70">
        <v>298693</v>
      </c>
      <c r="B70" s="70" t="s">
        <v>6</v>
      </c>
      <c r="C70" s="71" t="s">
        <v>15</v>
      </c>
      <c r="D70" s="70">
        <v>60</v>
      </c>
      <c r="E70" s="70">
        <v>0</v>
      </c>
      <c r="F70" s="70">
        <v>60</v>
      </c>
      <c r="G70" s="70">
        <v>5</v>
      </c>
      <c r="H70" s="70">
        <v>0</v>
      </c>
      <c r="I70" s="70">
        <v>30</v>
      </c>
      <c r="J70" s="49" t="s">
        <v>90</v>
      </c>
      <c r="K70" s="49" t="s">
        <v>89</v>
      </c>
      <c r="L70" s="50">
        <v>45706.683032407404</v>
      </c>
      <c r="M70" s="70">
        <v>0</v>
      </c>
      <c r="N70" s="70">
        <v>0</v>
      </c>
      <c r="O70" s="70">
        <v>0</v>
      </c>
      <c r="R70" s="70" t="s">
        <v>34</v>
      </c>
      <c r="S70" s="70" t="b">
        <v>0</v>
      </c>
      <c r="T70" s="70">
        <v>2</v>
      </c>
      <c r="U70" s="94">
        <v>6</v>
      </c>
      <c r="V70" s="70">
        <v>3</v>
      </c>
      <c r="W70" s="70">
        <v>0</v>
      </c>
      <c r="X70" s="70">
        <v>1000</v>
      </c>
      <c r="Z70" s="70">
        <v>10</v>
      </c>
      <c r="AB70" s="88">
        <v>60</v>
      </c>
      <c r="AF70" s="70">
        <v>2000</v>
      </c>
      <c r="AG70" s="70">
        <v>2</v>
      </c>
      <c r="AH70" s="70">
        <v>6.26</v>
      </c>
      <c r="AI70" s="70">
        <v>677</v>
      </c>
      <c r="AJ70" s="70">
        <v>0</v>
      </c>
      <c r="AK70" s="70">
        <v>243</v>
      </c>
      <c r="AM70" s="70" t="s">
        <v>2</v>
      </c>
      <c r="AO70" s="70">
        <v>60</v>
      </c>
      <c r="AW70" s="70" t="b">
        <v>0</v>
      </c>
      <c r="AZ70" s="70" t="s">
        <v>34</v>
      </c>
      <c r="BB70" s="34"/>
      <c r="BC70" s="70">
        <v>69</v>
      </c>
      <c r="BD70" s="92" t="s">
        <v>76</v>
      </c>
      <c r="BE70" s="34"/>
      <c r="BF70" s="70">
        <v>1</v>
      </c>
      <c r="BG70" s="70">
        <v>1</v>
      </c>
      <c r="BH70" s="70">
        <v>0</v>
      </c>
      <c r="BI70" s="70">
        <v>0</v>
      </c>
      <c r="BJ70" s="70">
        <v>0.55000000000000004</v>
      </c>
      <c r="BK70" s="70">
        <v>5.5</v>
      </c>
      <c r="BL70" s="70">
        <v>6</v>
      </c>
      <c r="BM70" s="70" t="s">
        <v>1</v>
      </c>
      <c r="BN70" s="60">
        <f t="shared" si="10"/>
        <v>60</v>
      </c>
      <c r="BO70" s="74">
        <f t="shared" si="11"/>
        <v>6</v>
      </c>
      <c r="BP70" s="75">
        <v>250</v>
      </c>
      <c r="BQ70" s="76">
        <v>4.7050000000000001</v>
      </c>
      <c r="BR70" s="76">
        <v>4.6479999999999997</v>
      </c>
      <c r="BS70" s="76">
        <v>4.6764999999999999</v>
      </c>
      <c r="BT70" s="40"/>
      <c r="BU70" s="40"/>
      <c r="BV70" s="77"/>
      <c r="BW70" s="40"/>
      <c r="BX70" s="77"/>
      <c r="BY70" s="40"/>
      <c r="BZ70" s="77"/>
      <c r="CA70" s="40"/>
      <c r="CB70" s="77"/>
      <c r="CC70" s="40"/>
      <c r="CD70" s="40"/>
      <c r="CE70" s="78"/>
      <c r="CF70" s="79" t="s">
        <v>16</v>
      </c>
      <c r="CG70" s="70">
        <v>4.6764999999999999</v>
      </c>
      <c r="CH70" s="70" t="str">
        <f t="shared" si="12"/>
        <v xml:space="preserve"> </v>
      </c>
      <c r="CI70" s="70">
        <f t="shared" si="13"/>
        <v>2.68</v>
      </c>
      <c r="CJ70" s="70">
        <v>0</v>
      </c>
      <c r="CR70" s="18">
        <v>0</v>
      </c>
      <c r="CS70" s="70">
        <v>0</v>
      </c>
      <c r="CT70" s="70">
        <v>0</v>
      </c>
      <c r="CU70" s="81">
        <v>0</v>
      </c>
      <c r="CV70" s="70">
        <v>0</v>
      </c>
      <c r="CW70" s="70">
        <v>0</v>
      </c>
      <c r="CX70" s="70">
        <v>0</v>
      </c>
      <c r="CY70" s="70">
        <v>0</v>
      </c>
      <c r="CZ70" s="70">
        <v>0</v>
      </c>
      <c r="DA70" s="70">
        <v>0</v>
      </c>
      <c r="DB70" s="70">
        <v>0</v>
      </c>
      <c r="DC70" s="18">
        <f t="shared" si="14"/>
        <v>0</v>
      </c>
      <c r="DD70" s="82">
        <v>0</v>
      </c>
      <c r="DH70" s="82"/>
      <c r="DI70" s="70" t="s">
        <v>0</v>
      </c>
    </row>
    <row r="71" spans="1:113" s="70" customFormat="1" ht="15" customHeight="1" thickBot="1" x14ac:dyDescent="0.3">
      <c r="A71" s="70">
        <v>298694</v>
      </c>
      <c r="B71" s="70" t="s">
        <v>6</v>
      </c>
      <c r="C71" s="71" t="s">
        <v>15</v>
      </c>
      <c r="D71" s="70">
        <v>60</v>
      </c>
      <c r="E71" s="70">
        <v>0</v>
      </c>
      <c r="F71" s="70">
        <v>60</v>
      </c>
      <c r="G71" s="70">
        <v>6</v>
      </c>
      <c r="H71" s="70">
        <v>0</v>
      </c>
      <c r="I71" s="70">
        <v>35</v>
      </c>
      <c r="J71" s="49" t="s">
        <v>88</v>
      </c>
      <c r="K71" s="49" t="s">
        <v>87</v>
      </c>
      <c r="L71" s="50">
        <v>45706.683206018497</v>
      </c>
      <c r="M71" s="70">
        <v>0</v>
      </c>
      <c r="N71" s="70">
        <v>0</v>
      </c>
      <c r="O71" s="70">
        <v>0</v>
      </c>
      <c r="R71" s="70" t="s">
        <v>34</v>
      </c>
      <c r="S71" s="70" t="b">
        <v>0</v>
      </c>
      <c r="T71" s="70">
        <v>2</v>
      </c>
      <c r="U71" s="94">
        <v>6</v>
      </c>
      <c r="V71" s="70">
        <v>3</v>
      </c>
      <c r="W71" s="70">
        <v>0</v>
      </c>
      <c r="X71" s="70">
        <v>1000</v>
      </c>
      <c r="Z71" s="70">
        <v>10</v>
      </c>
      <c r="AB71" s="88">
        <v>70</v>
      </c>
      <c r="AF71" s="70">
        <v>2000</v>
      </c>
      <c r="AG71" s="70">
        <v>2</v>
      </c>
      <c r="AH71" s="70">
        <v>6.21</v>
      </c>
      <c r="AI71" s="70">
        <v>635</v>
      </c>
      <c r="AJ71" s="70">
        <v>0</v>
      </c>
      <c r="AK71" s="70">
        <v>270</v>
      </c>
      <c r="AM71" s="70" t="s">
        <v>2</v>
      </c>
      <c r="AO71" s="70">
        <v>70</v>
      </c>
      <c r="AW71" s="70" t="b">
        <v>0</v>
      </c>
      <c r="AZ71" s="70" t="s">
        <v>34</v>
      </c>
      <c r="BB71" s="34"/>
      <c r="BC71" s="70">
        <v>70</v>
      </c>
      <c r="BD71" s="92" t="s">
        <v>76</v>
      </c>
      <c r="BE71" s="34"/>
      <c r="BF71" s="70">
        <v>1</v>
      </c>
      <c r="BG71" s="70">
        <v>1</v>
      </c>
      <c r="BH71" s="70">
        <v>0</v>
      </c>
      <c r="BI71" s="70">
        <v>0</v>
      </c>
      <c r="BJ71" s="70">
        <v>0.55000000000000004</v>
      </c>
      <c r="BK71" s="70">
        <v>5.5</v>
      </c>
      <c r="BL71" s="70">
        <v>6</v>
      </c>
      <c r="BM71" s="70" t="s">
        <v>1</v>
      </c>
      <c r="BN71" s="60">
        <f t="shared" si="10"/>
        <v>60</v>
      </c>
      <c r="BO71" s="74">
        <f t="shared" si="11"/>
        <v>6</v>
      </c>
      <c r="BP71" s="75">
        <v>250</v>
      </c>
      <c r="BQ71" s="76">
        <v>4.2770000000000001</v>
      </c>
      <c r="BR71" s="76">
        <v>4.7670000000000003</v>
      </c>
      <c r="BS71" s="76">
        <v>4.5220000000000002</v>
      </c>
      <c r="BT71" s="40"/>
      <c r="BU71" s="40"/>
      <c r="BV71" s="77"/>
      <c r="BW71" s="40"/>
      <c r="BX71" s="77"/>
      <c r="BY71" s="40"/>
      <c r="BZ71" s="77"/>
      <c r="CA71" s="40"/>
      <c r="CB71" s="77"/>
      <c r="CC71" s="40"/>
      <c r="CD71" s="40"/>
      <c r="CE71" s="78"/>
      <c r="CF71" s="79" t="s">
        <v>16</v>
      </c>
      <c r="CG71" s="70">
        <v>4.5220000000000002</v>
      </c>
      <c r="CH71" s="70" t="str">
        <f t="shared" si="12"/>
        <v xml:space="preserve"> </v>
      </c>
      <c r="CI71" s="70">
        <f t="shared" si="13"/>
        <v>2.68</v>
      </c>
      <c r="CJ71" s="70">
        <v>0</v>
      </c>
      <c r="CR71" s="18">
        <v>0</v>
      </c>
      <c r="CS71" s="70">
        <v>0</v>
      </c>
      <c r="CT71" s="70">
        <v>0</v>
      </c>
      <c r="CU71" s="81">
        <v>0</v>
      </c>
      <c r="CV71" s="70">
        <v>0</v>
      </c>
      <c r="CW71" s="70">
        <v>0</v>
      </c>
      <c r="CX71" s="70">
        <v>0</v>
      </c>
      <c r="CY71" s="70">
        <v>0</v>
      </c>
      <c r="CZ71" s="70">
        <v>0</v>
      </c>
      <c r="DA71" s="70">
        <v>0</v>
      </c>
      <c r="DB71" s="70">
        <v>0</v>
      </c>
      <c r="DC71" s="18">
        <f t="shared" si="14"/>
        <v>0</v>
      </c>
      <c r="DD71" s="82">
        <v>0</v>
      </c>
      <c r="DH71" s="82"/>
      <c r="DI71" s="70" t="s">
        <v>0</v>
      </c>
    </row>
    <row r="72" spans="1:113" s="70" customFormat="1" ht="15" customHeight="1" thickBot="1" x14ac:dyDescent="0.3">
      <c r="A72" s="70">
        <v>298696</v>
      </c>
      <c r="B72" s="70" t="s">
        <v>6</v>
      </c>
      <c r="C72" s="71" t="s">
        <v>15</v>
      </c>
      <c r="D72" s="70">
        <v>60</v>
      </c>
      <c r="E72" s="70">
        <v>0</v>
      </c>
      <c r="F72" s="70">
        <v>60</v>
      </c>
      <c r="G72" s="70">
        <v>8</v>
      </c>
      <c r="H72" s="70">
        <v>0</v>
      </c>
      <c r="I72" s="70">
        <v>15</v>
      </c>
      <c r="J72" s="49" t="s">
        <v>86</v>
      </c>
      <c r="K72" s="49" t="s">
        <v>85</v>
      </c>
      <c r="L72" s="50">
        <v>45706.683402777802</v>
      </c>
      <c r="M72" s="70">
        <v>0</v>
      </c>
      <c r="N72" s="70">
        <v>0</v>
      </c>
      <c r="O72" s="70">
        <v>0</v>
      </c>
      <c r="R72" s="70" t="s">
        <v>34</v>
      </c>
      <c r="S72" s="70" t="b">
        <v>0</v>
      </c>
      <c r="T72" s="70">
        <v>2</v>
      </c>
      <c r="U72" s="94">
        <v>6</v>
      </c>
      <c r="V72" s="70">
        <v>3</v>
      </c>
      <c r="W72" s="70">
        <v>0</v>
      </c>
      <c r="X72" s="70">
        <v>1000</v>
      </c>
      <c r="Z72" s="70">
        <v>10</v>
      </c>
      <c r="AB72" s="88">
        <v>30</v>
      </c>
      <c r="AF72" s="70">
        <v>2000</v>
      </c>
      <c r="AG72" s="70">
        <v>2</v>
      </c>
      <c r="AH72" s="70">
        <v>6.51</v>
      </c>
      <c r="AI72" s="70">
        <v>686</v>
      </c>
      <c r="AJ72" s="70">
        <v>0</v>
      </c>
      <c r="AK72" s="70">
        <v>107</v>
      </c>
      <c r="AM72" s="70" t="s">
        <v>2</v>
      </c>
      <c r="AO72" s="70">
        <v>30</v>
      </c>
      <c r="AW72" s="70" t="b">
        <v>0</v>
      </c>
      <c r="AX72" s="70">
        <v>59</v>
      </c>
      <c r="AZ72" s="70" t="s">
        <v>34</v>
      </c>
      <c r="BB72" s="34"/>
      <c r="BC72" s="70">
        <v>72</v>
      </c>
      <c r="BD72" s="92" t="s">
        <v>76</v>
      </c>
      <c r="BE72" s="34"/>
      <c r="BF72" s="70">
        <v>1</v>
      </c>
      <c r="BG72" s="70">
        <v>1</v>
      </c>
      <c r="BH72" s="70">
        <v>0</v>
      </c>
      <c r="BI72" s="70">
        <v>0</v>
      </c>
      <c r="BJ72" s="70">
        <v>0.55000000000000004</v>
      </c>
      <c r="BK72" s="70">
        <v>5.5</v>
      </c>
      <c r="BL72" s="70">
        <v>6</v>
      </c>
      <c r="BM72" s="70" t="s">
        <v>1</v>
      </c>
      <c r="BN72" s="60">
        <f t="shared" si="10"/>
        <v>60</v>
      </c>
      <c r="BO72" s="74">
        <f t="shared" si="11"/>
        <v>6</v>
      </c>
      <c r="BP72" s="75">
        <v>250</v>
      </c>
      <c r="BQ72" s="76">
        <v>2.2869999999999999</v>
      </c>
      <c r="BR72" s="76">
        <v>2.3450000000000002</v>
      </c>
      <c r="BS72" s="76">
        <v>2.3159999999999998</v>
      </c>
      <c r="BT72" s="40"/>
      <c r="BU72" s="40"/>
      <c r="BV72" s="77"/>
      <c r="BW72" s="40"/>
      <c r="BX72" s="77"/>
      <c r="BY72" s="40"/>
      <c r="BZ72" s="77"/>
      <c r="CA72" s="40"/>
      <c r="CB72" s="77"/>
      <c r="CC72" s="40"/>
      <c r="CD72" s="40"/>
      <c r="CE72" s="78"/>
      <c r="CF72" s="79" t="s">
        <v>134</v>
      </c>
      <c r="CG72" s="70">
        <v>2.3159999999999998</v>
      </c>
      <c r="CH72" s="70" t="str">
        <f t="shared" si="12"/>
        <v xml:space="preserve"> </v>
      </c>
      <c r="CI72" s="70">
        <f t="shared" si="13"/>
        <v>2.68</v>
      </c>
      <c r="CJ72" s="70">
        <v>1</v>
      </c>
      <c r="CR72" s="18">
        <v>0</v>
      </c>
      <c r="CS72" s="70">
        <v>0</v>
      </c>
      <c r="CT72" s="70">
        <v>0</v>
      </c>
      <c r="CU72" s="81">
        <v>0</v>
      </c>
      <c r="CV72" s="70">
        <v>0</v>
      </c>
      <c r="CW72" s="70">
        <v>0</v>
      </c>
      <c r="CX72" s="70">
        <v>0</v>
      </c>
      <c r="CY72" s="70">
        <v>0</v>
      </c>
      <c r="CZ72" s="70">
        <v>0</v>
      </c>
      <c r="DA72" s="70">
        <v>0</v>
      </c>
      <c r="DB72" s="70">
        <v>0</v>
      </c>
      <c r="DC72" s="18">
        <f t="shared" si="14"/>
        <v>1</v>
      </c>
      <c r="DD72" s="82">
        <v>2</v>
      </c>
      <c r="DH72" s="82"/>
      <c r="DI72" s="70" t="s">
        <v>0</v>
      </c>
    </row>
    <row r="73" spans="1:113" s="70" customFormat="1" ht="15" customHeight="1" thickBot="1" x14ac:dyDescent="0.3">
      <c r="A73" s="70">
        <v>298697</v>
      </c>
      <c r="B73" s="70" t="s">
        <v>6</v>
      </c>
      <c r="C73" s="71" t="s">
        <v>15</v>
      </c>
      <c r="D73" s="70">
        <v>60</v>
      </c>
      <c r="E73" s="70">
        <v>0</v>
      </c>
      <c r="F73" s="70">
        <v>60</v>
      </c>
      <c r="G73" s="70">
        <v>9</v>
      </c>
      <c r="H73" s="70">
        <v>0</v>
      </c>
      <c r="I73" s="70">
        <v>25</v>
      </c>
      <c r="J73" s="49" t="s">
        <v>84</v>
      </c>
      <c r="K73" s="49" t="s">
        <v>83</v>
      </c>
      <c r="L73" s="50">
        <v>45706.685127314799</v>
      </c>
      <c r="M73" s="70">
        <v>0</v>
      </c>
      <c r="N73" s="70">
        <v>0</v>
      </c>
      <c r="O73" s="70">
        <v>0</v>
      </c>
      <c r="R73" s="70" t="s">
        <v>34</v>
      </c>
      <c r="S73" s="70" t="b">
        <v>0</v>
      </c>
      <c r="T73" s="70">
        <v>2</v>
      </c>
      <c r="U73" s="94">
        <v>6</v>
      </c>
      <c r="V73" s="70">
        <v>3</v>
      </c>
      <c r="W73" s="70">
        <v>0</v>
      </c>
      <c r="X73" s="70">
        <v>1000</v>
      </c>
      <c r="Z73" s="70">
        <v>10</v>
      </c>
      <c r="AB73" s="95">
        <v>50</v>
      </c>
      <c r="AF73" s="70">
        <v>2000</v>
      </c>
      <c r="AG73" s="70">
        <v>2</v>
      </c>
      <c r="AH73" s="70">
        <v>6.33</v>
      </c>
      <c r="AI73" s="70">
        <v>698</v>
      </c>
      <c r="AJ73" s="70">
        <v>0</v>
      </c>
      <c r="AK73" s="70">
        <v>204</v>
      </c>
      <c r="AM73" s="70" t="s">
        <v>2</v>
      </c>
      <c r="AO73" s="70">
        <v>50</v>
      </c>
      <c r="AW73" s="70" t="b">
        <v>0</v>
      </c>
      <c r="AZ73" s="70" t="s">
        <v>34</v>
      </c>
      <c r="BB73" s="34"/>
      <c r="BC73" s="70">
        <v>73</v>
      </c>
      <c r="BD73" s="92" t="s">
        <v>76</v>
      </c>
      <c r="BE73" s="34"/>
      <c r="BF73" s="70">
        <v>1</v>
      </c>
      <c r="BG73" s="70">
        <v>1</v>
      </c>
      <c r="BH73" s="70">
        <v>0</v>
      </c>
      <c r="BI73" s="70">
        <v>0</v>
      </c>
      <c r="BJ73" s="70">
        <v>0.55000000000000004</v>
      </c>
      <c r="BK73" s="70">
        <v>5.5</v>
      </c>
      <c r="BL73" s="70">
        <v>6</v>
      </c>
      <c r="BM73" s="70" t="s">
        <v>1</v>
      </c>
      <c r="BN73" s="60">
        <f t="shared" si="10"/>
        <v>60</v>
      </c>
      <c r="BO73" s="74">
        <f t="shared" si="11"/>
        <v>6</v>
      </c>
      <c r="BP73" s="75">
        <v>250</v>
      </c>
      <c r="BQ73" s="76">
        <v>3.9950000000000001</v>
      </c>
      <c r="BR73" s="76">
        <v>4.0119999999999996</v>
      </c>
      <c r="BS73" s="76">
        <v>4.0034999999999998</v>
      </c>
      <c r="BT73" s="40"/>
      <c r="BU73" s="40"/>
      <c r="BV73" s="77"/>
      <c r="BW73" s="40"/>
      <c r="BX73" s="77"/>
      <c r="BY73" s="40"/>
      <c r="BZ73" s="77"/>
      <c r="CA73" s="40"/>
      <c r="CB73" s="77"/>
      <c r="CC73" s="40"/>
      <c r="CD73" s="40"/>
      <c r="CE73" s="78"/>
      <c r="CF73" s="79" t="s">
        <v>16</v>
      </c>
      <c r="CG73" s="70">
        <v>4.0034999999999998</v>
      </c>
      <c r="CH73" s="70" t="str">
        <f t="shared" si="12"/>
        <v xml:space="preserve"> </v>
      </c>
      <c r="CI73" s="70">
        <f t="shared" si="13"/>
        <v>2.68</v>
      </c>
      <c r="CJ73" s="70">
        <v>0</v>
      </c>
      <c r="CR73" s="18">
        <v>0</v>
      </c>
      <c r="CS73" s="70">
        <v>0</v>
      </c>
      <c r="CT73" s="70">
        <v>0</v>
      </c>
      <c r="CU73" s="81">
        <v>0</v>
      </c>
      <c r="CV73" s="70">
        <v>0</v>
      </c>
      <c r="CW73" s="70">
        <v>0</v>
      </c>
      <c r="CX73" s="70">
        <v>0</v>
      </c>
      <c r="CY73" s="70">
        <v>0</v>
      </c>
      <c r="CZ73" s="70">
        <v>0</v>
      </c>
      <c r="DA73" s="70">
        <v>0</v>
      </c>
      <c r="DB73" s="70">
        <v>0</v>
      </c>
      <c r="DC73" s="18">
        <f t="shared" si="14"/>
        <v>0</v>
      </c>
      <c r="DD73" s="82">
        <v>0</v>
      </c>
      <c r="DH73" s="82"/>
      <c r="DI73" s="70" t="s">
        <v>0</v>
      </c>
    </row>
    <row r="74" spans="1:113" s="70" customFormat="1" ht="15" customHeight="1" thickBot="1" x14ac:dyDescent="0.3">
      <c r="A74" s="70">
        <v>298698</v>
      </c>
      <c r="B74" s="70" t="s">
        <v>6</v>
      </c>
      <c r="C74" s="71" t="s">
        <v>15</v>
      </c>
      <c r="D74" s="70">
        <v>60</v>
      </c>
      <c r="E74" s="70">
        <v>0</v>
      </c>
      <c r="F74" s="70">
        <v>60</v>
      </c>
      <c r="G74" s="70">
        <v>10</v>
      </c>
      <c r="H74" s="70">
        <v>0</v>
      </c>
      <c r="I74" s="70">
        <v>25</v>
      </c>
      <c r="J74" s="49" t="s">
        <v>82</v>
      </c>
      <c r="K74" s="49" t="s">
        <v>81</v>
      </c>
      <c r="L74" s="50">
        <v>45706.685312499998</v>
      </c>
      <c r="M74" s="70">
        <v>0</v>
      </c>
      <c r="N74" s="70">
        <v>0</v>
      </c>
      <c r="O74" s="70">
        <v>0</v>
      </c>
      <c r="R74" s="70" t="s">
        <v>34</v>
      </c>
      <c r="S74" s="70" t="b">
        <v>0</v>
      </c>
      <c r="T74" s="70">
        <v>2</v>
      </c>
      <c r="U74" s="94">
        <v>6</v>
      </c>
      <c r="V74" s="70">
        <v>3</v>
      </c>
      <c r="W74" s="70">
        <v>0</v>
      </c>
      <c r="X74" s="70">
        <v>1000</v>
      </c>
      <c r="Z74" s="70">
        <v>10</v>
      </c>
      <c r="AB74" s="95">
        <v>50</v>
      </c>
      <c r="AF74" s="70">
        <v>2000</v>
      </c>
      <c r="AG74" s="70">
        <v>2</v>
      </c>
      <c r="AH74" s="70">
        <v>6.26</v>
      </c>
      <c r="AI74" s="70">
        <v>648</v>
      </c>
      <c r="AJ74" s="70">
        <v>0</v>
      </c>
      <c r="AK74" s="70">
        <v>188</v>
      </c>
      <c r="AM74" s="70" t="s">
        <v>2</v>
      </c>
      <c r="AO74" s="70">
        <v>50</v>
      </c>
      <c r="AW74" s="70" t="b">
        <v>0</v>
      </c>
      <c r="AZ74" s="70" t="s">
        <v>34</v>
      </c>
      <c r="BB74" s="34"/>
      <c r="BC74" s="70">
        <v>74</v>
      </c>
      <c r="BD74" s="92" t="s">
        <v>76</v>
      </c>
      <c r="BE74" s="34"/>
      <c r="BF74" s="70">
        <v>1</v>
      </c>
      <c r="BG74" s="70">
        <v>1</v>
      </c>
      <c r="BH74" s="70">
        <v>0</v>
      </c>
      <c r="BI74" s="70">
        <v>0</v>
      </c>
      <c r="BJ74" s="70">
        <v>0.55000000000000004</v>
      </c>
      <c r="BK74" s="70">
        <v>5.5</v>
      </c>
      <c r="BL74" s="70">
        <v>6</v>
      </c>
      <c r="BM74" s="70" t="s">
        <v>1</v>
      </c>
      <c r="BN74" s="60">
        <f t="shared" si="10"/>
        <v>60</v>
      </c>
      <c r="BO74" s="74">
        <f t="shared" si="11"/>
        <v>6</v>
      </c>
      <c r="BP74" s="90">
        <v>350</v>
      </c>
      <c r="BQ74" s="76">
        <v>3.145</v>
      </c>
      <c r="BR74" s="76">
        <v>3.23</v>
      </c>
      <c r="BS74" s="76">
        <v>3.1875</v>
      </c>
      <c r="BT74" s="40"/>
      <c r="BU74" s="40"/>
      <c r="BV74" s="77"/>
      <c r="BW74" s="40"/>
      <c r="BX74" s="77"/>
      <c r="BY74" s="40"/>
      <c r="BZ74" s="77"/>
      <c r="CA74" s="40"/>
      <c r="CB74" s="77"/>
      <c r="CC74" s="40"/>
      <c r="CD74" s="40"/>
      <c r="CE74" s="78"/>
      <c r="CF74" s="79" t="s">
        <v>676</v>
      </c>
      <c r="CG74" s="70">
        <v>3.1875</v>
      </c>
      <c r="CH74" s="70" t="str">
        <f t="shared" si="12"/>
        <v xml:space="preserve"> </v>
      </c>
      <c r="CI74" s="70">
        <f t="shared" si="13"/>
        <v>2.68</v>
      </c>
      <c r="CJ74" s="70">
        <v>0</v>
      </c>
      <c r="CR74" s="18">
        <v>1</v>
      </c>
      <c r="CS74" s="70">
        <v>0</v>
      </c>
      <c r="CT74" s="70">
        <v>0</v>
      </c>
      <c r="CU74" s="81">
        <v>0</v>
      </c>
      <c r="CV74" s="70">
        <v>0</v>
      </c>
      <c r="CW74" s="70">
        <v>0</v>
      </c>
      <c r="CX74" s="70">
        <v>0</v>
      </c>
      <c r="CY74" s="70">
        <v>0</v>
      </c>
      <c r="CZ74" s="70">
        <v>0</v>
      </c>
      <c r="DA74" s="70">
        <v>0</v>
      </c>
      <c r="DB74" s="70">
        <v>0</v>
      </c>
      <c r="DC74" s="18">
        <f t="shared" si="14"/>
        <v>1</v>
      </c>
      <c r="DD74" s="82">
        <v>1</v>
      </c>
      <c r="DH74" s="82"/>
      <c r="DI74" s="70" t="s">
        <v>0</v>
      </c>
    </row>
    <row r="75" spans="1:113" s="70" customFormat="1" ht="15" customHeight="1" thickBot="1" x14ac:dyDescent="0.3">
      <c r="A75" s="70">
        <v>298699</v>
      </c>
      <c r="B75" s="70" t="s">
        <v>6</v>
      </c>
      <c r="C75" s="71" t="s">
        <v>15</v>
      </c>
      <c r="D75" s="70">
        <v>60</v>
      </c>
      <c r="E75" s="70">
        <v>0</v>
      </c>
      <c r="F75" s="70">
        <v>60</v>
      </c>
      <c r="G75" s="70">
        <v>11</v>
      </c>
      <c r="H75" s="70">
        <v>0</v>
      </c>
      <c r="I75" s="70">
        <v>25</v>
      </c>
      <c r="J75" s="49" t="s">
        <v>80</v>
      </c>
      <c r="K75" s="49" t="s">
        <v>79</v>
      </c>
      <c r="L75" s="50">
        <v>45706.685682870397</v>
      </c>
      <c r="M75" s="70">
        <v>0</v>
      </c>
      <c r="N75" s="70">
        <v>0</v>
      </c>
      <c r="O75" s="70">
        <v>0</v>
      </c>
      <c r="R75" s="70" t="s">
        <v>34</v>
      </c>
      <c r="S75" s="70" t="b">
        <v>0</v>
      </c>
      <c r="T75" s="70">
        <v>2</v>
      </c>
      <c r="U75" s="94">
        <v>6</v>
      </c>
      <c r="V75" s="70">
        <v>3</v>
      </c>
      <c r="W75" s="70">
        <v>0</v>
      </c>
      <c r="X75" s="70">
        <v>1000</v>
      </c>
      <c r="Z75" s="70">
        <v>10</v>
      </c>
      <c r="AB75" s="95">
        <v>50</v>
      </c>
      <c r="AF75" s="70">
        <v>2000</v>
      </c>
      <c r="AG75" s="70">
        <v>2</v>
      </c>
      <c r="AH75" s="70">
        <v>6.24</v>
      </c>
      <c r="AI75" s="70">
        <v>622</v>
      </c>
      <c r="AJ75" s="70">
        <v>0</v>
      </c>
      <c r="AK75" s="70">
        <v>181</v>
      </c>
      <c r="AM75" s="70" t="s">
        <v>2</v>
      </c>
      <c r="AO75" s="70">
        <v>50</v>
      </c>
      <c r="AW75" s="70" t="b">
        <v>0</v>
      </c>
      <c r="AZ75" s="70" t="s">
        <v>34</v>
      </c>
      <c r="BB75" s="34"/>
      <c r="BC75" s="70">
        <v>75</v>
      </c>
      <c r="BD75" s="92" t="s">
        <v>76</v>
      </c>
      <c r="BE75" s="34"/>
      <c r="BF75" s="70">
        <v>1</v>
      </c>
      <c r="BG75" s="70">
        <v>1</v>
      </c>
      <c r="BH75" s="70">
        <v>0</v>
      </c>
      <c r="BI75" s="70">
        <v>0</v>
      </c>
      <c r="BJ75" s="70">
        <v>0.55000000000000004</v>
      </c>
      <c r="BK75" s="70">
        <v>5.5</v>
      </c>
      <c r="BL75" s="70">
        <v>6</v>
      </c>
      <c r="BM75" s="70" t="s">
        <v>1</v>
      </c>
      <c r="BN75" s="60">
        <f t="shared" si="10"/>
        <v>60</v>
      </c>
      <c r="BO75" s="74">
        <f t="shared" si="11"/>
        <v>6</v>
      </c>
      <c r="BP75" s="90">
        <v>450</v>
      </c>
      <c r="BQ75" s="76">
        <v>2.7589999999999999</v>
      </c>
      <c r="BR75" s="76">
        <v>3.0539999999999998</v>
      </c>
      <c r="BS75" s="76">
        <v>2.9064999999999999</v>
      </c>
      <c r="BT75" s="40"/>
      <c r="BU75" s="40"/>
      <c r="BV75" s="77"/>
      <c r="BW75" s="40"/>
      <c r="BX75" s="77"/>
      <c r="BY75" s="40"/>
      <c r="BZ75" s="77"/>
      <c r="CA75" s="40"/>
      <c r="CB75" s="77"/>
      <c r="CC75" s="40"/>
      <c r="CD75" s="40"/>
      <c r="CE75" s="78"/>
      <c r="CF75" s="79" t="s">
        <v>677</v>
      </c>
      <c r="CG75" s="70">
        <v>2.9064999999999999</v>
      </c>
      <c r="CH75" s="70" t="str">
        <f t="shared" si="12"/>
        <v xml:space="preserve"> </v>
      </c>
      <c r="CI75" s="70">
        <f t="shared" si="13"/>
        <v>2.68</v>
      </c>
      <c r="CJ75" s="70">
        <v>0</v>
      </c>
      <c r="CR75" s="18">
        <v>1</v>
      </c>
      <c r="CS75" s="70">
        <v>0</v>
      </c>
      <c r="CT75" s="70">
        <v>0</v>
      </c>
      <c r="CU75" s="81">
        <v>0</v>
      </c>
      <c r="CV75" s="70">
        <v>0</v>
      </c>
      <c r="CW75" s="70">
        <v>0</v>
      </c>
      <c r="CX75" s="70">
        <v>0</v>
      </c>
      <c r="CY75" s="70">
        <v>0</v>
      </c>
      <c r="CZ75" s="70">
        <v>0</v>
      </c>
      <c r="DA75" s="70">
        <v>0</v>
      </c>
      <c r="DB75" s="70">
        <v>0</v>
      </c>
      <c r="DC75" s="18">
        <f t="shared" si="14"/>
        <v>1</v>
      </c>
      <c r="DD75" s="82">
        <v>1</v>
      </c>
      <c r="DH75" s="82"/>
      <c r="DI75" s="70" t="s">
        <v>0</v>
      </c>
    </row>
    <row r="76" spans="1:113" s="70" customFormat="1" ht="15" customHeight="1" thickBot="1" x14ac:dyDescent="0.3">
      <c r="A76" s="70">
        <v>298700</v>
      </c>
      <c r="B76" s="70" t="s">
        <v>6</v>
      </c>
      <c r="C76" s="71" t="s">
        <v>15</v>
      </c>
      <c r="D76" s="70">
        <v>60</v>
      </c>
      <c r="E76" s="70">
        <v>0</v>
      </c>
      <c r="F76" s="70">
        <v>60</v>
      </c>
      <c r="G76" s="70">
        <v>12</v>
      </c>
      <c r="H76" s="70">
        <v>0</v>
      </c>
      <c r="I76" s="70">
        <v>25</v>
      </c>
      <c r="J76" s="49" t="s">
        <v>78</v>
      </c>
      <c r="K76" s="49" t="s">
        <v>77</v>
      </c>
      <c r="L76" s="50">
        <v>45706.685891203699</v>
      </c>
      <c r="M76" s="70">
        <v>0</v>
      </c>
      <c r="N76" s="70">
        <v>0</v>
      </c>
      <c r="O76" s="70">
        <v>0</v>
      </c>
      <c r="R76" s="70" t="s">
        <v>34</v>
      </c>
      <c r="S76" s="70" t="b">
        <v>0</v>
      </c>
      <c r="T76" s="70">
        <v>2</v>
      </c>
      <c r="U76" s="94">
        <v>6</v>
      </c>
      <c r="V76" s="70">
        <v>3</v>
      </c>
      <c r="W76" s="70">
        <v>0</v>
      </c>
      <c r="X76" s="70">
        <v>1000</v>
      </c>
      <c r="Z76" s="70">
        <v>10</v>
      </c>
      <c r="AB76" s="95">
        <v>50</v>
      </c>
      <c r="AF76" s="70">
        <v>2000</v>
      </c>
      <c r="AG76" s="70">
        <v>2</v>
      </c>
      <c r="AH76" s="70">
        <v>6.33</v>
      </c>
      <c r="AI76" s="70">
        <v>707</v>
      </c>
      <c r="AJ76" s="70">
        <v>0</v>
      </c>
      <c r="AK76" s="70">
        <v>207</v>
      </c>
      <c r="AM76" s="70" t="s">
        <v>2</v>
      </c>
      <c r="AO76" s="70">
        <v>50</v>
      </c>
      <c r="AW76" s="70" t="b">
        <v>0</v>
      </c>
      <c r="AZ76" s="70" t="s">
        <v>34</v>
      </c>
      <c r="BB76" s="34"/>
      <c r="BC76" s="70">
        <v>76</v>
      </c>
      <c r="BD76" s="92" t="s">
        <v>76</v>
      </c>
      <c r="BE76" s="34"/>
      <c r="BF76" s="70">
        <v>1</v>
      </c>
      <c r="BG76" s="70">
        <v>1</v>
      </c>
      <c r="BH76" s="70">
        <v>0</v>
      </c>
      <c r="BI76" s="70">
        <v>0</v>
      </c>
      <c r="BJ76" s="70">
        <v>0.55000000000000004</v>
      </c>
      <c r="BK76" s="70">
        <v>5.5</v>
      </c>
      <c r="BL76" s="70">
        <v>6</v>
      </c>
      <c r="BM76" s="70" t="s">
        <v>1</v>
      </c>
      <c r="BN76" s="60">
        <f t="shared" si="10"/>
        <v>60</v>
      </c>
      <c r="BO76" s="74">
        <f t="shared" si="11"/>
        <v>6</v>
      </c>
      <c r="BP76" s="90">
        <v>550</v>
      </c>
      <c r="BQ76" s="76">
        <v>3.6139999999999999</v>
      </c>
      <c r="BR76" s="76">
        <v>3.5710000000000002</v>
      </c>
      <c r="BS76" s="76">
        <v>3.5925000000000002</v>
      </c>
      <c r="BT76" s="40"/>
      <c r="BU76" s="40"/>
      <c r="BV76" s="77"/>
      <c r="BW76" s="40"/>
      <c r="BX76" s="77"/>
      <c r="BY76" s="40"/>
      <c r="BZ76" s="77"/>
      <c r="CA76" s="40"/>
      <c r="CB76" s="77"/>
      <c r="CC76" s="40"/>
      <c r="CD76" s="40"/>
      <c r="CE76" s="78"/>
      <c r="CF76" s="79" t="s">
        <v>16</v>
      </c>
      <c r="CG76" s="86">
        <v>3.5925000000000002</v>
      </c>
      <c r="CH76" s="86" t="str">
        <f t="shared" si="12"/>
        <v xml:space="preserve"> </v>
      </c>
      <c r="CI76" s="70">
        <f t="shared" si="13"/>
        <v>2.68</v>
      </c>
      <c r="CJ76" s="70">
        <v>0</v>
      </c>
      <c r="CR76" s="18">
        <v>0</v>
      </c>
      <c r="CS76" s="70">
        <v>0</v>
      </c>
      <c r="CT76" s="70">
        <v>0</v>
      </c>
      <c r="CU76" s="81">
        <v>0</v>
      </c>
      <c r="CV76" s="70">
        <v>0</v>
      </c>
      <c r="CW76" s="70">
        <v>0</v>
      </c>
      <c r="CX76" s="70">
        <v>0</v>
      </c>
      <c r="CY76" s="70">
        <v>0</v>
      </c>
      <c r="CZ76" s="70">
        <v>0</v>
      </c>
      <c r="DA76" s="70">
        <v>0</v>
      </c>
      <c r="DB76" s="70">
        <v>0</v>
      </c>
      <c r="DC76" s="18">
        <f t="shared" si="14"/>
        <v>0</v>
      </c>
      <c r="DD76" s="82">
        <v>0</v>
      </c>
      <c r="DH76" s="82"/>
      <c r="DI76" s="70" t="s">
        <v>0</v>
      </c>
    </row>
    <row r="77" spans="1:113" s="70" customFormat="1" ht="15" customHeight="1" thickBot="1" x14ac:dyDescent="0.3">
      <c r="A77" s="70">
        <v>298701</v>
      </c>
      <c r="B77" s="70" t="s">
        <v>6</v>
      </c>
      <c r="C77" s="71" t="s">
        <v>15</v>
      </c>
      <c r="D77" s="70">
        <v>60</v>
      </c>
      <c r="E77" s="70">
        <v>0</v>
      </c>
      <c r="F77" s="70">
        <v>60</v>
      </c>
      <c r="G77" s="70">
        <v>13</v>
      </c>
      <c r="H77" s="70">
        <v>0</v>
      </c>
      <c r="I77" s="70">
        <v>15</v>
      </c>
      <c r="J77" s="49" t="s">
        <v>75</v>
      </c>
      <c r="K77" s="49" t="s">
        <v>74</v>
      </c>
      <c r="L77" s="50">
        <v>45706.688125000001</v>
      </c>
      <c r="M77" s="70">
        <v>0</v>
      </c>
      <c r="N77" s="70">
        <v>0</v>
      </c>
      <c r="O77" s="70">
        <v>0</v>
      </c>
      <c r="R77" s="70" t="s">
        <v>34</v>
      </c>
      <c r="S77" s="70" t="b">
        <v>0</v>
      </c>
      <c r="T77" s="70">
        <v>2</v>
      </c>
      <c r="U77" s="94">
        <v>9</v>
      </c>
      <c r="V77" s="70">
        <v>3</v>
      </c>
      <c r="W77" s="70">
        <v>0</v>
      </c>
      <c r="X77" s="70">
        <v>1000</v>
      </c>
      <c r="Z77" s="70">
        <v>10</v>
      </c>
      <c r="AB77" s="95">
        <v>30</v>
      </c>
      <c r="AF77" s="70">
        <v>2000</v>
      </c>
      <c r="AG77" s="70">
        <v>2</v>
      </c>
      <c r="AH77" s="70">
        <v>9.64</v>
      </c>
      <c r="AI77" s="70">
        <v>673</v>
      </c>
      <c r="AJ77" s="70">
        <v>0</v>
      </c>
      <c r="AK77" s="70">
        <v>163</v>
      </c>
      <c r="AM77" s="70" t="s">
        <v>2</v>
      </c>
      <c r="AO77" s="70">
        <v>30</v>
      </c>
      <c r="AW77" s="70" t="b">
        <v>0</v>
      </c>
      <c r="AZ77" s="70" t="s">
        <v>34</v>
      </c>
      <c r="BB77" s="34"/>
      <c r="BC77" s="70">
        <v>77</v>
      </c>
      <c r="BD77" s="92" t="s">
        <v>51</v>
      </c>
      <c r="BE77" s="34"/>
      <c r="BF77" s="70">
        <v>1.2</v>
      </c>
      <c r="BG77" s="70">
        <v>0</v>
      </c>
      <c r="BH77" s="70">
        <v>0</v>
      </c>
      <c r="BI77" s="70">
        <v>0</v>
      </c>
      <c r="BJ77" s="70">
        <v>1.2</v>
      </c>
      <c r="BK77" s="70">
        <v>5.5</v>
      </c>
      <c r="BL77" s="70">
        <v>6</v>
      </c>
      <c r="BM77" s="70" t="s">
        <v>1</v>
      </c>
      <c r="BN77" s="60">
        <f t="shared" si="10"/>
        <v>60</v>
      </c>
      <c r="BO77" s="74">
        <f t="shared" si="11"/>
        <v>9</v>
      </c>
      <c r="BP77" s="75">
        <v>350</v>
      </c>
      <c r="BQ77" s="76">
        <v>5.1239999999999997</v>
      </c>
      <c r="BR77" s="76">
        <v>5.1520000000000001</v>
      </c>
      <c r="BS77" s="76">
        <v>5.1379999999999999</v>
      </c>
      <c r="BT77" s="40"/>
      <c r="BU77" s="40"/>
      <c r="BV77" s="77"/>
      <c r="BW77" s="40"/>
      <c r="BX77" s="77"/>
      <c r="BY77" s="40"/>
      <c r="BZ77" s="77"/>
      <c r="CA77" s="40"/>
      <c r="CB77" s="77"/>
      <c r="CC77" s="40"/>
      <c r="CD77" s="40"/>
      <c r="CE77" s="78"/>
      <c r="CF77" s="79" t="s">
        <v>16</v>
      </c>
      <c r="CG77" s="70">
        <v>5.1379999999999999</v>
      </c>
      <c r="CH77" s="70" t="str">
        <f t="shared" si="12"/>
        <v xml:space="preserve"> </v>
      </c>
      <c r="CI77" s="70">
        <f t="shared" si="13"/>
        <v>4.57</v>
      </c>
      <c r="CJ77" s="70">
        <v>0</v>
      </c>
      <c r="CR77" s="18">
        <v>0</v>
      </c>
      <c r="CS77" s="70">
        <v>0</v>
      </c>
      <c r="CT77" s="70">
        <v>0</v>
      </c>
      <c r="CU77" s="81">
        <v>0</v>
      </c>
      <c r="CV77" s="70">
        <v>0</v>
      </c>
      <c r="CW77" s="70">
        <v>0</v>
      </c>
      <c r="CX77" s="70">
        <v>0</v>
      </c>
      <c r="CY77" s="70">
        <v>0</v>
      </c>
      <c r="CZ77" s="70">
        <v>0</v>
      </c>
      <c r="DA77" s="70">
        <v>0</v>
      </c>
      <c r="DB77" s="70">
        <v>0</v>
      </c>
      <c r="DC77" s="18">
        <f t="shared" si="14"/>
        <v>0</v>
      </c>
      <c r="DD77" s="82">
        <v>0</v>
      </c>
      <c r="DH77" s="82"/>
      <c r="DI77" s="70" t="s">
        <v>0</v>
      </c>
    </row>
    <row r="78" spans="1:113" s="70" customFormat="1" ht="15" customHeight="1" thickBot="1" x14ac:dyDescent="0.3">
      <c r="A78" s="70">
        <v>298702</v>
      </c>
      <c r="B78" s="70" t="s">
        <v>6</v>
      </c>
      <c r="C78" s="71" t="s">
        <v>15</v>
      </c>
      <c r="D78" s="70">
        <v>60</v>
      </c>
      <c r="E78" s="70">
        <v>0</v>
      </c>
      <c r="F78" s="70">
        <v>60</v>
      </c>
      <c r="G78" s="70">
        <v>14</v>
      </c>
      <c r="H78" s="70">
        <v>0</v>
      </c>
      <c r="I78" s="70">
        <v>15</v>
      </c>
      <c r="J78" s="49" t="s">
        <v>73</v>
      </c>
      <c r="K78" s="49" t="s">
        <v>72</v>
      </c>
      <c r="L78" s="50">
        <v>45706.688680555599</v>
      </c>
      <c r="M78" s="70">
        <v>0</v>
      </c>
      <c r="N78" s="70">
        <v>0</v>
      </c>
      <c r="O78" s="70">
        <v>0</v>
      </c>
      <c r="R78" s="70" t="s">
        <v>34</v>
      </c>
      <c r="S78" s="70" t="b">
        <v>0</v>
      </c>
      <c r="T78" s="70">
        <v>2</v>
      </c>
      <c r="U78" s="83">
        <v>11</v>
      </c>
      <c r="V78" s="70">
        <v>3</v>
      </c>
      <c r="W78" s="70">
        <v>0</v>
      </c>
      <c r="X78" s="70">
        <v>1000</v>
      </c>
      <c r="Z78" s="70">
        <v>10</v>
      </c>
      <c r="AB78" s="95">
        <v>30</v>
      </c>
      <c r="AF78" s="70">
        <v>2000</v>
      </c>
      <c r="AG78" s="70">
        <v>2</v>
      </c>
      <c r="AH78" s="70">
        <v>11.61</v>
      </c>
      <c r="AI78" s="70">
        <v>690</v>
      </c>
      <c r="AJ78" s="70">
        <v>0</v>
      </c>
      <c r="AK78" s="70">
        <v>209</v>
      </c>
      <c r="AM78" s="70" t="s">
        <v>2</v>
      </c>
      <c r="AO78" s="70">
        <v>30</v>
      </c>
      <c r="AW78" s="70" t="b">
        <v>0</v>
      </c>
      <c r="AZ78" s="70" t="s">
        <v>34</v>
      </c>
      <c r="BB78" s="34"/>
      <c r="BC78" s="70">
        <v>78</v>
      </c>
      <c r="BD78" s="92" t="s">
        <v>51</v>
      </c>
      <c r="BE78" s="34"/>
      <c r="BF78" s="70">
        <v>1.2</v>
      </c>
      <c r="BG78" s="70">
        <v>0</v>
      </c>
      <c r="BH78" s="70">
        <v>0</v>
      </c>
      <c r="BI78" s="70">
        <v>0</v>
      </c>
      <c r="BJ78" s="70">
        <v>1.2</v>
      </c>
      <c r="BK78" s="70">
        <v>5.5</v>
      </c>
      <c r="BL78" s="70">
        <v>6</v>
      </c>
      <c r="BM78" s="70" t="s">
        <v>1</v>
      </c>
      <c r="BN78" s="60">
        <f t="shared" si="10"/>
        <v>60</v>
      </c>
      <c r="BO78" s="84">
        <f t="shared" si="11"/>
        <v>11</v>
      </c>
      <c r="BP78" s="75">
        <v>350</v>
      </c>
      <c r="BQ78" s="76">
        <v>5.194</v>
      </c>
      <c r="BR78" s="76">
        <v>4.9960000000000004</v>
      </c>
      <c r="BS78" s="76">
        <v>5.0950000000000006</v>
      </c>
      <c r="BT78" s="40"/>
      <c r="BU78" s="40"/>
      <c r="BV78" s="77"/>
      <c r="BW78" s="40"/>
      <c r="BX78" s="77"/>
      <c r="BY78" s="40"/>
      <c r="BZ78" s="77"/>
      <c r="CA78" s="40"/>
      <c r="CB78" s="77"/>
      <c r="CC78" s="40"/>
      <c r="CD78" s="40"/>
      <c r="CE78" s="78"/>
      <c r="CF78" s="79" t="s">
        <v>676</v>
      </c>
      <c r="CG78" s="70">
        <v>5.0950000000000006</v>
      </c>
      <c r="CH78" s="70" t="str">
        <f t="shared" si="12"/>
        <v xml:space="preserve"> </v>
      </c>
      <c r="CI78" s="70">
        <f t="shared" si="13"/>
        <v>4.57</v>
      </c>
      <c r="CJ78" s="70">
        <v>0</v>
      </c>
      <c r="CR78" s="18">
        <v>1</v>
      </c>
      <c r="CS78" s="70">
        <v>0</v>
      </c>
      <c r="CT78" s="70">
        <v>0</v>
      </c>
      <c r="CU78" s="81">
        <v>0</v>
      </c>
      <c r="CV78" s="70">
        <v>0</v>
      </c>
      <c r="CW78" s="70">
        <v>0</v>
      </c>
      <c r="CX78" s="70">
        <v>0</v>
      </c>
      <c r="CY78" s="70">
        <v>0</v>
      </c>
      <c r="CZ78" s="70">
        <v>0</v>
      </c>
      <c r="DA78" s="70">
        <v>0</v>
      </c>
      <c r="DB78" s="70">
        <v>0</v>
      </c>
      <c r="DC78" s="18">
        <f t="shared" si="14"/>
        <v>1</v>
      </c>
      <c r="DD78" s="82">
        <v>1</v>
      </c>
      <c r="DH78" s="82"/>
      <c r="DI78" s="70" t="s">
        <v>0</v>
      </c>
    </row>
    <row r="79" spans="1:113" s="70" customFormat="1" ht="15" customHeight="1" thickBot="1" x14ac:dyDescent="0.3">
      <c r="A79" s="70">
        <v>298703</v>
      </c>
      <c r="B79" s="70" t="s">
        <v>6</v>
      </c>
      <c r="C79" s="71" t="s">
        <v>15</v>
      </c>
      <c r="D79" s="70">
        <v>60</v>
      </c>
      <c r="E79" s="70">
        <v>0</v>
      </c>
      <c r="F79" s="70">
        <v>60</v>
      </c>
      <c r="G79" s="70">
        <v>15</v>
      </c>
      <c r="H79" s="70">
        <v>0</v>
      </c>
      <c r="I79" s="70">
        <v>15</v>
      </c>
      <c r="J79" s="49" t="s">
        <v>71</v>
      </c>
      <c r="K79" s="49" t="s">
        <v>70</v>
      </c>
      <c r="L79" s="50">
        <v>45706.688877314802</v>
      </c>
      <c r="M79" s="70">
        <v>0</v>
      </c>
      <c r="N79" s="70">
        <v>0</v>
      </c>
      <c r="O79" s="70">
        <v>0</v>
      </c>
      <c r="R79" s="70" t="s">
        <v>34</v>
      </c>
      <c r="S79" s="70" t="b">
        <v>0</v>
      </c>
      <c r="T79" s="70">
        <v>2</v>
      </c>
      <c r="U79" s="83">
        <v>7</v>
      </c>
      <c r="V79" s="70">
        <v>3</v>
      </c>
      <c r="W79" s="70">
        <v>0</v>
      </c>
      <c r="X79" s="70">
        <v>1000</v>
      </c>
      <c r="Z79" s="70">
        <v>10</v>
      </c>
      <c r="AB79" s="95">
        <v>30</v>
      </c>
      <c r="AF79" s="70">
        <v>2000</v>
      </c>
      <c r="AG79" s="70">
        <v>2</v>
      </c>
      <c r="AH79" s="70">
        <v>7.54</v>
      </c>
      <c r="AI79" s="70">
        <v>610</v>
      </c>
      <c r="AJ79" s="70">
        <v>0</v>
      </c>
      <c r="AK79" s="70">
        <v>114</v>
      </c>
      <c r="AM79" s="70" t="s">
        <v>2</v>
      </c>
      <c r="AO79" s="70">
        <v>30</v>
      </c>
      <c r="AW79" s="70" t="b">
        <v>0</v>
      </c>
      <c r="AZ79" s="70" t="s">
        <v>34</v>
      </c>
      <c r="BB79" s="34"/>
      <c r="BC79" s="70">
        <v>79</v>
      </c>
      <c r="BD79" s="92" t="s">
        <v>51</v>
      </c>
      <c r="BE79" s="34"/>
      <c r="BF79" s="70">
        <v>1.2</v>
      </c>
      <c r="BG79" s="70">
        <v>0</v>
      </c>
      <c r="BH79" s="70">
        <v>0</v>
      </c>
      <c r="BI79" s="70">
        <v>0</v>
      </c>
      <c r="BJ79" s="70">
        <v>1.2</v>
      </c>
      <c r="BK79" s="70">
        <v>5.5</v>
      </c>
      <c r="BL79" s="70">
        <v>6</v>
      </c>
      <c r="BM79" s="70" t="s">
        <v>1</v>
      </c>
      <c r="BN79" s="60">
        <f t="shared" si="10"/>
        <v>60</v>
      </c>
      <c r="BO79" s="84">
        <f t="shared" si="11"/>
        <v>7</v>
      </c>
      <c r="BP79" s="75">
        <v>350</v>
      </c>
      <c r="BQ79" s="76">
        <v>2.7290000000000001</v>
      </c>
      <c r="BR79" s="76">
        <v>2.4929999999999999</v>
      </c>
      <c r="BS79" s="76">
        <v>2.6109999999999998</v>
      </c>
      <c r="BT79" s="40"/>
      <c r="BU79" s="40"/>
      <c r="BV79" s="77"/>
      <c r="BW79" s="40"/>
      <c r="BX79" s="77"/>
      <c r="BY79" s="40"/>
      <c r="BZ79" s="77"/>
      <c r="CA79" s="40"/>
      <c r="CB79" s="77"/>
      <c r="CC79" s="40"/>
      <c r="CD79" s="40"/>
      <c r="CE79" s="78"/>
      <c r="CF79" s="79" t="s">
        <v>134</v>
      </c>
      <c r="CG79" s="70">
        <v>2.6109999999999998</v>
      </c>
      <c r="CH79" s="70" t="str">
        <f t="shared" si="12"/>
        <v xml:space="preserve"> </v>
      </c>
      <c r="CI79" s="70">
        <f t="shared" si="13"/>
        <v>4.57</v>
      </c>
      <c r="CJ79" s="70">
        <v>1</v>
      </c>
      <c r="CR79" s="18">
        <v>0</v>
      </c>
      <c r="CS79" s="70">
        <v>0</v>
      </c>
      <c r="CT79" s="70">
        <v>0</v>
      </c>
      <c r="CU79" s="81">
        <v>0</v>
      </c>
      <c r="CV79" s="70">
        <v>0</v>
      </c>
      <c r="CW79" s="70">
        <v>0</v>
      </c>
      <c r="CX79" s="70">
        <v>0</v>
      </c>
      <c r="CY79" s="70">
        <v>0</v>
      </c>
      <c r="CZ79" s="70">
        <v>0</v>
      </c>
      <c r="DA79" s="70">
        <v>0</v>
      </c>
      <c r="DB79" s="70">
        <v>0</v>
      </c>
      <c r="DC79" s="18">
        <f t="shared" si="14"/>
        <v>1</v>
      </c>
      <c r="DD79" s="82">
        <v>2</v>
      </c>
      <c r="DH79" s="82"/>
      <c r="DI79" s="70" t="s">
        <v>0</v>
      </c>
    </row>
    <row r="80" spans="1:113" s="70" customFormat="1" ht="15" customHeight="1" thickBot="1" x14ac:dyDescent="0.3">
      <c r="A80" s="70">
        <v>298704</v>
      </c>
      <c r="B80" s="70" t="s">
        <v>6</v>
      </c>
      <c r="C80" s="71" t="s">
        <v>15</v>
      </c>
      <c r="D80" s="70">
        <v>60</v>
      </c>
      <c r="E80" s="70">
        <v>0</v>
      </c>
      <c r="F80" s="70">
        <v>60</v>
      </c>
      <c r="G80" s="70">
        <v>16</v>
      </c>
      <c r="H80" s="70">
        <v>0</v>
      </c>
      <c r="I80" s="70">
        <v>15</v>
      </c>
      <c r="J80" s="49" t="s">
        <v>69</v>
      </c>
      <c r="K80" s="49" t="s">
        <v>68</v>
      </c>
      <c r="L80" s="50">
        <v>45706.689004629603</v>
      </c>
      <c r="M80" s="70">
        <v>0</v>
      </c>
      <c r="N80" s="70">
        <v>0</v>
      </c>
      <c r="O80" s="70">
        <v>0</v>
      </c>
      <c r="R80" s="70" t="s">
        <v>34</v>
      </c>
      <c r="S80" s="70" t="b">
        <v>0</v>
      </c>
      <c r="T80" s="70">
        <v>2</v>
      </c>
      <c r="U80" s="83">
        <v>5</v>
      </c>
      <c r="V80" s="70">
        <v>3</v>
      </c>
      <c r="W80" s="70">
        <v>0</v>
      </c>
      <c r="X80" s="70">
        <v>1000</v>
      </c>
      <c r="Z80" s="70">
        <v>10</v>
      </c>
      <c r="AB80" s="95">
        <v>30</v>
      </c>
      <c r="AF80" s="70">
        <v>2000</v>
      </c>
      <c r="AG80" s="70">
        <v>2</v>
      </c>
      <c r="AH80" s="70">
        <v>5.35</v>
      </c>
      <c r="AI80" s="70">
        <v>554</v>
      </c>
      <c r="AJ80" s="70">
        <v>0</v>
      </c>
      <c r="AK80" s="70">
        <v>71</v>
      </c>
      <c r="AM80" s="70" t="s">
        <v>2</v>
      </c>
      <c r="AO80" s="70">
        <v>30</v>
      </c>
      <c r="AW80" s="70" t="b">
        <v>0</v>
      </c>
      <c r="AZ80" s="70" t="s">
        <v>34</v>
      </c>
      <c r="BB80" s="34"/>
      <c r="BC80" s="70">
        <v>80</v>
      </c>
      <c r="BD80" s="92" t="s">
        <v>51</v>
      </c>
      <c r="BE80" s="34"/>
      <c r="BF80" s="70">
        <v>1.2</v>
      </c>
      <c r="BG80" s="70">
        <v>0</v>
      </c>
      <c r="BH80" s="70">
        <v>0</v>
      </c>
      <c r="BI80" s="70">
        <v>0</v>
      </c>
      <c r="BJ80" s="70">
        <v>1.2</v>
      </c>
      <c r="BK80" s="70">
        <v>5.5</v>
      </c>
      <c r="BL80" s="70">
        <v>6</v>
      </c>
      <c r="BM80" s="70" t="s">
        <v>1</v>
      </c>
      <c r="BN80" s="60">
        <f t="shared" si="10"/>
        <v>60</v>
      </c>
      <c r="BO80" s="84">
        <f t="shared" si="11"/>
        <v>5</v>
      </c>
      <c r="BP80" s="75">
        <v>350</v>
      </c>
      <c r="BQ80" s="76">
        <v>0</v>
      </c>
      <c r="BR80" s="76">
        <v>0</v>
      </c>
      <c r="BS80" s="76">
        <v>0</v>
      </c>
      <c r="BT80" s="40"/>
      <c r="BU80" s="40"/>
      <c r="BV80" s="77"/>
      <c r="BW80" s="40"/>
      <c r="BX80" s="77"/>
      <c r="BY80" s="40"/>
      <c r="BZ80" s="77"/>
      <c r="CA80" s="40"/>
      <c r="CB80" s="77"/>
      <c r="CC80" s="40"/>
      <c r="CD80" s="40"/>
      <c r="CE80" s="78"/>
      <c r="CF80" s="79" t="s">
        <v>12</v>
      </c>
      <c r="CG80" s="70">
        <v>0</v>
      </c>
      <c r="CH80" s="70" t="str">
        <f t="shared" si="12"/>
        <v xml:space="preserve"> </v>
      </c>
      <c r="CI80" s="70">
        <f t="shared" si="13"/>
        <v>4.57</v>
      </c>
      <c r="CJ80" s="70">
        <v>0</v>
      </c>
      <c r="CR80" s="18">
        <v>0</v>
      </c>
      <c r="CS80" s="70">
        <v>0</v>
      </c>
      <c r="CT80" s="70">
        <v>0</v>
      </c>
      <c r="CU80" s="81">
        <v>1</v>
      </c>
      <c r="CV80" s="70">
        <v>0</v>
      </c>
      <c r="CW80" s="70">
        <v>0</v>
      </c>
      <c r="CX80" s="70">
        <v>0</v>
      </c>
      <c r="CY80" s="70">
        <v>0</v>
      </c>
      <c r="CZ80" s="70">
        <v>0</v>
      </c>
      <c r="DA80" s="70">
        <v>0</v>
      </c>
      <c r="DB80" s="70">
        <v>0</v>
      </c>
      <c r="DC80" s="18">
        <f t="shared" si="14"/>
        <v>1</v>
      </c>
      <c r="DD80" s="82">
        <v>2</v>
      </c>
      <c r="DH80" s="82"/>
      <c r="DI80" s="70" t="s">
        <v>0</v>
      </c>
    </row>
    <row r="81" spans="1:113" s="70" customFormat="1" ht="15" customHeight="1" thickBot="1" x14ac:dyDescent="0.3">
      <c r="A81" s="70">
        <v>298705</v>
      </c>
      <c r="B81" s="70" t="s">
        <v>6</v>
      </c>
      <c r="C81" s="71" t="s">
        <v>15</v>
      </c>
      <c r="D81" s="70">
        <v>60</v>
      </c>
      <c r="E81" s="70">
        <v>0</v>
      </c>
      <c r="F81" s="70">
        <v>60</v>
      </c>
      <c r="G81" s="70">
        <v>17</v>
      </c>
      <c r="H81" s="70">
        <v>0</v>
      </c>
      <c r="I81" s="70">
        <v>15</v>
      </c>
      <c r="J81" s="49" t="s">
        <v>67</v>
      </c>
      <c r="K81" s="49" t="s">
        <v>66</v>
      </c>
      <c r="L81" s="50">
        <v>45706.690972222197</v>
      </c>
      <c r="M81" s="70">
        <v>0</v>
      </c>
      <c r="N81" s="70">
        <v>0</v>
      </c>
      <c r="O81" s="70">
        <v>0</v>
      </c>
      <c r="R81" s="70" t="s">
        <v>34</v>
      </c>
      <c r="S81" s="70" t="b">
        <v>0</v>
      </c>
      <c r="T81" s="70">
        <v>2</v>
      </c>
      <c r="U81" s="94">
        <v>9</v>
      </c>
      <c r="V81" s="70">
        <v>3</v>
      </c>
      <c r="W81" s="70">
        <v>0</v>
      </c>
      <c r="X81" s="70">
        <v>1000</v>
      </c>
      <c r="Z81" s="70">
        <v>10</v>
      </c>
      <c r="AB81" s="88">
        <v>30</v>
      </c>
      <c r="AF81" s="70">
        <v>2000</v>
      </c>
      <c r="AG81" s="70">
        <v>2</v>
      </c>
      <c r="AH81" s="70">
        <v>9.65</v>
      </c>
      <c r="AI81" s="70">
        <v>669</v>
      </c>
      <c r="AJ81" s="70">
        <v>0</v>
      </c>
      <c r="AK81" s="70">
        <v>161</v>
      </c>
      <c r="AM81" s="70" t="s">
        <v>2</v>
      </c>
      <c r="AO81" s="70">
        <v>30</v>
      </c>
      <c r="AW81" s="70" t="b">
        <v>0</v>
      </c>
      <c r="AZ81" s="70" t="s">
        <v>34</v>
      </c>
      <c r="BB81" s="34"/>
      <c r="BC81" s="70">
        <v>81</v>
      </c>
      <c r="BD81" s="92" t="s">
        <v>51</v>
      </c>
      <c r="BE81" s="34"/>
      <c r="BF81" s="70">
        <v>1.2</v>
      </c>
      <c r="BG81" s="70">
        <v>0</v>
      </c>
      <c r="BH81" s="70">
        <v>0</v>
      </c>
      <c r="BI81" s="70">
        <v>0</v>
      </c>
      <c r="BJ81" s="70">
        <v>1.2</v>
      </c>
      <c r="BK81" s="70">
        <v>5.5</v>
      </c>
      <c r="BL81" s="70">
        <v>6</v>
      </c>
      <c r="BM81" s="70" t="s">
        <v>1</v>
      </c>
      <c r="BN81" s="60">
        <f t="shared" si="10"/>
        <v>60</v>
      </c>
      <c r="BO81" s="74">
        <f t="shared" si="11"/>
        <v>9</v>
      </c>
      <c r="BP81" s="75">
        <v>350</v>
      </c>
      <c r="BQ81" s="76">
        <v>5.4870000000000001</v>
      </c>
      <c r="BR81" s="76">
        <v>5.2949999999999999</v>
      </c>
      <c r="BS81" s="76">
        <v>5.391</v>
      </c>
      <c r="BT81" s="40"/>
      <c r="BU81" s="40"/>
      <c r="BV81" s="77"/>
      <c r="BW81" s="40"/>
      <c r="BX81" s="77"/>
      <c r="BY81" s="40"/>
      <c r="BZ81" s="77"/>
      <c r="CA81" s="40"/>
      <c r="CB81" s="77"/>
      <c r="CC81" s="40"/>
      <c r="CD81" s="40"/>
      <c r="CE81" s="78"/>
      <c r="CF81" s="79" t="s">
        <v>16</v>
      </c>
      <c r="CG81" s="70">
        <v>5.391</v>
      </c>
      <c r="CH81" s="70" t="str">
        <f t="shared" si="12"/>
        <v xml:space="preserve"> </v>
      </c>
      <c r="CI81" s="70">
        <f t="shared" si="13"/>
        <v>4.57</v>
      </c>
      <c r="CJ81" s="70">
        <v>0</v>
      </c>
      <c r="CR81" s="18">
        <v>0</v>
      </c>
      <c r="CS81" s="70">
        <v>0</v>
      </c>
      <c r="CT81" s="70">
        <v>0</v>
      </c>
      <c r="CU81" s="81">
        <v>0</v>
      </c>
      <c r="CV81" s="70">
        <v>0</v>
      </c>
      <c r="CW81" s="70">
        <v>0</v>
      </c>
      <c r="CX81" s="70">
        <v>0</v>
      </c>
      <c r="CY81" s="70">
        <v>0</v>
      </c>
      <c r="CZ81" s="70">
        <v>0</v>
      </c>
      <c r="DA81" s="70">
        <v>0</v>
      </c>
      <c r="DB81" s="70">
        <v>0</v>
      </c>
      <c r="DC81" s="18">
        <f t="shared" si="14"/>
        <v>0</v>
      </c>
      <c r="DD81" s="82">
        <v>0</v>
      </c>
      <c r="DH81" s="82"/>
      <c r="DI81" s="70" t="s">
        <v>0</v>
      </c>
    </row>
    <row r="82" spans="1:113" s="70" customFormat="1" ht="15" customHeight="1" thickBot="1" x14ac:dyDescent="0.3">
      <c r="A82" s="70">
        <v>298706</v>
      </c>
      <c r="B82" s="70" t="s">
        <v>6</v>
      </c>
      <c r="C82" s="71" t="s">
        <v>15</v>
      </c>
      <c r="D82" s="70">
        <v>60</v>
      </c>
      <c r="E82" s="70">
        <v>0</v>
      </c>
      <c r="F82" s="70">
        <v>60</v>
      </c>
      <c r="G82" s="70">
        <v>18</v>
      </c>
      <c r="H82" s="70">
        <v>0</v>
      </c>
      <c r="I82" s="70">
        <v>25</v>
      </c>
      <c r="J82" s="49" t="s">
        <v>65</v>
      </c>
      <c r="K82" s="49" t="s">
        <v>64</v>
      </c>
      <c r="L82" s="50">
        <v>45706.691122685203</v>
      </c>
      <c r="M82" s="70">
        <v>0</v>
      </c>
      <c r="N82" s="70">
        <v>0</v>
      </c>
      <c r="O82" s="70">
        <v>0</v>
      </c>
      <c r="R82" s="70" t="s">
        <v>34</v>
      </c>
      <c r="S82" s="70" t="b">
        <v>0</v>
      </c>
      <c r="T82" s="70">
        <v>2</v>
      </c>
      <c r="U82" s="94">
        <v>9</v>
      </c>
      <c r="V82" s="70">
        <v>3</v>
      </c>
      <c r="W82" s="70">
        <v>0</v>
      </c>
      <c r="X82" s="70">
        <v>1000</v>
      </c>
      <c r="Z82" s="70">
        <v>10</v>
      </c>
      <c r="AB82" s="88">
        <v>50</v>
      </c>
      <c r="AF82" s="70">
        <v>2000</v>
      </c>
      <c r="AG82" s="70">
        <v>2</v>
      </c>
      <c r="AH82" s="70">
        <v>9.25</v>
      </c>
      <c r="AI82" s="70">
        <v>588</v>
      </c>
      <c r="AJ82" s="70">
        <v>0</v>
      </c>
      <c r="AK82" s="70">
        <v>262</v>
      </c>
      <c r="AM82" s="70" t="s">
        <v>2</v>
      </c>
      <c r="AO82" s="70">
        <v>50</v>
      </c>
      <c r="AW82" s="70" t="b">
        <v>0</v>
      </c>
      <c r="AZ82" s="70" t="s">
        <v>34</v>
      </c>
      <c r="BB82" s="34"/>
      <c r="BC82" s="70">
        <v>82</v>
      </c>
      <c r="BD82" s="92" t="s">
        <v>51</v>
      </c>
      <c r="BE82" s="34"/>
      <c r="BF82" s="70">
        <v>1.2</v>
      </c>
      <c r="BG82" s="70">
        <v>0</v>
      </c>
      <c r="BH82" s="70">
        <v>0</v>
      </c>
      <c r="BI82" s="70">
        <v>0</v>
      </c>
      <c r="BJ82" s="70">
        <v>1.2</v>
      </c>
      <c r="BK82" s="70">
        <v>5.5</v>
      </c>
      <c r="BL82" s="70">
        <v>6</v>
      </c>
      <c r="BM82" s="70" t="s">
        <v>1</v>
      </c>
      <c r="BN82" s="60">
        <f t="shared" si="10"/>
        <v>60</v>
      </c>
      <c r="BO82" s="74">
        <f t="shared" si="11"/>
        <v>9</v>
      </c>
      <c r="BP82" s="75">
        <v>350</v>
      </c>
      <c r="BQ82" s="76">
        <v>5.9880000000000004</v>
      </c>
      <c r="BR82" s="39">
        <v>6.2240000000000002</v>
      </c>
      <c r="BS82" s="76">
        <v>6.1059999999999999</v>
      </c>
      <c r="BT82" s="40"/>
      <c r="BU82" s="40"/>
      <c r="BV82" s="77"/>
      <c r="BW82" s="40"/>
      <c r="BX82" s="77"/>
      <c r="BY82" s="40"/>
      <c r="BZ82" s="77"/>
      <c r="CA82" s="40"/>
      <c r="CB82" s="77"/>
      <c r="CC82" s="40"/>
      <c r="CD82" s="40"/>
      <c r="CE82" s="78"/>
      <c r="CF82" s="79" t="s">
        <v>677</v>
      </c>
      <c r="CG82" s="70">
        <v>6.1059999999999999</v>
      </c>
      <c r="CH82" s="70" t="str">
        <f t="shared" si="12"/>
        <v xml:space="preserve"> </v>
      </c>
      <c r="CI82" s="70">
        <f t="shared" si="13"/>
        <v>4.57</v>
      </c>
      <c r="CJ82" s="70">
        <v>0</v>
      </c>
      <c r="CR82" s="18">
        <v>1</v>
      </c>
      <c r="CS82" s="70">
        <v>0</v>
      </c>
      <c r="CT82" s="70">
        <v>0</v>
      </c>
      <c r="CU82" s="81">
        <v>0</v>
      </c>
      <c r="CV82" s="70">
        <v>0</v>
      </c>
      <c r="CW82" s="70">
        <v>0</v>
      </c>
      <c r="CX82" s="70">
        <v>0</v>
      </c>
      <c r="CY82" s="70">
        <v>0</v>
      </c>
      <c r="CZ82" s="70">
        <v>0</v>
      </c>
      <c r="DA82" s="70">
        <v>0</v>
      </c>
      <c r="DB82" s="70">
        <v>0</v>
      </c>
      <c r="DC82" s="18">
        <f t="shared" si="14"/>
        <v>1</v>
      </c>
      <c r="DD82" s="82">
        <v>1</v>
      </c>
      <c r="DH82" s="82"/>
      <c r="DI82" s="70" t="s">
        <v>0</v>
      </c>
    </row>
    <row r="83" spans="1:113" s="70" customFormat="1" ht="15" customHeight="1" thickBot="1" x14ac:dyDescent="0.3">
      <c r="A83" s="70">
        <v>298707</v>
      </c>
      <c r="B83" s="70" t="s">
        <v>6</v>
      </c>
      <c r="C83" s="71" t="s">
        <v>15</v>
      </c>
      <c r="D83" s="70">
        <v>60</v>
      </c>
      <c r="E83" s="70">
        <v>0</v>
      </c>
      <c r="F83" s="70">
        <v>60</v>
      </c>
      <c r="G83" s="70">
        <v>19</v>
      </c>
      <c r="H83" s="70">
        <v>0</v>
      </c>
      <c r="I83" s="70">
        <v>20</v>
      </c>
      <c r="J83" s="49" t="s">
        <v>63</v>
      </c>
      <c r="K83" s="49" t="s">
        <v>62</v>
      </c>
      <c r="L83" s="50">
        <v>45706.691319444399</v>
      </c>
      <c r="M83" s="70">
        <v>0</v>
      </c>
      <c r="N83" s="70">
        <v>0</v>
      </c>
      <c r="O83" s="70">
        <v>0</v>
      </c>
      <c r="R83" s="70" t="s">
        <v>34</v>
      </c>
      <c r="S83" s="70" t="b">
        <v>0</v>
      </c>
      <c r="T83" s="70">
        <v>2</v>
      </c>
      <c r="U83" s="94">
        <v>9</v>
      </c>
      <c r="V83" s="70">
        <v>3</v>
      </c>
      <c r="W83" s="70">
        <v>0</v>
      </c>
      <c r="X83" s="70">
        <v>1000</v>
      </c>
      <c r="Z83" s="70">
        <v>10</v>
      </c>
      <c r="AB83" s="88">
        <v>40</v>
      </c>
      <c r="AF83" s="70">
        <v>2000</v>
      </c>
      <c r="AG83" s="70">
        <v>2</v>
      </c>
      <c r="AH83" s="70">
        <v>9.35</v>
      </c>
      <c r="AI83" s="70">
        <v>618</v>
      </c>
      <c r="AJ83" s="70">
        <v>0</v>
      </c>
      <c r="AK83" s="70">
        <v>213</v>
      </c>
      <c r="AM83" s="70" t="s">
        <v>2</v>
      </c>
      <c r="AO83" s="70">
        <v>40</v>
      </c>
      <c r="AW83" s="70" t="b">
        <v>0</v>
      </c>
      <c r="AZ83" s="70" t="s">
        <v>34</v>
      </c>
      <c r="BB83" s="34"/>
      <c r="BC83" s="70">
        <v>83</v>
      </c>
      <c r="BD83" s="92" t="s">
        <v>51</v>
      </c>
      <c r="BE83" s="34"/>
      <c r="BF83" s="70">
        <v>1.2</v>
      </c>
      <c r="BG83" s="70">
        <v>0</v>
      </c>
      <c r="BH83" s="70">
        <v>0</v>
      </c>
      <c r="BI83" s="70">
        <v>0</v>
      </c>
      <c r="BJ83" s="70">
        <v>1.2</v>
      </c>
      <c r="BK83" s="70">
        <v>5.5</v>
      </c>
      <c r="BL83" s="70">
        <v>6</v>
      </c>
      <c r="BM83" s="70" t="s">
        <v>1</v>
      </c>
      <c r="BN83" s="60">
        <f t="shared" si="10"/>
        <v>60</v>
      </c>
      <c r="BO83" s="74">
        <f t="shared" si="11"/>
        <v>9</v>
      </c>
      <c r="BP83" s="75">
        <v>350</v>
      </c>
      <c r="BQ83" s="76">
        <v>5.5010000000000003</v>
      </c>
      <c r="BR83" s="76">
        <v>5.56</v>
      </c>
      <c r="BS83" s="76">
        <v>5.5305</v>
      </c>
      <c r="BT83" s="40"/>
      <c r="BU83" s="40"/>
      <c r="BV83" s="77"/>
      <c r="BW83" s="40"/>
      <c r="BX83" s="77"/>
      <c r="BY83" s="40"/>
      <c r="BZ83" s="77"/>
      <c r="CA83" s="40"/>
      <c r="CB83" s="77"/>
      <c r="CC83" s="40"/>
      <c r="CD83" s="40"/>
      <c r="CE83" s="78"/>
      <c r="CF83" s="79" t="s">
        <v>676</v>
      </c>
      <c r="CG83" s="70">
        <v>5.5305</v>
      </c>
      <c r="CH83" s="70" t="str">
        <f t="shared" si="12"/>
        <v xml:space="preserve"> </v>
      </c>
      <c r="CI83" s="70">
        <f t="shared" si="13"/>
        <v>4.57</v>
      </c>
      <c r="CJ83" s="70">
        <v>0</v>
      </c>
      <c r="CR83" s="18">
        <v>1</v>
      </c>
      <c r="CS83" s="70">
        <v>0</v>
      </c>
      <c r="CT83" s="70">
        <v>0</v>
      </c>
      <c r="CU83" s="81">
        <v>0</v>
      </c>
      <c r="CV83" s="70">
        <v>0</v>
      </c>
      <c r="CW83" s="70">
        <v>0</v>
      </c>
      <c r="CX83" s="70">
        <v>0</v>
      </c>
      <c r="CY83" s="70">
        <v>0</v>
      </c>
      <c r="CZ83" s="70">
        <v>0</v>
      </c>
      <c r="DA83" s="70">
        <v>0</v>
      </c>
      <c r="DB83" s="70">
        <v>0</v>
      </c>
      <c r="DC83" s="18">
        <f t="shared" si="14"/>
        <v>1</v>
      </c>
      <c r="DD83" s="82">
        <v>1</v>
      </c>
      <c r="DH83" s="82"/>
      <c r="DI83" s="70" t="s">
        <v>0</v>
      </c>
    </row>
    <row r="84" spans="1:113" s="70" customFormat="1" ht="15" customHeight="1" thickBot="1" x14ac:dyDescent="0.3">
      <c r="A84" s="70">
        <v>298708</v>
      </c>
      <c r="B84" s="70" t="s">
        <v>6</v>
      </c>
      <c r="C84" s="71" t="s">
        <v>15</v>
      </c>
      <c r="D84" s="70">
        <v>60</v>
      </c>
      <c r="E84" s="70">
        <v>0</v>
      </c>
      <c r="F84" s="70">
        <v>60</v>
      </c>
      <c r="G84" s="70">
        <v>20</v>
      </c>
      <c r="H84" s="70">
        <v>0</v>
      </c>
      <c r="I84" s="70">
        <v>10</v>
      </c>
      <c r="J84" s="49" t="s">
        <v>61</v>
      </c>
      <c r="K84" s="49" t="s">
        <v>60</v>
      </c>
      <c r="L84" s="50">
        <v>45706.691423611097</v>
      </c>
      <c r="M84" s="70">
        <v>0</v>
      </c>
      <c r="N84" s="70">
        <v>0</v>
      </c>
      <c r="O84" s="70">
        <v>0</v>
      </c>
      <c r="R84" s="70" t="s">
        <v>34</v>
      </c>
      <c r="S84" s="70" t="b">
        <v>0</v>
      </c>
      <c r="T84" s="70">
        <v>2</v>
      </c>
      <c r="U84" s="94">
        <v>9</v>
      </c>
      <c r="V84" s="70">
        <v>3</v>
      </c>
      <c r="W84" s="70">
        <v>0</v>
      </c>
      <c r="X84" s="70">
        <v>1000</v>
      </c>
      <c r="Z84" s="70">
        <v>10</v>
      </c>
      <c r="AB84" s="88">
        <v>20</v>
      </c>
      <c r="AF84" s="70">
        <v>2000</v>
      </c>
      <c r="AG84" s="70">
        <v>2</v>
      </c>
      <c r="AH84" s="70">
        <v>7.35</v>
      </c>
      <c r="AI84" s="70">
        <v>614</v>
      </c>
      <c r="AJ84" s="70">
        <v>0</v>
      </c>
      <c r="AK84" s="70">
        <v>86</v>
      </c>
      <c r="AM84" s="70" t="s">
        <v>2</v>
      </c>
      <c r="AO84" s="70">
        <v>20</v>
      </c>
      <c r="AW84" s="70" t="b">
        <v>0</v>
      </c>
      <c r="AX84" s="70">
        <v>56</v>
      </c>
      <c r="AZ84" s="70" t="s">
        <v>34</v>
      </c>
      <c r="BB84" s="34"/>
      <c r="BC84" s="70">
        <v>84</v>
      </c>
      <c r="BD84" s="92" t="s">
        <v>51</v>
      </c>
      <c r="BE84" s="34"/>
      <c r="BF84" s="70">
        <v>1.2</v>
      </c>
      <c r="BG84" s="70">
        <v>0</v>
      </c>
      <c r="BH84" s="70">
        <v>0</v>
      </c>
      <c r="BI84" s="70">
        <v>0</v>
      </c>
      <c r="BJ84" s="70">
        <v>1.2</v>
      </c>
      <c r="BK84" s="70">
        <v>5.5</v>
      </c>
      <c r="BL84" s="70">
        <v>6</v>
      </c>
      <c r="BM84" s="70" t="s">
        <v>1</v>
      </c>
      <c r="BN84" s="60">
        <f t="shared" si="10"/>
        <v>60</v>
      </c>
      <c r="BO84" s="74">
        <f t="shared" si="11"/>
        <v>9</v>
      </c>
      <c r="BP84" s="75">
        <v>350</v>
      </c>
      <c r="BQ84" s="76">
        <v>0</v>
      </c>
      <c r="BR84" s="76">
        <v>0</v>
      </c>
      <c r="BS84" s="76">
        <v>0</v>
      </c>
      <c r="BT84" s="40"/>
      <c r="BU84" s="40"/>
      <c r="BV84" s="77"/>
      <c r="BW84" s="40"/>
      <c r="BX84" s="77"/>
      <c r="BY84" s="40"/>
      <c r="BZ84" s="77"/>
      <c r="CA84" s="40"/>
      <c r="CB84" s="77"/>
      <c r="CC84" s="40"/>
      <c r="CD84" s="40"/>
      <c r="CE84" s="78"/>
      <c r="CF84" s="79" t="s">
        <v>12</v>
      </c>
      <c r="CG84" s="70">
        <v>0</v>
      </c>
      <c r="CH84" s="70" t="str">
        <f t="shared" si="12"/>
        <v xml:space="preserve"> </v>
      </c>
      <c r="CI84" s="70">
        <f t="shared" si="13"/>
        <v>4.57</v>
      </c>
      <c r="CJ84" s="70">
        <v>0</v>
      </c>
      <c r="CR84" s="18">
        <v>0</v>
      </c>
      <c r="CS84" s="70">
        <v>0</v>
      </c>
      <c r="CT84" s="70">
        <v>0</v>
      </c>
      <c r="CU84" s="81">
        <v>1</v>
      </c>
      <c r="CV84" s="70">
        <v>0</v>
      </c>
      <c r="CW84" s="70">
        <v>0</v>
      </c>
      <c r="CX84" s="70">
        <v>0</v>
      </c>
      <c r="CY84" s="70">
        <v>0</v>
      </c>
      <c r="CZ84" s="70">
        <v>0</v>
      </c>
      <c r="DA84" s="70">
        <v>0</v>
      </c>
      <c r="DB84" s="70">
        <v>0</v>
      </c>
      <c r="DC84" s="18">
        <f t="shared" si="14"/>
        <v>1</v>
      </c>
      <c r="DD84" s="82">
        <v>2</v>
      </c>
      <c r="DH84" s="82"/>
      <c r="DI84" s="70" t="s">
        <v>0</v>
      </c>
    </row>
    <row r="85" spans="1:113" s="70" customFormat="1" ht="15" customHeight="1" thickBot="1" x14ac:dyDescent="0.3">
      <c r="A85" s="70">
        <v>298709</v>
      </c>
      <c r="B85" s="70" t="s">
        <v>6</v>
      </c>
      <c r="C85" s="71" t="s">
        <v>15</v>
      </c>
      <c r="D85" s="70">
        <v>60</v>
      </c>
      <c r="E85" s="70">
        <v>0</v>
      </c>
      <c r="F85" s="70">
        <v>60</v>
      </c>
      <c r="G85" s="70">
        <v>21</v>
      </c>
      <c r="H85" s="70">
        <v>0</v>
      </c>
      <c r="I85" s="70">
        <v>15</v>
      </c>
      <c r="J85" s="49" t="s">
        <v>59</v>
      </c>
      <c r="K85" s="49" t="s">
        <v>58</v>
      </c>
      <c r="L85" s="50">
        <v>45706.693483796298</v>
      </c>
      <c r="M85" s="70">
        <v>0</v>
      </c>
      <c r="N85" s="70">
        <v>0</v>
      </c>
      <c r="O85" s="70">
        <v>0</v>
      </c>
      <c r="R85" s="70" t="s">
        <v>34</v>
      </c>
      <c r="S85" s="70" t="b">
        <v>0</v>
      </c>
      <c r="T85" s="70">
        <v>2</v>
      </c>
      <c r="U85" s="94">
        <v>9</v>
      </c>
      <c r="V85" s="70">
        <v>3</v>
      </c>
      <c r="W85" s="70">
        <v>0</v>
      </c>
      <c r="X85" s="70">
        <v>1000</v>
      </c>
      <c r="Z85" s="70">
        <v>10</v>
      </c>
      <c r="AB85" s="95">
        <v>30</v>
      </c>
      <c r="AF85" s="70">
        <v>2000</v>
      </c>
      <c r="AG85" s="70">
        <v>2</v>
      </c>
      <c r="AH85" s="70">
        <v>9.61</v>
      </c>
      <c r="AI85" s="70">
        <v>660</v>
      </c>
      <c r="AJ85" s="70">
        <v>0</v>
      </c>
      <c r="AK85" s="70">
        <v>161</v>
      </c>
      <c r="AM85" s="70" t="s">
        <v>2</v>
      </c>
      <c r="AO85" s="70">
        <v>30</v>
      </c>
      <c r="AW85" s="70" t="b">
        <v>0</v>
      </c>
      <c r="AZ85" s="70" t="s">
        <v>34</v>
      </c>
      <c r="BB85" s="34"/>
      <c r="BC85" s="70">
        <v>85</v>
      </c>
      <c r="BD85" s="92" t="s">
        <v>51</v>
      </c>
      <c r="BE85" s="34"/>
      <c r="BF85" s="70">
        <v>1.2</v>
      </c>
      <c r="BG85" s="70">
        <v>0</v>
      </c>
      <c r="BH85" s="70">
        <v>0</v>
      </c>
      <c r="BI85" s="70">
        <v>0</v>
      </c>
      <c r="BJ85" s="70">
        <v>1.2</v>
      </c>
      <c r="BK85" s="70">
        <v>5.5</v>
      </c>
      <c r="BL85" s="70">
        <v>6</v>
      </c>
      <c r="BM85" s="70" t="s">
        <v>1</v>
      </c>
      <c r="BN85" s="60">
        <f t="shared" si="10"/>
        <v>60</v>
      </c>
      <c r="BO85" s="74">
        <f t="shared" si="11"/>
        <v>9</v>
      </c>
      <c r="BP85" s="75">
        <v>350</v>
      </c>
      <c r="BQ85" s="76">
        <v>4.9740000000000002</v>
      </c>
      <c r="BR85" s="76">
        <v>4.9710000000000001</v>
      </c>
      <c r="BS85" s="76">
        <v>4.9725000000000001</v>
      </c>
      <c r="BT85" s="40"/>
      <c r="BU85" s="40"/>
      <c r="BV85" s="77"/>
      <c r="BW85" s="40"/>
      <c r="BX85" s="77"/>
      <c r="BY85" s="40"/>
      <c r="BZ85" s="77"/>
      <c r="CA85" s="40"/>
      <c r="CB85" s="77"/>
      <c r="CC85" s="40"/>
      <c r="CD85" s="40"/>
      <c r="CE85" s="78"/>
      <c r="CF85" s="79" t="s">
        <v>16</v>
      </c>
      <c r="CG85" s="70">
        <v>4.9725000000000001</v>
      </c>
      <c r="CH85" s="70" t="str">
        <f t="shared" si="12"/>
        <v xml:space="preserve"> </v>
      </c>
      <c r="CI85" s="70">
        <f t="shared" si="13"/>
        <v>4.57</v>
      </c>
      <c r="CJ85" s="70">
        <v>0</v>
      </c>
      <c r="CR85" s="18">
        <v>0</v>
      </c>
      <c r="CS85" s="70">
        <v>0</v>
      </c>
      <c r="CT85" s="70">
        <v>0</v>
      </c>
      <c r="CU85" s="81">
        <v>0</v>
      </c>
      <c r="CV85" s="70">
        <v>0</v>
      </c>
      <c r="CW85" s="70">
        <v>0</v>
      </c>
      <c r="CX85" s="70">
        <v>0</v>
      </c>
      <c r="CY85" s="70">
        <v>0</v>
      </c>
      <c r="CZ85" s="70">
        <v>0</v>
      </c>
      <c r="DA85" s="70">
        <v>0</v>
      </c>
      <c r="DB85" s="70">
        <v>0</v>
      </c>
      <c r="DC85" s="18">
        <f t="shared" si="14"/>
        <v>0</v>
      </c>
      <c r="DD85" s="82">
        <v>0</v>
      </c>
      <c r="DH85" s="82"/>
      <c r="DI85" s="70" t="s">
        <v>0</v>
      </c>
    </row>
    <row r="86" spans="1:113" s="70" customFormat="1" ht="15" customHeight="1" thickBot="1" x14ac:dyDescent="0.3">
      <c r="A86" s="70">
        <v>298710</v>
      </c>
      <c r="B86" s="70" t="s">
        <v>6</v>
      </c>
      <c r="C86" s="71" t="s">
        <v>15</v>
      </c>
      <c r="D86" s="70">
        <v>60</v>
      </c>
      <c r="E86" s="70">
        <v>0</v>
      </c>
      <c r="F86" s="70">
        <v>60</v>
      </c>
      <c r="G86" s="70">
        <v>22</v>
      </c>
      <c r="H86" s="70">
        <v>0</v>
      </c>
      <c r="I86" s="70">
        <v>15</v>
      </c>
      <c r="J86" s="49" t="s">
        <v>57</v>
      </c>
      <c r="K86" s="49" t="s">
        <v>56</v>
      </c>
      <c r="L86" s="50">
        <v>45706.693761574097</v>
      </c>
      <c r="M86" s="70">
        <v>0</v>
      </c>
      <c r="N86" s="70">
        <v>0</v>
      </c>
      <c r="O86" s="70">
        <v>0</v>
      </c>
      <c r="R86" s="70" t="s">
        <v>34</v>
      </c>
      <c r="S86" s="70" t="b">
        <v>0</v>
      </c>
      <c r="T86" s="70">
        <v>2</v>
      </c>
      <c r="U86" s="94">
        <v>9</v>
      </c>
      <c r="V86" s="70">
        <v>3</v>
      </c>
      <c r="W86" s="70">
        <v>0</v>
      </c>
      <c r="X86" s="70">
        <v>1000</v>
      </c>
      <c r="Z86" s="70">
        <v>10</v>
      </c>
      <c r="AB86" s="95">
        <v>30</v>
      </c>
      <c r="AF86" s="70">
        <v>2000</v>
      </c>
      <c r="AG86" s="70">
        <v>2</v>
      </c>
      <c r="AH86" s="70">
        <v>9.49</v>
      </c>
      <c r="AI86" s="70">
        <v>622</v>
      </c>
      <c r="AJ86" s="70">
        <v>0</v>
      </c>
      <c r="AK86" s="70">
        <v>151</v>
      </c>
      <c r="AM86" s="70" t="s">
        <v>2</v>
      </c>
      <c r="AO86" s="70">
        <v>30</v>
      </c>
      <c r="AW86" s="70" t="b">
        <v>0</v>
      </c>
      <c r="AZ86" s="70" t="s">
        <v>34</v>
      </c>
      <c r="BB86" s="34"/>
      <c r="BC86" s="70">
        <v>86</v>
      </c>
      <c r="BD86" s="92" t="s">
        <v>51</v>
      </c>
      <c r="BE86" s="34"/>
      <c r="BF86" s="70">
        <v>1.2</v>
      </c>
      <c r="BG86" s="70">
        <v>0</v>
      </c>
      <c r="BH86" s="70">
        <v>0</v>
      </c>
      <c r="BI86" s="70">
        <v>0</v>
      </c>
      <c r="BJ86" s="70">
        <v>1.2</v>
      </c>
      <c r="BK86" s="70">
        <v>5.5</v>
      </c>
      <c r="BL86" s="70">
        <v>6</v>
      </c>
      <c r="BM86" s="70" t="s">
        <v>1</v>
      </c>
      <c r="BN86" s="60">
        <f t="shared" si="10"/>
        <v>60</v>
      </c>
      <c r="BO86" s="74">
        <f t="shared" si="11"/>
        <v>9</v>
      </c>
      <c r="BP86" s="90">
        <v>450</v>
      </c>
      <c r="BQ86" s="76">
        <v>4.6319999999999997</v>
      </c>
      <c r="BR86" s="76">
        <v>5.1779999999999999</v>
      </c>
      <c r="BS86" s="76">
        <v>4.9049999999999994</v>
      </c>
      <c r="BT86" s="40"/>
      <c r="BU86" s="40"/>
      <c r="BV86" s="77"/>
      <c r="BW86" s="40"/>
      <c r="BX86" s="77"/>
      <c r="BY86" s="40"/>
      <c r="BZ86" s="77"/>
      <c r="CA86" s="40"/>
      <c r="CB86" s="77"/>
      <c r="CC86" s="40"/>
      <c r="CD86" s="40"/>
      <c r="CE86" s="78"/>
      <c r="CF86" s="79" t="s">
        <v>676</v>
      </c>
      <c r="CG86" s="70">
        <v>4.9049999999999994</v>
      </c>
      <c r="CH86" s="70" t="str">
        <f t="shared" si="12"/>
        <v xml:space="preserve"> </v>
      </c>
      <c r="CI86" s="70">
        <f t="shared" si="13"/>
        <v>4.57</v>
      </c>
      <c r="CJ86" s="70">
        <v>0</v>
      </c>
      <c r="CR86" s="18">
        <v>1</v>
      </c>
      <c r="CS86" s="70">
        <v>0</v>
      </c>
      <c r="CT86" s="70">
        <v>0</v>
      </c>
      <c r="CU86" s="81">
        <v>0</v>
      </c>
      <c r="CV86" s="70">
        <v>0</v>
      </c>
      <c r="CW86" s="70">
        <v>0</v>
      </c>
      <c r="CX86" s="70">
        <v>0</v>
      </c>
      <c r="CY86" s="70">
        <v>0</v>
      </c>
      <c r="CZ86" s="70">
        <v>0</v>
      </c>
      <c r="DA86" s="70">
        <v>0</v>
      </c>
      <c r="DB86" s="70">
        <v>0</v>
      </c>
      <c r="DC86" s="18">
        <f t="shared" si="14"/>
        <v>1</v>
      </c>
      <c r="DD86" s="82">
        <v>1</v>
      </c>
      <c r="DH86" s="82"/>
      <c r="DI86" s="70" t="s">
        <v>0</v>
      </c>
    </row>
    <row r="87" spans="1:113" s="70" customFormat="1" ht="15" customHeight="1" thickBot="1" x14ac:dyDescent="0.3">
      <c r="A87" s="70">
        <v>298711</v>
      </c>
      <c r="B87" s="70" t="s">
        <v>6</v>
      </c>
      <c r="C87" s="71" t="s">
        <v>15</v>
      </c>
      <c r="D87" s="70">
        <v>60</v>
      </c>
      <c r="E87" s="70">
        <v>0</v>
      </c>
      <c r="F87" s="70">
        <v>60</v>
      </c>
      <c r="G87" s="70">
        <v>23</v>
      </c>
      <c r="H87" s="70">
        <v>0</v>
      </c>
      <c r="I87" s="70">
        <v>15</v>
      </c>
      <c r="J87" s="49" t="s">
        <v>55</v>
      </c>
      <c r="K87" s="49" t="s">
        <v>54</v>
      </c>
      <c r="L87" s="50">
        <v>45706.693935185198</v>
      </c>
      <c r="M87" s="70">
        <v>0</v>
      </c>
      <c r="N87" s="70">
        <v>0</v>
      </c>
      <c r="O87" s="70">
        <v>0</v>
      </c>
      <c r="R87" s="70" t="s">
        <v>34</v>
      </c>
      <c r="S87" s="70" t="b">
        <v>0</v>
      </c>
      <c r="T87" s="70">
        <v>2</v>
      </c>
      <c r="U87" s="94">
        <v>9</v>
      </c>
      <c r="V87" s="70">
        <v>3</v>
      </c>
      <c r="W87" s="70">
        <v>0</v>
      </c>
      <c r="X87" s="70">
        <v>1000</v>
      </c>
      <c r="Z87" s="70">
        <v>10</v>
      </c>
      <c r="AB87" s="95">
        <v>30</v>
      </c>
      <c r="AF87" s="70">
        <v>2000</v>
      </c>
      <c r="AG87" s="70">
        <v>2</v>
      </c>
      <c r="AH87" s="70">
        <v>9.4600000000000009</v>
      </c>
      <c r="AI87" s="70">
        <v>605</v>
      </c>
      <c r="AJ87" s="70">
        <v>0</v>
      </c>
      <c r="AK87" s="70">
        <v>147</v>
      </c>
      <c r="AM87" s="70" t="s">
        <v>2</v>
      </c>
      <c r="AO87" s="70">
        <v>30</v>
      </c>
      <c r="AW87" s="70" t="b">
        <v>0</v>
      </c>
      <c r="AZ87" s="70" t="s">
        <v>34</v>
      </c>
      <c r="BB87" s="34"/>
      <c r="BC87" s="70">
        <v>87</v>
      </c>
      <c r="BD87" s="92" t="s">
        <v>51</v>
      </c>
      <c r="BE87" s="34"/>
      <c r="BF87" s="70">
        <v>1.2</v>
      </c>
      <c r="BG87" s="70">
        <v>0</v>
      </c>
      <c r="BH87" s="70">
        <v>0</v>
      </c>
      <c r="BI87" s="70">
        <v>0</v>
      </c>
      <c r="BJ87" s="70">
        <v>1.2</v>
      </c>
      <c r="BK87" s="70">
        <v>5.5</v>
      </c>
      <c r="BL87" s="70">
        <v>6</v>
      </c>
      <c r="BM87" s="70" t="s">
        <v>1</v>
      </c>
      <c r="BN87" s="60">
        <f t="shared" si="10"/>
        <v>60</v>
      </c>
      <c r="BO87" s="74">
        <f t="shared" si="11"/>
        <v>9</v>
      </c>
      <c r="BP87" s="90">
        <v>550</v>
      </c>
      <c r="BQ87" s="76">
        <v>4.431</v>
      </c>
      <c r="BR87" s="76">
        <v>4.4989999999999997</v>
      </c>
      <c r="BS87" s="76">
        <v>4.4649999999999999</v>
      </c>
      <c r="BT87" s="40"/>
      <c r="BU87" s="40"/>
      <c r="BV87" s="77"/>
      <c r="BW87" s="40"/>
      <c r="BX87" s="77"/>
      <c r="BY87" s="40"/>
      <c r="BZ87" s="77"/>
      <c r="CA87" s="40"/>
      <c r="CB87" s="77"/>
      <c r="CC87" s="40"/>
      <c r="CD87" s="40"/>
      <c r="CE87" s="78"/>
      <c r="CF87" s="79" t="s">
        <v>134</v>
      </c>
      <c r="CG87" s="70">
        <v>4.4649999999999999</v>
      </c>
      <c r="CH87" s="70" t="str">
        <f t="shared" si="12"/>
        <v xml:space="preserve"> </v>
      </c>
      <c r="CI87" s="70">
        <f t="shared" si="13"/>
        <v>4.57</v>
      </c>
      <c r="CJ87" s="70">
        <v>1</v>
      </c>
      <c r="CR87" s="18">
        <v>1</v>
      </c>
      <c r="CS87" s="70">
        <v>0</v>
      </c>
      <c r="CT87" s="70">
        <v>0</v>
      </c>
      <c r="CU87" s="81">
        <v>0</v>
      </c>
      <c r="CV87" s="70">
        <v>0</v>
      </c>
      <c r="CW87" s="70">
        <v>0</v>
      </c>
      <c r="CX87" s="70">
        <v>0</v>
      </c>
      <c r="CY87" s="70">
        <v>0</v>
      </c>
      <c r="CZ87" s="70">
        <v>0</v>
      </c>
      <c r="DA87" s="70">
        <v>0</v>
      </c>
      <c r="DB87" s="70">
        <v>0</v>
      </c>
      <c r="DC87" s="18">
        <f t="shared" si="14"/>
        <v>1</v>
      </c>
      <c r="DD87" s="82">
        <v>1</v>
      </c>
      <c r="DH87" s="82"/>
      <c r="DI87" s="70" t="s">
        <v>0</v>
      </c>
    </row>
    <row r="88" spans="1:113" s="70" customFormat="1" ht="15" customHeight="1" thickBot="1" x14ac:dyDescent="0.3">
      <c r="A88" s="70">
        <v>298712</v>
      </c>
      <c r="B88" s="70" t="s">
        <v>6</v>
      </c>
      <c r="C88" s="71" t="s">
        <v>15</v>
      </c>
      <c r="D88" s="70">
        <v>60</v>
      </c>
      <c r="E88" s="70">
        <v>0</v>
      </c>
      <c r="F88" s="70">
        <v>60</v>
      </c>
      <c r="G88" s="70">
        <v>24</v>
      </c>
      <c r="H88" s="70">
        <v>0</v>
      </c>
      <c r="I88" s="70">
        <v>15</v>
      </c>
      <c r="J88" s="49" t="s">
        <v>53</v>
      </c>
      <c r="K88" s="49" t="s">
        <v>52</v>
      </c>
      <c r="L88" s="50">
        <v>45706.694108796299</v>
      </c>
      <c r="M88" s="70">
        <v>0</v>
      </c>
      <c r="N88" s="70">
        <v>0</v>
      </c>
      <c r="O88" s="70">
        <v>0</v>
      </c>
      <c r="R88" s="70" t="s">
        <v>34</v>
      </c>
      <c r="S88" s="70" t="b">
        <v>0</v>
      </c>
      <c r="T88" s="70">
        <v>2</v>
      </c>
      <c r="U88" s="94">
        <v>9</v>
      </c>
      <c r="V88" s="70">
        <v>3</v>
      </c>
      <c r="W88" s="70">
        <v>0</v>
      </c>
      <c r="X88" s="70">
        <v>1000</v>
      </c>
      <c r="Z88" s="70">
        <v>10</v>
      </c>
      <c r="AB88" s="95">
        <v>30</v>
      </c>
      <c r="AF88" s="70">
        <v>2000</v>
      </c>
      <c r="AG88" s="70">
        <v>2</v>
      </c>
      <c r="AH88" s="70">
        <v>9.58</v>
      </c>
      <c r="AI88" s="70">
        <v>665</v>
      </c>
      <c r="AJ88" s="70">
        <v>0</v>
      </c>
      <c r="AK88" s="70">
        <v>161</v>
      </c>
      <c r="AM88" s="70" t="s">
        <v>2</v>
      </c>
      <c r="AO88" s="70">
        <v>30</v>
      </c>
      <c r="AW88" s="70" t="b">
        <v>0</v>
      </c>
      <c r="AZ88" s="70" t="s">
        <v>34</v>
      </c>
      <c r="BB88" s="34"/>
      <c r="BC88" s="70">
        <v>88</v>
      </c>
      <c r="BD88" s="92" t="s">
        <v>51</v>
      </c>
      <c r="BE88" s="34"/>
      <c r="BF88" s="70">
        <v>1.2</v>
      </c>
      <c r="BG88" s="70">
        <v>0</v>
      </c>
      <c r="BH88" s="70">
        <v>0</v>
      </c>
      <c r="BI88" s="70">
        <v>0</v>
      </c>
      <c r="BJ88" s="70">
        <v>1.2</v>
      </c>
      <c r="BK88" s="70">
        <v>5.5</v>
      </c>
      <c r="BL88" s="70">
        <v>6</v>
      </c>
      <c r="BM88" s="70" t="s">
        <v>1</v>
      </c>
      <c r="BN88" s="60">
        <f t="shared" si="10"/>
        <v>60</v>
      </c>
      <c r="BO88" s="74">
        <f t="shared" si="11"/>
        <v>9</v>
      </c>
      <c r="BP88" s="90">
        <v>250</v>
      </c>
      <c r="BQ88" s="76">
        <v>4.7210000000000001</v>
      </c>
      <c r="BR88" s="76">
        <v>4.4690000000000003</v>
      </c>
      <c r="BS88" s="76">
        <v>4.5950000000000006</v>
      </c>
      <c r="BT88" s="40"/>
      <c r="BU88" s="40"/>
      <c r="BV88" s="77"/>
      <c r="BW88" s="40"/>
      <c r="BX88" s="77"/>
      <c r="BY88" s="40"/>
      <c r="BZ88" s="77"/>
      <c r="CA88" s="40"/>
      <c r="CB88" s="77"/>
      <c r="CC88" s="40"/>
      <c r="CD88" s="40"/>
      <c r="CE88" s="78"/>
      <c r="CF88" s="47" t="s">
        <v>16</v>
      </c>
      <c r="CG88" s="86">
        <v>4.5950000000000006</v>
      </c>
      <c r="CH88" s="86" t="str">
        <f t="shared" si="12"/>
        <v xml:space="preserve"> </v>
      </c>
      <c r="CI88" s="70">
        <f t="shared" si="13"/>
        <v>4.57</v>
      </c>
      <c r="CJ88" s="70">
        <v>0</v>
      </c>
      <c r="CR88" s="18">
        <v>0</v>
      </c>
      <c r="CS88" s="70">
        <v>0</v>
      </c>
      <c r="CT88" s="70">
        <v>0</v>
      </c>
      <c r="CU88" s="81">
        <v>0</v>
      </c>
      <c r="CV88" s="70">
        <v>0</v>
      </c>
      <c r="CW88" s="70">
        <v>0</v>
      </c>
      <c r="CX88" s="70">
        <v>0</v>
      </c>
      <c r="CY88" s="70">
        <v>0</v>
      </c>
      <c r="CZ88" s="70">
        <v>0</v>
      </c>
      <c r="DA88" s="70">
        <v>0</v>
      </c>
      <c r="DB88" s="70">
        <v>0</v>
      </c>
      <c r="DC88" s="18">
        <f t="shared" si="14"/>
        <v>0</v>
      </c>
      <c r="DD88" s="82">
        <v>0</v>
      </c>
      <c r="DH88" s="82"/>
      <c r="DI88" s="70" t="s">
        <v>0</v>
      </c>
    </row>
    <row r="89" spans="1:113" s="70" customFormat="1" ht="15" customHeight="1" thickBot="1" x14ac:dyDescent="0.3">
      <c r="A89" s="70">
        <v>318202</v>
      </c>
      <c r="B89" s="70" t="s">
        <v>6</v>
      </c>
      <c r="C89" s="71" t="s">
        <v>15</v>
      </c>
      <c r="D89" s="70">
        <v>60</v>
      </c>
      <c r="E89" s="70">
        <v>0</v>
      </c>
      <c r="F89" s="70">
        <v>60</v>
      </c>
      <c r="G89" s="70">
        <v>7</v>
      </c>
      <c r="H89" s="70">
        <v>0</v>
      </c>
      <c r="I89" s="70">
        <v>25</v>
      </c>
      <c r="J89" s="49" t="s">
        <v>50</v>
      </c>
      <c r="K89" s="49" t="s">
        <v>49</v>
      </c>
      <c r="L89" s="50">
        <v>45728.409826388903</v>
      </c>
      <c r="M89" s="70">
        <v>0</v>
      </c>
      <c r="N89" s="70">
        <v>0</v>
      </c>
      <c r="O89" s="70">
        <v>0</v>
      </c>
      <c r="R89" s="70" t="s">
        <v>34</v>
      </c>
      <c r="S89" s="70" t="b">
        <v>0</v>
      </c>
      <c r="T89" s="70">
        <v>2</v>
      </c>
      <c r="U89" s="94">
        <v>7.5</v>
      </c>
      <c r="V89" s="70">
        <v>3</v>
      </c>
      <c r="W89" s="70">
        <v>0</v>
      </c>
      <c r="X89" s="70">
        <v>1000</v>
      </c>
      <c r="Z89" s="70">
        <v>10</v>
      </c>
      <c r="AB89" s="95">
        <v>50</v>
      </c>
      <c r="AF89" s="70">
        <v>2000</v>
      </c>
      <c r="AG89" s="70">
        <v>2</v>
      </c>
      <c r="AH89" s="70">
        <v>7.81</v>
      </c>
      <c r="AI89" s="70">
        <v>936</v>
      </c>
      <c r="AJ89" s="70">
        <v>0</v>
      </c>
      <c r="AK89" s="70">
        <v>324</v>
      </c>
      <c r="AM89" s="70" t="s">
        <v>2</v>
      </c>
      <c r="AO89" s="70">
        <v>50</v>
      </c>
      <c r="AW89" s="70" t="b">
        <v>0</v>
      </c>
      <c r="AZ89" s="70" t="s">
        <v>34</v>
      </c>
      <c r="BB89" s="34"/>
      <c r="BC89" s="70">
        <v>89</v>
      </c>
      <c r="BD89" s="92" t="s">
        <v>33</v>
      </c>
      <c r="BE89" s="34"/>
      <c r="BF89" s="70">
        <v>1.6</v>
      </c>
      <c r="BG89" s="70">
        <v>1</v>
      </c>
      <c r="BH89" s="70">
        <v>1</v>
      </c>
      <c r="BI89" s="70">
        <v>0</v>
      </c>
      <c r="BJ89" s="70">
        <v>0.55000000000000004</v>
      </c>
      <c r="BK89" s="70">
        <v>5.5</v>
      </c>
      <c r="BL89" s="70">
        <v>6</v>
      </c>
      <c r="BM89" s="70" t="s">
        <v>1</v>
      </c>
      <c r="BN89" s="60">
        <f t="shared" si="10"/>
        <v>60</v>
      </c>
      <c r="BO89" s="74">
        <f t="shared" si="11"/>
        <v>7.5</v>
      </c>
      <c r="BP89" s="75">
        <v>250</v>
      </c>
      <c r="BQ89" s="76">
        <v>4.2560000000000002</v>
      </c>
      <c r="BR89" s="76">
        <v>4.5730000000000004</v>
      </c>
      <c r="BS89" s="76">
        <f t="shared" ref="BS89:BS96" si="15">(BQ89+BR89)/2</f>
        <v>4.4145000000000003</v>
      </c>
      <c r="BT89" s="40"/>
      <c r="BU89" s="40"/>
      <c r="BV89" s="77"/>
      <c r="BW89" s="40"/>
      <c r="BX89" s="77"/>
      <c r="BY89" s="40"/>
      <c r="BZ89" s="77"/>
      <c r="CA89" s="40"/>
      <c r="CB89" s="77"/>
      <c r="CC89" s="40"/>
      <c r="CD89" s="40"/>
      <c r="CE89" s="78"/>
      <c r="CF89" s="47" t="s">
        <v>16</v>
      </c>
      <c r="CG89" s="70">
        <f t="shared" ref="CG89:CG96" si="16">BS89</f>
        <v>4.4145000000000003</v>
      </c>
      <c r="CH89" s="70" t="str">
        <f t="shared" si="12"/>
        <v xml:space="preserve"> </v>
      </c>
      <c r="CI89" s="70">
        <f t="shared" si="13"/>
        <v>2.68</v>
      </c>
      <c r="CJ89" s="70">
        <f>IF(CG89&gt;CI89,0,1)</f>
        <v>0</v>
      </c>
      <c r="CR89" s="18">
        <v>0</v>
      </c>
      <c r="CS89" s="70">
        <v>0</v>
      </c>
      <c r="CT89" s="70">
        <v>0</v>
      </c>
      <c r="CU89" s="81">
        <v>0</v>
      </c>
      <c r="CV89" s="70">
        <v>0</v>
      </c>
      <c r="CW89" s="70">
        <v>0</v>
      </c>
      <c r="CX89" s="70">
        <v>0</v>
      </c>
      <c r="CY89" s="70">
        <v>0</v>
      </c>
      <c r="CZ89" s="70">
        <v>0</v>
      </c>
      <c r="DA89" s="70">
        <v>0</v>
      </c>
      <c r="DB89" s="70">
        <v>0</v>
      </c>
      <c r="DC89" s="18">
        <f t="shared" si="14"/>
        <v>0</v>
      </c>
      <c r="DD89" s="82">
        <v>0</v>
      </c>
      <c r="DH89" s="82"/>
      <c r="DI89" s="70" t="s">
        <v>0</v>
      </c>
    </row>
    <row r="90" spans="1:113" s="70" customFormat="1" ht="15" customHeight="1" thickBot="1" x14ac:dyDescent="0.3">
      <c r="A90" s="70">
        <v>318203</v>
      </c>
      <c r="B90" s="70" t="s">
        <v>6</v>
      </c>
      <c r="C90" s="71" t="s">
        <v>15</v>
      </c>
      <c r="D90" s="70">
        <v>60</v>
      </c>
      <c r="E90" s="70">
        <v>0</v>
      </c>
      <c r="F90" s="70">
        <v>60</v>
      </c>
      <c r="G90" s="70">
        <v>8</v>
      </c>
      <c r="H90" s="70">
        <v>0</v>
      </c>
      <c r="I90" s="70">
        <v>25</v>
      </c>
      <c r="J90" s="49" t="s">
        <v>48</v>
      </c>
      <c r="K90" s="49" t="s">
        <v>47</v>
      </c>
      <c r="L90" s="50">
        <v>45728.410023148201</v>
      </c>
      <c r="M90" s="70">
        <v>0</v>
      </c>
      <c r="N90" s="70">
        <v>0</v>
      </c>
      <c r="O90" s="70">
        <v>0</v>
      </c>
      <c r="R90" s="70" t="s">
        <v>34</v>
      </c>
      <c r="S90" s="70" t="b">
        <v>0</v>
      </c>
      <c r="T90" s="70">
        <v>2</v>
      </c>
      <c r="U90" s="83">
        <v>6</v>
      </c>
      <c r="V90" s="70">
        <v>3</v>
      </c>
      <c r="W90" s="70">
        <v>0</v>
      </c>
      <c r="X90" s="70">
        <v>1000</v>
      </c>
      <c r="Z90" s="70">
        <v>10</v>
      </c>
      <c r="AB90" s="95">
        <v>50</v>
      </c>
      <c r="AF90" s="70">
        <v>2000</v>
      </c>
      <c r="AG90" s="70">
        <v>2</v>
      </c>
      <c r="AH90" s="70">
        <v>6.25</v>
      </c>
      <c r="AI90" s="70">
        <v>817</v>
      </c>
      <c r="AJ90" s="70">
        <v>0</v>
      </c>
      <c r="AK90" s="70">
        <v>225</v>
      </c>
      <c r="AM90" s="70" t="s">
        <v>2</v>
      </c>
      <c r="AO90" s="70">
        <v>50</v>
      </c>
      <c r="AW90" s="70" t="b">
        <v>0</v>
      </c>
      <c r="AZ90" s="70" t="s">
        <v>34</v>
      </c>
      <c r="BB90" s="34"/>
      <c r="BC90" s="70">
        <v>90</v>
      </c>
      <c r="BD90" s="92" t="s">
        <v>33</v>
      </c>
      <c r="BE90" s="34"/>
      <c r="BF90" s="70">
        <v>1.6</v>
      </c>
      <c r="BG90" s="70">
        <v>1</v>
      </c>
      <c r="BH90" s="70">
        <v>1</v>
      </c>
      <c r="BI90" s="70">
        <v>0</v>
      </c>
      <c r="BJ90" s="70">
        <v>0.55000000000000004</v>
      </c>
      <c r="BK90" s="70">
        <v>5.5</v>
      </c>
      <c r="BL90" s="70">
        <v>6</v>
      </c>
      <c r="BM90" s="70" t="s">
        <v>1</v>
      </c>
      <c r="BN90" s="60">
        <f t="shared" si="10"/>
        <v>60</v>
      </c>
      <c r="BO90" s="84">
        <f t="shared" si="11"/>
        <v>6</v>
      </c>
      <c r="BP90" s="75">
        <v>250</v>
      </c>
      <c r="BQ90" s="76">
        <v>0</v>
      </c>
      <c r="BR90" s="76">
        <v>0</v>
      </c>
      <c r="BS90" s="76">
        <f t="shared" si="15"/>
        <v>0</v>
      </c>
      <c r="BT90" s="40"/>
      <c r="BU90" s="40"/>
      <c r="BV90" s="77"/>
      <c r="BW90" s="40"/>
      <c r="BX90" s="77"/>
      <c r="BY90" s="40"/>
      <c r="BZ90" s="77"/>
      <c r="CA90" s="40"/>
      <c r="CB90" s="77"/>
      <c r="CC90" s="40"/>
      <c r="CD90" s="40"/>
      <c r="CE90" s="78"/>
      <c r="CF90" s="79" t="s">
        <v>12</v>
      </c>
      <c r="CG90" s="70">
        <f t="shared" si="16"/>
        <v>0</v>
      </c>
      <c r="CH90" s="70" t="str">
        <f t="shared" si="12"/>
        <v xml:space="preserve"> </v>
      </c>
      <c r="CI90" s="70">
        <f t="shared" si="13"/>
        <v>2.68</v>
      </c>
      <c r="CJ90" s="70">
        <v>0</v>
      </c>
      <c r="CR90" s="18">
        <v>0</v>
      </c>
      <c r="CS90" s="70">
        <v>0</v>
      </c>
      <c r="CT90" s="70">
        <v>0</v>
      </c>
      <c r="CU90" s="81">
        <v>1</v>
      </c>
      <c r="CV90" s="70">
        <v>0</v>
      </c>
      <c r="CW90" s="70">
        <v>0</v>
      </c>
      <c r="CX90" s="70">
        <v>0</v>
      </c>
      <c r="CY90" s="70">
        <v>0</v>
      </c>
      <c r="CZ90" s="70">
        <v>0</v>
      </c>
      <c r="DA90" s="70">
        <v>0</v>
      </c>
      <c r="DB90" s="70">
        <v>0</v>
      </c>
      <c r="DC90" s="18">
        <f t="shared" si="14"/>
        <v>1</v>
      </c>
      <c r="DD90" s="82">
        <v>2</v>
      </c>
      <c r="DH90" s="82"/>
      <c r="DI90" s="70" t="s">
        <v>0</v>
      </c>
    </row>
    <row r="91" spans="1:113" s="70" customFormat="1" ht="15" customHeight="1" thickBot="1" x14ac:dyDescent="0.3">
      <c r="A91" s="70">
        <v>318204</v>
      </c>
      <c r="B91" s="70" t="s">
        <v>6</v>
      </c>
      <c r="C91" s="71" t="s">
        <v>15</v>
      </c>
      <c r="D91" s="70">
        <v>60</v>
      </c>
      <c r="E91" s="70">
        <v>0</v>
      </c>
      <c r="F91" s="70">
        <v>60</v>
      </c>
      <c r="G91" s="70">
        <v>9</v>
      </c>
      <c r="H91" s="70">
        <v>0</v>
      </c>
      <c r="I91" s="70">
        <v>25</v>
      </c>
      <c r="J91" s="49" t="s">
        <v>46</v>
      </c>
      <c r="K91" s="49" t="s">
        <v>45</v>
      </c>
      <c r="L91" s="50">
        <v>45728.410127314797</v>
      </c>
      <c r="M91" s="70">
        <v>0</v>
      </c>
      <c r="N91" s="70">
        <v>0</v>
      </c>
      <c r="O91" s="70">
        <v>0</v>
      </c>
      <c r="R91" s="70" t="s">
        <v>34</v>
      </c>
      <c r="S91" s="70" t="b">
        <v>0</v>
      </c>
      <c r="T91" s="70">
        <v>2</v>
      </c>
      <c r="U91" s="83">
        <v>5</v>
      </c>
      <c r="V91" s="70">
        <v>3</v>
      </c>
      <c r="W91" s="70">
        <v>0</v>
      </c>
      <c r="X91" s="70">
        <v>1000</v>
      </c>
      <c r="Z91" s="70">
        <v>10</v>
      </c>
      <c r="AB91" s="95">
        <v>50</v>
      </c>
      <c r="AF91" s="70">
        <v>2000</v>
      </c>
      <c r="AG91" s="70">
        <v>2</v>
      </c>
      <c r="AH91" s="70">
        <v>5.18</v>
      </c>
      <c r="AI91" s="70">
        <v>758</v>
      </c>
      <c r="AJ91" s="70">
        <v>0</v>
      </c>
      <c r="AK91" s="70">
        <v>171</v>
      </c>
      <c r="AM91" s="70" t="s">
        <v>2</v>
      </c>
      <c r="AO91" s="70">
        <v>50</v>
      </c>
      <c r="AW91" s="70" t="b">
        <v>0</v>
      </c>
      <c r="AZ91" s="70" t="s">
        <v>34</v>
      </c>
      <c r="BB91" s="34"/>
      <c r="BC91" s="70">
        <v>91</v>
      </c>
      <c r="BD91" s="92" t="s">
        <v>33</v>
      </c>
      <c r="BE91" s="34"/>
      <c r="BF91" s="70">
        <v>1.6</v>
      </c>
      <c r="BG91" s="70">
        <v>1</v>
      </c>
      <c r="BH91" s="70">
        <v>1</v>
      </c>
      <c r="BI91" s="70">
        <v>0</v>
      </c>
      <c r="BJ91" s="70">
        <v>0.55000000000000004</v>
      </c>
      <c r="BK91" s="70">
        <v>5.5</v>
      </c>
      <c r="BL91" s="70">
        <v>6</v>
      </c>
      <c r="BM91" s="70" t="s">
        <v>1</v>
      </c>
      <c r="BN91" s="60">
        <f t="shared" si="10"/>
        <v>60</v>
      </c>
      <c r="BO91" s="84">
        <f t="shared" si="11"/>
        <v>5</v>
      </c>
      <c r="BP91" s="75">
        <v>250</v>
      </c>
      <c r="BQ91" s="76">
        <v>0</v>
      </c>
      <c r="BR91" s="76">
        <v>0</v>
      </c>
      <c r="BS91" s="76">
        <f t="shared" si="15"/>
        <v>0</v>
      </c>
      <c r="BT91" s="40"/>
      <c r="BU91" s="40"/>
      <c r="BV91" s="77"/>
      <c r="BW91" s="40"/>
      <c r="BX91" s="77"/>
      <c r="BY91" s="40"/>
      <c r="BZ91" s="77"/>
      <c r="CA91" s="40"/>
      <c r="CB91" s="77"/>
      <c r="CC91" s="40"/>
      <c r="CD91" s="40"/>
      <c r="CE91" s="78"/>
      <c r="CF91" s="79" t="s">
        <v>12</v>
      </c>
      <c r="CG91" s="70">
        <f t="shared" si="16"/>
        <v>0</v>
      </c>
      <c r="CH91" s="70" t="str">
        <f t="shared" si="12"/>
        <v xml:space="preserve"> </v>
      </c>
      <c r="CI91" s="70">
        <f t="shared" si="13"/>
        <v>2.68</v>
      </c>
      <c r="CJ91" s="70">
        <v>0</v>
      </c>
      <c r="CR91" s="18">
        <v>0</v>
      </c>
      <c r="CS91" s="70">
        <v>0</v>
      </c>
      <c r="CT91" s="70">
        <v>0</v>
      </c>
      <c r="CU91" s="81">
        <v>1</v>
      </c>
      <c r="CV91" s="70">
        <v>0</v>
      </c>
      <c r="CW91" s="70">
        <v>0</v>
      </c>
      <c r="CX91" s="70">
        <v>0</v>
      </c>
      <c r="CY91" s="70">
        <v>0</v>
      </c>
      <c r="CZ91" s="70">
        <v>0</v>
      </c>
      <c r="DA91" s="70">
        <v>0</v>
      </c>
      <c r="DB91" s="70">
        <v>0</v>
      </c>
      <c r="DC91" s="18">
        <f t="shared" si="14"/>
        <v>1</v>
      </c>
      <c r="DD91" s="82">
        <v>2</v>
      </c>
      <c r="DH91" s="82"/>
      <c r="DI91" s="70" t="s">
        <v>0</v>
      </c>
    </row>
    <row r="92" spans="1:113" s="70" customFormat="1" ht="15" customHeight="1" thickBot="1" x14ac:dyDescent="0.3">
      <c r="A92" s="70">
        <v>318205</v>
      </c>
      <c r="B92" s="70" t="s">
        <v>6</v>
      </c>
      <c r="C92" s="71" t="s">
        <v>15</v>
      </c>
      <c r="D92" s="70">
        <v>60</v>
      </c>
      <c r="E92" s="70">
        <v>0</v>
      </c>
      <c r="F92" s="70">
        <v>60</v>
      </c>
      <c r="G92" s="70">
        <v>10</v>
      </c>
      <c r="H92" s="70">
        <v>0</v>
      </c>
      <c r="I92" s="70">
        <v>25</v>
      </c>
      <c r="J92" s="49" t="s">
        <v>44</v>
      </c>
      <c r="K92" s="49" t="s">
        <v>43</v>
      </c>
      <c r="L92" s="50">
        <v>45728.410243055601</v>
      </c>
      <c r="M92" s="70">
        <v>0</v>
      </c>
      <c r="N92" s="70">
        <v>0</v>
      </c>
      <c r="O92" s="70">
        <v>0</v>
      </c>
      <c r="R92" s="70" t="s">
        <v>34</v>
      </c>
      <c r="S92" s="70" t="b">
        <v>0</v>
      </c>
      <c r="T92" s="70">
        <v>2</v>
      </c>
      <c r="U92" s="83">
        <v>3</v>
      </c>
      <c r="V92" s="70">
        <v>3</v>
      </c>
      <c r="W92" s="70">
        <v>0</v>
      </c>
      <c r="X92" s="70">
        <v>1000</v>
      </c>
      <c r="Z92" s="70">
        <v>10</v>
      </c>
      <c r="AB92" s="95">
        <v>50</v>
      </c>
      <c r="AF92" s="70">
        <v>2000</v>
      </c>
      <c r="AG92" s="70">
        <v>2</v>
      </c>
      <c r="AH92" s="70">
        <v>3.1</v>
      </c>
      <c r="AI92" s="70">
        <v>652</v>
      </c>
      <c r="AJ92" s="70">
        <v>0</v>
      </c>
      <c r="AK92" s="70">
        <v>84</v>
      </c>
      <c r="AM92" s="70" t="s">
        <v>2</v>
      </c>
      <c r="AO92" s="70">
        <v>50</v>
      </c>
      <c r="AW92" s="70" t="b">
        <v>0</v>
      </c>
      <c r="AZ92" s="70" t="s">
        <v>34</v>
      </c>
      <c r="BB92" s="34"/>
      <c r="BC92" s="70">
        <v>92</v>
      </c>
      <c r="BD92" s="92" t="s">
        <v>33</v>
      </c>
      <c r="BE92" s="34"/>
      <c r="BF92" s="70">
        <v>1.6</v>
      </c>
      <c r="BG92" s="70">
        <v>1</v>
      </c>
      <c r="BH92" s="70">
        <v>1</v>
      </c>
      <c r="BI92" s="70">
        <v>0</v>
      </c>
      <c r="BJ92" s="70">
        <v>0.55000000000000004</v>
      </c>
      <c r="BK92" s="70">
        <v>5.5</v>
      </c>
      <c r="BL92" s="70">
        <v>6</v>
      </c>
      <c r="BM92" s="70" t="s">
        <v>1</v>
      </c>
      <c r="BN92" s="60">
        <f t="shared" si="10"/>
        <v>60</v>
      </c>
      <c r="BO92" s="84">
        <f t="shared" si="11"/>
        <v>3</v>
      </c>
      <c r="BP92" s="75">
        <v>250</v>
      </c>
      <c r="BQ92" s="76">
        <v>0</v>
      </c>
      <c r="BR92" s="76">
        <v>0</v>
      </c>
      <c r="BS92" s="76">
        <f t="shared" si="15"/>
        <v>0</v>
      </c>
      <c r="BT92" s="40"/>
      <c r="BU92" s="40"/>
      <c r="BV92" s="77"/>
      <c r="BW92" s="40"/>
      <c r="BX92" s="77"/>
      <c r="BY92" s="40"/>
      <c r="BZ92" s="77"/>
      <c r="CA92" s="40"/>
      <c r="CB92" s="77"/>
      <c r="CC92" s="40"/>
      <c r="CD92" s="40"/>
      <c r="CE92" s="78"/>
      <c r="CF92" s="79" t="s">
        <v>12</v>
      </c>
      <c r="CG92" s="70">
        <f t="shared" si="16"/>
        <v>0</v>
      </c>
      <c r="CH92" s="70" t="str">
        <f t="shared" si="12"/>
        <v xml:space="preserve"> </v>
      </c>
      <c r="CI92" s="70">
        <f t="shared" si="13"/>
        <v>2.68</v>
      </c>
      <c r="CJ92" s="70">
        <v>0</v>
      </c>
      <c r="CR92" s="18">
        <v>0</v>
      </c>
      <c r="CS92" s="70">
        <v>0</v>
      </c>
      <c r="CT92" s="70">
        <v>0</v>
      </c>
      <c r="CU92" s="81">
        <v>1</v>
      </c>
      <c r="CV92" s="70">
        <v>0</v>
      </c>
      <c r="CW92" s="70">
        <v>0</v>
      </c>
      <c r="CX92" s="70">
        <v>0</v>
      </c>
      <c r="CY92" s="70">
        <v>0</v>
      </c>
      <c r="CZ92" s="70">
        <v>0</v>
      </c>
      <c r="DA92" s="70">
        <v>0</v>
      </c>
      <c r="DB92" s="70">
        <v>0</v>
      </c>
      <c r="DC92" s="18">
        <f t="shared" si="14"/>
        <v>1</v>
      </c>
      <c r="DD92" s="82">
        <v>2</v>
      </c>
      <c r="DH92" s="82"/>
      <c r="DI92" s="70" t="s">
        <v>0</v>
      </c>
    </row>
    <row r="93" spans="1:113" s="70" customFormat="1" ht="15" customHeight="1" thickBot="1" x14ac:dyDescent="0.3">
      <c r="A93" s="70">
        <v>318206</v>
      </c>
      <c r="B93" s="70" t="s">
        <v>6</v>
      </c>
      <c r="C93" s="71" t="s">
        <v>15</v>
      </c>
      <c r="D93" s="70">
        <v>60</v>
      </c>
      <c r="E93" s="70">
        <v>0</v>
      </c>
      <c r="F93" s="70">
        <v>60</v>
      </c>
      <c r="G93" s="70">
        <v>11</v>
      </c>
      <c r="H93" s="70">
        <v>0</v>
      </c>
      <c r="I93" s="70">
        <v>15</v>
      </c>
      <c r="J93" s="49" t="s">
        <v>42</v>
      </c>
      <c r="K93" s="49" t="s">
        <v>41</v>
      </c>
      <c r="L93" s="50">
        <v>45728.4144675926</v>
      </c>
      <c r="M93" s="70">
        <v>0</v>
      </c>
      <c r="N93" s="70">
        <v>0</v>
      </c>
      <c r="O93" s="70">
        <v>0</v>
      </c>
      <c r="R93" s="70" t="s">
        <v>34</v>
      </c>
      <c r="S93" s="70" t="b">
        <v>0</v>
      </c>
      <c r="T93" s="70">
        <v>2</v>
      </c>
      <c r="U93" s="94">
        <v>7.5</v>
      </c>
      <c r="V93" s="70">
        <v>3</v>
      </c>
      <c r="W93" s="70">
        <v>0</v>
      </c>
      <c r="X93" s="70">
        <v>1000</v>
      </c>
      <c r="Z93" s="70">
        <v>10</v>
      </c>
      <c r="AB93" s="88">
        <v>30</v>
      </c>
      <c r="AF93" s="70">
        <v>2000</v>
      </c>
      <c r="AG93" s="70">
        <v>2</v>
      </c>
      <c r="AH93" s="70">
        <v>7.9</v>
      </c>
      <c r="AI93" s="70">
        <v>906</v>
      </c>
      <c r="AJ93" s="70">
        <v>0</v>
      </c>
      <c r="AK93" s="70">
        <v>166</v>
      </c>
      <c r="AM93" s="70" t="s">
        <v>2</v>
      </c>
      <c r="AO93" s="70">
        <v>30</v>
      </c>
      <c r="AW93" s="70" t="b">
        <v>0</v>
      </c>
      <c r="AZ93" s="70" t="s">
        <v>34</v>
      </c>
      <c r="BB93" s="34"/>
      <c r="BC93" s="70">
        <v>93</v>
      </c>
      <c r="BD93" s="92" t="s">
        <v>33</v>
      </c>
      <c r="BE93" s="34"/>
      <c r="BF93" s="70">
        <v>1.6</v>
      </c>
      <c r="BG93" s="70">
        <v>1</v>
      </c>
      <c r="BH93" s="70">
        <v>1</v>
      </c>
      <c r="BI93" s="70">
        <v>0</v>
      </c>
      <c r="BJ93" s="70">
        <v>0.55000000000000004</v>
      </c>
      <c r="BK93" s="70">
        <v>5.5</v>
      </c>
      <c r="BL93" s="70">
        <v>6</v>
      </c>
      <c r="BM93" s="70" t="s">
        <v>1</v>
      </c>
      <c r="BN93" s="60">
        <f t="shared" si="10"/>
        <v>60</v>
      </c>
      <c r="BO93" s="74">
        <f t="shared" si="11"/>
        <v>7.5</v>
      </c>
      <c r="BP93" s="75">
        <v>250</v>
      </c>
      <c r="BQ93" s="76">
        <v>0</v>
      </c>
      <c r="BR93" s="76">
        <v>0</v>
      </c>
      <c r="BS93" s="76">
        <f t="shared" si="15"/>
        <v>0</v>
      </c>
      <c r="BT93" s="40"/>
      <c r="BU93" s="40"/>
      <c r="BV93" s="77"/>
      <c r="BW93" s="40"/>
      <c r="BX93" s="77"/>
      <c r="BY93" s="40"/>
      <c r="BZ93" s="77"/>
      <c r="CA93" s="40"/>
      <c r="CB93" s="77"/>
      <c r="CC93" s="40"/>
      <c r="CD93" s="40"/>
      <c r="CE93" s="78"/>
      <c r="CF93" s="79" t="s">
        <v>12</v>
      </c>
      <c r="CG93" s="70">
        <f t="shared" si="16"/>
        <v>0</v>
      </c>
      <c r="CH93" s="70" t="str">
        <f t="shared" si="12"/>
        <v xml:space="preserve"> </v>
      </c>
      <c r="CI93" s="70">
        <f t="shared" si="13"/>
        <v>2.68</v>
      </c>
      <c r="CJ93" s="70">
        <v>0</v>
      </c>
      <c r="CR93" s="18">
        <v>0</v>
      </c>
      <c r="CS93" s="70">
        <v>0</v>
      </c>
      <c r="CT93" s="70">
        <v>0</v>
      </c>
      <c r="CU93" s="81">
        <v>1</v>
      </c>
      <c r="CV93" s="70">
        <v>0</v>
      </c>
      <c r="CW93" s="70">
        <v>0</v>
      </c>
      <c r="CX93" s="70">
        <v>0</v>
      </c>
      <c r="CY93" s="70">
        <v>0</v>
      </c>
      <c r="CZ93" s="70">
        <v>0</v>
      </c>
      <c r="DA93" s="70">
        <v>0</v>
      </c>
      <c r="DB93" s="70">
        <v>0</v>
      </c>
      <c r="DC93" s="18">
        <f t="shared" si="14"/>
        <v>1</v>
      </c>
      <c r="DD93" s="82">
        <v>2</v>
      </c>
      <c r="DH93" s="82"/>
      <c r="DI93" s="70" t="s">
        <v>0</v>
      </c>
    </row>
    <row r="94" spans="1:113" s="70" customFormat="1" ht="15" customHeight="1" thickBot="1" x14ac:dyDescent="0.3">
      <c r="A94" s="70">
        <v>318207</v>
      </c>
      <c r="B94" s="70" t="s">
        <v>6</v>
      </c>
      <c r="C94" s="71" t="s">
        <v>15</v>
      </c>
      <c r="D94" s="70">
        <v>60</v>
      </c>
      <c r="E94" s="70">
        <v>0</v>
      </c>
      <c r="F94" s="70">
        <v>60</v>
      </c>
      <c r="G94" s="70">
        <v>12</v>
      </c>
      <c r="H94" s="70">
        <v>0</v>
      </c>
      <c r="I94" s="70">
        <v>15</v>
      </c>
      <c r="J94" s="49" t="s">
        <v>40</v>
      </c>
      <c r="K94" s="49" t="s">
        <v>39</v>
      </c>
      <c r="L94" s="50">
        <v>45728.4146064815</v>
      </c>
      <c r="M94" s="70">
        <v>0</v>
      </c>
      <c r="N94" s="70">
        <v>0</v>
      </c>
      <c r="O94" s="70">
        <v>0</v>
      </c>
      <c r="R94" s="70" t="s">
        <v>34</v>
      </c>
      <c r="S94" s="70" t="b">
        <v>0</v>
      </c>
      <c r="T94" s="70">
        <v>2</v>
      </c>
      <c r="U94" s="83">
        <v>6</v>
      </c>
      <c r="V94" s="70">
        <v>3</v>
      </c>
      <c r="W94" s="70">
        <v>0</v>
      </c>
      <c r="X94" s="70">
        <v>1000</v>
      </c>
      <c r="Z94" s="70">
        <v>10</v>
      </c>
      <c r="AB94" s="88">
        <v>30</v>
      </c>
      <c r="AF94" s="70">
        <v>2000</v>
      </c>
      <c r="AG94" s="70">
        <v>2</v>
      </c>
      <c r="AH94" s="70">
        <v>6.32</v>
      </c>
      <c r="AI94" s="70">
        <v>771</v>
      </c>
      <c r="AJ94" s="70">
        <v>0</v>
      </c>
      <c r="AK94" s="70">
        <v>112</v>
      </c>
      <c r="AM94" s="70" t="s">
        <v>2</v>
      </c>
      <c r="AO94" s="70">
        <v>30</v>
      </c>
      <c r="AW94" s="70" t="b">
        <v>0</v>
      </c>
      <c r="AZ94" s="70" t="s">
        <v>34</v>
      </c>
      <c r="BB94" s="34"/>
      <c r="BC94" s="70">
        <v>94</v>
      </c>
      <c r="BD94" s="92" t="s">
        <v>33</v>
      </c>
      <c r="BE94" s="34"/>
      <c r="BF94" s="70">
        <v>1.6</v>
      </c>
      <c r="BG94" s="70">
        <v>1</v>
      </c>
      <c r="BH94" s="70">
        <v>1</v>
      </c>
      <c r="BI94" s="70">
        <v>0</v>
      </c>
      <c r="BJ94" s="70">
        <v>0.55000000000000004</v>
      </c>
      <c r="BK94" s="70">
        <v>5.5</v>
      </c>
      <c r="BL94" s="70">
        <v>6</v>
      </c>
      <c r="BM94" s="70" t="s">
        <v>1</v>
      </c>
      <c r="BN94" s="60">
        <f t="shared" si="10"/>
        <v>60</v>
      </c>
      <c r="BO94" s="84">
        <f t="shared" si="11"/>
        <v>6</v>
      </c>
      <c r="BP94" s="75">
        <v>250</v>
      </c>
      <c r="BQ94" s="76">
        <v>0</v>
      </c>
      <c r="BR94" s="76">
        <v>0</v>
      </c>
      <c r="BS94" s="76">
        <f t="shared" si="15"/>
        <v>0</v>
      </c>
      <c r="BT94" s="40"/>
      <c r="BU94" s="40"/>
      <c r="BV94" s="77"/>
      <c r="BW94" s="40"/>
      <c r="BX94" s="77"/>
      <c r="BY94" s="40"/>
      <c r="BZ94" s="77"/>
      <c r="CA94" s="40"/>
      <c r="CB94" s="77"/>
      <c r="CC94" s="40"/>
      <c r="CD94" s="40"/>
      <c r="CE94" s="78"/>
      <c r="CF94" s="79" t="s">
        <v>12</v>
      </c>
      <c r="CG94" s="70">
        <f t="shared" si="16"/>
        <v>0</v>
      </c>
      <c r="CH94" s="70" t="str">
        <f t="shared" si="12"/>
        <v xml:space="preserve"> </v>
      </c>
      <c r="CI94" s="70">
        <f t="shared" si="13"/>
        <v>2.68</v>
      </c>
      <c r="CJ94" s="70">
        <v>0</v>
      </c>
      <c r="CR94" s="18">
        <v>0</v>
      </c>
      <c r="CS94" s="70">
        <v>0</v>
      </c>
      <c r="CT94" s="70">
        <v>0</v>
      </c>
      <c r="CU94" s="81">
        <v>1</v>
      </c>
      <c r="CV94" s="70">
        <v>0</v>
      </c>
      <c r="CW94" s="70">
        <v>0</v>
      </c>
      <c r="CX94" s="70">
        <v>0</v>
      </c>
      <c r="CY94" s="70">
        <v>0</v>
      </c>
      <c r="CZ94" s="70">
        <v>0</v>
      </c>
      <c r="DA94" s="70">
        <v>0</v>
      </c>
      <c r="DB94" s="70">
        <v>0</v>
      </c>
      <c r="DC94" s="18">
        <f t="shared" si="14"/>
        <v>1</v>
      </c>
      <c r="DD94" s="82">
        <v>2</v>
      </c>
      <c r="DH94" s="82"/>
      <c r="DI94" s="70" t="s">
        <v>0</v>
      </c>
    </row>
    <row r="95" spans="1:113" s="70" customFormat="1" ht="15" customHeight="1" thickBot="1" x14ac:dyDescent="0.3">
      <c r="A95" s="70">
        <v>318208</v>
      </c>
      <c r="B95" s="70" t="s">
        <v>6</v>
      </c>
      <c r="C95" s="71" t="s">
        <v>15</v>
      </c>
      <c r="D95" s="70">
        <v>60</v>
      </c>
      <c r="E95" s="70">
        <v>0</v>
      </c>
      <c r="F95" s="70">
        <v>60</v>
      </c>
      <c r="G95" s="70">
        <v>13</v>
      </c>
      <c r="H95" s="70">
        <v>0</v>
      </c>
      <c r="I95" s="70">
        <v>37</v>
      </c>
      <c r="J95" s="49" t="s">
        <v>38</v>
      </c>
      <c r="K95" s="49" t="s">
        <v>37</v>
      </c>
      <c r="L95" s="50">
        <v>45728.414861111101</v>
      </c>
      <c r="M95" s="70">
        <v>0</v>
      </c>
      <c r="N95" s="70">
        <v>0</v>
      </c>
      <c r="O95" s="70">
        <v>0</v>
      </c>
      <c r="R95" s="70" t="s">
        <v>34</v>
      </c>
      <c r="S95" s="70" t="b">
        <v>0</v>
      </c>
      <c r="T95" s="70">
        <v>2</v>
      </c>
      <c r="U95" s="83">
        <v>4</v>
      </c>
      <c r="V95" s="70">
        <v>3</v>
      </c>
      <c r="W95" s="70">
        <v>0</v>
      </c>
      <c r="X95" s="70">
        <v>1000</v>
      </c>
      <c r="Z95" s="70">
        <v>10</v>
      </c>
      <c r="AB95" s="88">
        <v>75</v>
      </c>
      <c r="AF95" s="70">
        <v>2000</v>
      </c>
      <c r="AG95" s="70">
        <v>2</v>
      </c>
      <c r="AH95" s="70">
        <v>4.0999999999999996</v>
      </c>
      <c r="AI95" s="70">
        <v>707</v>
      </c>
      <c r="AJ95" s="70">
        <v>0</v>
      </c>
      <c r="AK95" s="70">
        <v>201</v>
      </c>
      <c r="AM95" s="70" t="s">
        <v>2</v>
      </c>
      <c r="AO95" s="70">
        <v>74</v>
      </c>
      <c r="AW95" s="70" t="b">
        <v>0</v>
      </c>
      <c r="AZ95" s="70" t="s">
        <v>34</v>
      </c>
      <c r="BB95" s="34"/>
      <c r="BC95" s="70">
        <v>95</v>
      </c>
      <c r="BD95" s="92" t="s">
        <v>33</v>
      </c>
      <c r="BE95" s="34"/>
      <c r="BF95" s="70">
        <v>1.6</v>
      </c>
      <c r="BG95" s="70">
        <v>1</v>
      </c>
      <c r="BH95" s="70">
        <v>1</v>
      </c>
      <c r="BI95" s="70">
        <v>0</v>
      </c>
      <c r="BJ95" s="70">
        <v>0.55000000000000004</v>
      </c>
      <c r="BK95" s="70">
        <v>5.5</v>
      </c>
      <c r="BL95" s="70">
        <v>6</v>
      </c>
      <c r="BM95" s="70" t="s">
        <v>1</v>
      </c>
      <c r="BN95" s="60">
        <f t="shared" si="10"/>
        <v>60</v>
      </c>
      <c r="BO95" s="84">
        <f t="shared" si="11"/>
        <v>4</v>
      </c>
      <c r="BP95" s="75">
        <v>250</v>
      </c>
      <c r="BQ95" s="76">
        <v>0</v>
      </c>
      <c r="BR95" s="76">
        <v>0</v>
      </c>
      <c r="BS95" s="76">
        <f t="shared" si="15"/>
        <v>0</v>
      </c>
      <c r="BT95" s="40"/>
      <c r="BU95" s="40"/>
      <c r="BV95" s="77"/>
      <c r="BW95" s="40"/>
      <c r="BX95" s="77"/>
      <c r="BY95" s="40"/>
      <c r="BZ95" s="77"/>
      <c r="CA95" s="40"/>
      <c r="CB95" s="77"/>
      <c r="CC95" s="40"/>
      <c r="CD95" s="40"/>
      <c r="CE95" s="78"/>
      <c r="CF95" s="79" t="s">
        <v>12</v>
      </c>
      <c r="CG95" s="70">
        <f t="shared" si="16"/>
        <v>0</v>
      </c>
      <c r="CH95" s="70" t="str">
        <f t="shared" si="12"/>
        <v xml:space="preserve"> </v>
      </c>
      <c r="CI95" s="70">
        <f t="shared" si="13"/>
        <v>2.68</v>
      </c>
      <c r="CJ95" s="70">
        <v>0</v>
      </c>
      <c r="CR95" s="18">
        <v>0</v>
      </c>
      <c r="CS95" s="70">
        <v>0</v>
      </c>
      <c r="CT95" s="70">
        <v>0</v>
      </c>
      <c r="CU95" s="81">
        <v>1</v>
      </c>
      <c r="CV95" s="70">
        <v>0</v>
      </c>
      <c r="CW95" s="70">
        <v>0</v>
      </c>
      <c r="CX95" s="70">
        <v>0</v>
      </c>
      <c r="CY95" s="70">
        <v>0</v>
      </c>
      <c r="CZ95" s="70">
        <v>0</v>
      </c>
      <c r="DA95" s="70">
        <v>0</v>
      </c>
      <c r="DB95" s="70">
        <v>0</v>
      </c>
      <c r="DC95" s="18">
        <f t="shared" si="14"/>
        <v>1</v>
      </c>
      <c r="DD95" s="82">
        <v>2</v>
      </c>
      <c r="DH95" s="82"/>
      <c r="DI95" s="70" t="s">
        <v>0</v>
      </c>
    </row>
    <row r="96" spans="1:113" s="70" customFormat="1" ht="15" customHeight="1" thickBot="1" x14ac:dyDescent="0.3">
      <c r="A96" s="70">
        <v>318209</v>
      </c>
      <c r="B96" s="70" t="s">
        <v>6</v>
      </c>
      <c r="C96" s="71" t="s">
        <v>15</v>
      </c>
      <c r="D96" s="70">
        <v>60</v>
      </c>
      <c r="E96" s="70">
        <v>0</v>
      </c>
      <c r="F96" s="70">
        <v>60</v>
      </c>
      <c r="G96" s="70">
        <v>14</v>
      </c>
      <c r="H96" s="70">
        <v>0</v>
      </c>
      <c r="I96" s="70">
        <v>50</v>
      </c>
      <c r="J96" s="49" t="s">
        <v>36</v>
      </c>
      <c r="K96" s="49" t="s">
        <v>35</v>
      </c>
      <c r="L96" s="50">
        <v>45728.4149652778</v>
      </c>
      <c r="M96" s="70">
        <v>0</v>
      </c>
      <c r="N96" s="70">
        <v>0</v>
      </c>
      <c r="O96" s="70">
        <v>0</v>
      </c>
      <c r="R96" s="70" t="s">
        <v>34</v>
      </c>
      <c r="S96" s="70" t="b">
        <v>0</v>
      </c>
      <c r="T96" s="70">
        <v>2</v>
      </c>
      <c r="U96" s="83">
        <v>4</v>
      </c>
      <c r="V96" s="70">
        <v>3</v>
      </c>
      <c r="W96" s="70">
        <v>0</v>
      </c>
      <c r="X96" s="70">
        <v>1000</v>
      </c>
      <c r="Z96" s="70">
        <v>10</v>
      </c>
      <c r="AB96" s="88">
        <v>100</v>
      </c>
      <c r="AF96" s="70">
        <v>2000</v>
      </c>
      <c r="AG96" s="70">
        <v>2</v>
      </c>
      <c r="AH96" s="70">
        <v>4.09</v>
      </c>
      <c r="AI96" s="70">
        <v>694</v>
      </c>
      <c r="AJ96" s="70">
        <v>0</v>
      </c>
      <c r="AK96" s="70">
        <v>271</v>
      </c>
      <c r="AM96" s="70" t="s">
        <v>2</v>
      </c>
      <c r="AO96" s="70">
        <v>100</v>
      </c>
      <c r="AW96" s="70" t="b">
        <v>0</v>
      </c>
      <c r="AZ96" s="70" t="s">
        <v>34</v>
      </c>
      <c r="BB96" s="34"/>
      <c r="BC96" s="70">
        <v>96</v>
      </c>
      <c r="BD96" s="92" t="s">
        <v>33</v>
      </c>
      <c r="BE96" s="34"/>
      <c r="BF96" s="70">
        <v>1.6</v>
      </c>
      <c r="BG96" s="70">
        <v>1</v>
      </c>
      <c r="BH96" s="70">
        <v>1</v>
      </c>
      <c r="BI96" s="70">
        <v>0</v>
      </c>
      <c r="BJ96" s="70">
        <v>0.55000000000000004</v>
      </c>
      <c r="BK96" s="70">
        <v>5.5</v>
      </c>
      <c r="BL96" s="70">
        <v>6</v>
      </c>
      <c r="BM96" s="70" t="s">
        <v>1</v>
      </c>
      <c r="BN96" s="60">
        <f t="shared" si="10"/>
        <v>60</v>
      </c>
      <c r="BO96" s="84">
        <f t="shared" si="11"/>
        <v>4</v>
      </c>
      <c r="BP96" s="75">
        <v>250</v>
      </c>
      <c r="BQ96" s="76">
        <v>0</v>
      </c>
      <c r="BR96" s="76">
        <v>0</v>
      </c>
      <c r="BS96" s="76">
        <f t="shared" si="15"/>
        <v>0</v>
      </c>
      <c r="BT96" s="40"/>
      <c r="BU96" s="40"/>
      <c r="BV96" s="77"/>
      <c r="BW96" s="40"/>
      <c r="BX96" s="77"/>
      <c r="BY96" s="40"/>
      <c r="BZ96" s="77"/>
      <c r="CA96" s="40"/>
      <c r="CB96" s="77"/>
      <c r="CC96" s="40"/>
      <c r="CD96" s="40"/>
      <c r="CE96" s="78"/>
      <c r="CF96" s="79" t="s">
        <v>12</v>
      </c>
      <c r="CG96" s="70">
        <f t="shared" si="16"/>
        <v>0</v>
      </c>
      <c r="CH96" s="70" t="str">
        <f t="shared" si="12"/>
        <v xml:space="preserve"> </v>
      </c>
      <c r="CI96" s="70">
        <f t="shared" si="13"/>
        <v>2.68</v>
      </c>
      <c r="CJ96" s="70">
        <v>0</v>
      </c>
      <c r="CR96" s="18">
        <v>0</v>
      </c>
      <c r="CS96" s="70">
        <v>0</v>
      </c>
      <c r="CT96" s="70">
        <v>0</v>
      </c>
      <c r="CU96" s="81">
        <v>1</v>
      </c>
      <c r="CV96" s="70">
        <v>0</v>
      </c>
      <c r="CW96" s="70">
        <v>0</v>
      </c>
      <c r="CX96" s="70">
        <v>0</v>
      </c>
      <c r="CY96" s="70">
        <v>0</v>
      </c>
      <c r="CZ96" s="70">
        <v>0</v>
      </c>
      <c r="DA96" s="70">
        <v>0</v>
      </c>
      <c r="DB96" s="70">
        <v>0</v>
      </c>
      <c r="DC96" s="18">
        <f t="shared" si="14"/>
        <v>1</v>
      </c>
      <c r="DD96" s="82">
        <v>2</v>
      </c>
      <c r="DH96" s="82"/>
      <c r="DI96" s="70" t="s">
        <v>0</v>
      </c>
    </row>
    <row r="97" spans="1:113" s="32" customFormat="1" ht="15" customHeight="1" thickBot="1" x14ac:dyDescent="0.3">
      <c r="A97" s="31">
        <v>318009</v>
      </c>
      <c r="B97" s="31" t="s">
        <v>6</v>
      </c>
      <c r="C97" s="51" t="s">
        <v>28</v>
      </c>
      <c r="D97" s="31">
        <v>2</v>
      </c>
      <c r="E97" s="31">
        <v>0</v>
      </c>
      <c r="F97" s="31">
        <v>2</v>
      </c>
      <c r="G97" s="31">
        <v>1</v>
      </c>
      <c r="H97" s="31">
        <v>0</v>
      </c>
      <c r="I97" s="31">
        <v>15</v>
      </c>
      <c r="J97" s="49" t="s">
        <v>32</v>
      </c>
      <c r="K97" s="49" t="s">
        <v>31</v>
      </c>
      <c r="L97" s="50">
        <v>45727.329375000001</v>
      </c>
      <c r="M97" s="31">
        <v>0</v>
      </c>
      <c r="N97" s="31">
        <v>0</v>
      </c>
      <c r="O97" s="31">
        <v>0</v>
      </c>
      <c r="R97" s="31"/>
      <c r="S97" s="31" t="b">
        <v>0</v>
      </c>
      <c r="T97" s="33">
        <v>0.5</v>
      </c>
      <c r="U97" s="52">
        <v>9</v>
      </c>
      <c r="V97" s="33">
        <v>1</v>
      </c>
      <c r="W97" s="33">
        <v>0</v>
      </c>
      <c r="X97" s="31">
        <v>2000</v>
      </c>
      <c r="Z97" s="31">
        <v>10</v>
      </c>
      <c r="AB97" s="53">
        <v>30</v>
      </c>
      <c r="AD97" s="31">
        <v>10</v>
      </c>
      <c r="AF97" s="31">
        <v>2000</v>
      </c>
      <c r="AG97" s="31">
        <v>2</v>
      </c>
      <c r="AH97" s="31">
        <v>9.4700000000000006</v>
      </c>
      <c r="AI97" s="31">
        <v>648</v>
      </c>
      <c r="AJ97" s="31">
        <v>0</v>
      </c>
      <c r="AK97" s="31">
        <v>146</v>
      </c>
      <c r="AM97" s="31" t="s">
        <v>2</v>
      </c>
      <c r="AO97" s="31">
        <v>30</v>
      </c>
      <c r="AW97" s="31" t="b">
        <v>0</v>
      </c>
      <c r="AZ97" s="31"/>
      <c r="BB97" s="34"/>
      <c r="BC97" s="35">
        <v>97</v>
      </c>
      <c r="BD97" s="36"/>
      <c r="BE97" s="34"/>
      <c r="BF97" s="36">
        <v>1.2</v>
      </c>
      <c r="BG97" s="36">
        <v>0</v>
      </c>
      <c r="BH97" s="36">
        <v>0</v>
      </c>
      <c r="BI97" s="36">
        <v>0</v>
      </c>
      <c r="BJ97" s="36">
        <v>1.2</v>
      </c>
      <c r="BK97" s="35">
        <v>5.5</v>
      </c>
      <c r="BL97" s="36">
        <v>6</v>
      </c>
      <c r="BM97" s="36" t="s">
        <v>1</v>
      </c>
      <c r="BN97" s="37">
        <f t="shared" si="10"/>
        <v>2</v>
      </c>
      <c r="BO97" s="38">
        <f t="shared" si="11"/>
        <v>9</v>
      </c>
      <c r="BP97" s="37">
        <v>350</v>
      </c>
      <c r="BQ97" s="39"/>
      <c r="BR97" s="39"/>
      <c r="BS97" s="39"/>
      <c r="BT97" s="40"/>
      <c r="BU97" s="40"/>
      <c r="BV97" s="40"/>
      <c r="BW97" s="40"/>
      <c r="BX97" s="40"/>
      <c r="BY97" s="40"/>
      <c r="BZ97" s="41"/>
      <c r="CA97" s="41"/>
      <c r="CB97" s="41"/>
      <c r="CC97" s="41"/>
      <c r="CD97" s="41"/>
      <c r="CE97" s="42"/>
      <c r="CF97" s="47" t="s">
        <v>676</v>
      </c>
      <c r="CI97" s="43">
        <f t="shared" si="13"/>
        <v>4.57</v>
      </c>
      <c r="CJ97" s="43">
        <v>0</v>
      </c>
      <c r="CR97" s="43">
        <v>1</v>
      </c>
      <c r="CS97" s="43">
        <v>0</v>
      </c>
      <c r="CT97" s="70">
        <v>0</v>
      </c>
      <c r="CU97" s="44">
        <v>0</v>
      </c>
      <c r="CV97" s="70">
        <v>0</v>
      </c>
      <c r="CW97" s="70">
        <v>0</v>
      </c>
      <c r="CX97" s="70">
        <v>0</v>
      </c>
      <c r="CY97" s="70">
        <v>0</v>
      </c>
      <c r="CZ97" s="70">
        <v>0</v>
      </c>
      <c r="DA97" s="70">
        <v>0</v>
      </c>
      <c r="DB97" s="70">
        <v>0</v>
      </c>
      <c r="DC97" s="18">
        <f t="shared" si="14"/>
        <v>1</v>
      </c>
      <c r="DD97" s="45">
        <v>1</v>
      </c>
      <c r="DI97" s="43" t="s">
        <v>0</v>
      </c>
    </row>
    <row r="98" spans="1:113" s="32" customFormat="1" ht="15" customHeight="1" thickBot="1" x14ac:dyDescent="0.3">
      <c r="A98" s="31">
        <v>318013</v>
      </c>
      <c r="B98" s="31" t="s">
        <v>6</v>
      </c>
      <c r="C98" s="51" t="s">
        <v>25</v>
      </c>
      <c r="D98" s="31">
        <v>11</v>
      </c>
      <c r="E98" s="31">
        <v>0</v>
      </c>
      <c r="F98" s="31">
        <v>11</v>
      </c>
      <c r="G98" s="31">
        <v>5</v>
      </c>
      <c r="H98" s="31">
        <v>0</v>
      </c>
      <c r="I98" s="31">
        <v>30</v>
      </c>
      <c r="J98" s="49" t="s">
        <v>30</v>
      </c>
      <c r="K98" s="49" t="s">
        <v>29</v>
      </c>
      <c r="L98" s="50">
        <v>45727.331944444442</v>
      </c>
      <c r="M98" s="31">
        <v>0</v>
      </c>
      <c r="N98" s="31">
        <v>0</v>
      </c>
      <c r="O98" s="31">
        <v>0</v>
      </c>
      <c r="R98" s="31"/>
      <c r="S98" s="31" t="b">
        <v>0</v>
      </c>
      <c r="T98" s="33">
        <v>0.01</v>
      </c>
      <c r="U98" s="52">
        <v>6.5</v>
      </c>
      <c r="V98" s="33">
        <v>0.01</v>
      </c>
      <c r="W98" s="33">
        <v>0</v>
      </c>
      <c r="X98" s="31">
        <v>1000</v>
      </c>
      <c r="Z98" s="31">
        <v>10</v>
      </c>
      <c r="AB98" s="53">
        <v>60</v>
      </c>
      <c r="AD98" s="31">
        <v>10</v>
      </c>
      <c r="AF98" s="31">
        <v>2000</v>
      </c>
      <c r="AG98" s="31">
        <v>2</v>
      </c>
      <c r="AH98" s="31">
        <v>6.65</v>
      </c>
      <c r="AI98" s="31">
        <v>504</v>
      </c>
      <c r="AJ98" s="31">
        <v>0</v>
      </c>
      <c r="AK98" s="31">
        <v>187</v>
      </c>
      <c r="AM98" s="31" t="s">
        <v>2</v>
      </c>
      <c r="AO98" s="31">
        <v>60</v>
      </c>
      <c r="AW98" s="31" t="b">
        <v>0</v>
      </c>
      <c r="AZ98" s="31"/>
      <c r="BB98" s="34"/>
      <c r="BC98" s="35">
        <v>98</v>
      </c>
      <c r="BD98" s="36"/>
      <c r="BE98" s="34"/>
      <c r="BF98" s="36">
        <v>1</v>
      </c>
      <c r="BG98" s="36">
        <v>0</v>
      </c>
      <c r="BH98" s="36">
        <v>0</v>
      </c>
      <c r="BI98" s="36">
        <v>0</v>
      </c>
      <c r="BJ98" s="36">
        <v>1.2</v>
      </c>
      <c r="BK98" s="35">
        <v>5.5</v>
      </c>
      <c r="BL98" s="36">
        <v>6</v>
      </c>
      <c r="BM98" s="36" t="s">
        <v>1</v>
      </c>
      <c r="BN98" s="37">
        <f t="shared" si="10"/>
        <v>11</v>
      </c>
      <c r="BO98" s="38">
        <f t="shared" si="11"/>
        <v>6.5</v>
      </c>
      <c r="BP98" s="37">
        <v>320</v>
      </c>
      <c r="BQ98" s="39"/>
      <c r="BR98" s="46"/>
      <c r="BS98" s="39"/>
      <c r="BT98" s="41"/>
      <c r="BU98" s="40"/>
      <c r="BV98" s="41"/>
      <c r="BW98" s="40"/>
      <c r="BX98" s="41"/>
      <c r="BY98" s="40"/>
      <c r="BZ98" s="41"/>
      <c r="CA98" s="41"/>
      <c r="CB98" s="41"/>
      <c r="CC98" s="41"/>
      <c r="CD98" s="41"/>
      <c r="CE98" s="42"/>
      <c r="CF98" s="47" t="s">
        <v>676</v>
      </c>
      <c r="CI98" s="43">
        <f t="shared" si="13"/>
        <v>4.0599999999999996</v>
      </c>
      <c r="CJ98" s="43">
        <v>0</v>
      </c>
      <c r="CR98" s="43">
        <v>1</v>
      </c>
      <c r="CS98" s="43">
        <v>0</v>
      </c>
      <c r="CT98" s="70">
        <v>0</v>
      </c>
      <c r="CU98" s="44">
        <v>0</v>
      </c>
      <c r="CV98" s="70">
        <v>0</v>
      </c>
      <c r="CW98" s="70">
        <v>0</v>
      </c>
      <c r="CX98" s="70">
        <v>0</v>
      </c>
      <c r="CY98" s="70">
        <v>0</v>
      </c>
      <c r="CZ98" s="70">
        <v>0</v>
      </c>
      <c r="DA98" s="70">
        <v>0</v>
      </c>
      <c r="DB98" s="70">
        <v>0</v>
      </c>
      <c r="DC98" s="18">
        <f t="shared" si="14"/>
        <v>1</v>
      </c>
      <c r="DD98" s="45">
        <v>1</v>
      </c>
      <c r="DI98" s="43" t="s">
        <v>0</v>
      </c>
    </row>
    <row r="99" spans="1:113" s="32" customFormat="1" ht="15" customHeight="1" thickBot="1" x14ac:dyDescent="0.3">
      <c r="A99" s="31">
        <v>318152</v>
      </c>
      <c r="B99" s="31" t="s">
        <v>6</v>
      </c>
      <c r="C99" s="51" t="s">
        <v>28</v>
      </c>
      <c r="D99" s="31">
        <v>2</v>
      </c>
      <c r="E99" s="31">
        <v>0</v>
      </c>
      <c r="F99" s="31">
        <v>2</v>
      </c>
      <c r="G99" s="31">
        <v>144</v>
      </c>
      <c r="H99" s="31">
        <v>0</v>
      </c>
      <c r="I99" s="31">
        <v>15</v>
      </c>
      <c r="J99" s="49" t="s">
        <v>27</v>
      </c>
      <c r="K99" s="49" t="s">
        <v>26</v>
      </c>
      <c r="L99" s="50">
        <v>45727.433229166672</v>
      </c>
      <c r="M99" s="31">
        <v>0</v>
      </c>
      <c r="N99" s="31">
        <v>0</v>
      </c>
      <c r="O99" s="31">
        <v>0</v>
      </c>
      <c r="R99" s="31"/>
      <c r="S99" s="31" t="b">
        <v>0</v>
      </c>
      <c r="T99" s="33">
        <v>0.5</v>
      </c>
      <c r="U99" s="52">
        <v>9</v>
      </c>
      <c r="V99" s="33">
        <v>1</v>
      </c>
      <c r="W99" s="33">
        <v>0</v>
      </c>
      <c r="X99" s="31">
        <v>2000</v>
      </c>
      <c r="Z99" s="31">
        <v>10</v>
      </c>
      <c r="AB99" s="53">
        <v>30</v>
      </c>
      <c r="AD99" s="31">
        <v>10</v>
      </c>
      <c r="AF99" s="31">
        <v>2000</v>
      </c>
      <c r="AG99" s="31">
        <v>2</v>
      </c>
      <c r="AH99" s="31">
        <v>9.5399999999999991</v>
      </c>
      <c r="AI99" s="31">
        <v>635</v>
      </c>
      <c r="AJ99" s="31">
        <v>0</v>
      </c>
      <c r="AK99" s="31">
        <v>142</v>
      </c>
      <c r="AM99" s="31" t="s">
        <v>2</v>
      </c>
      <c r="AO99" s="31">
        <v>30</v>
      </c>
      <c r="AW99" s="31" t="b">
        <v>0</v>
      </c>
      <c r="AZ99" s="31"/>
      <c r="BB99" s="34"/>
      <c r="BC99" s="35">
        <v>99</v>
      </c>
      <c r="BD99" s="36"/>
      <c r="BE99" s="34"/>
      <c r="BF99" s="36">
        <v>1.2</v>
      </c>
      <c r="BG99" s="36">
        <v>0</v>
      </c>
      <c r="BH99" s="36">
        <v>0</v>
      </c>
      <c r="BI99" s="36">
        <v>0</v>
      </c>
      <c r="BJ99" s="36">
        <v>1.2</v>
      </c>
      <c r="BK99" s="35">
        <v>5.5</v>
      </c>
      <c r="BL99" s="36">
        <v>6</v>
      </c>
      <c r="BM99" s="36" t="s">
        <v>1</v>
      </c>
      <c r="BN99" s="37">
        <f t="shared" si="10"/>
        <v>2</v>
      </c>
      <c r="BO99" s="38">
        <f t="shared" si="11"/>
        <v>9</v>
      </c>
      <c r="BP99" s="37">
        <v>350</v>
      </c>
      <c r="BQ99" s="39"/>
      <c r="BR99" s="46"/>
      <c r="BS99" s="39"/>
      <c r="BT99" s="41"/>
      <c r="BU99" s="40"/>
      <c r="BV99" s="41"/>
      <c r="BW99" s="40"/>
      <c r="BX99" s="41"/>
      <c r="BY99" s="40"/>
      <c r="BZ99" s="41"/>
      <c r="CA99" s="41"/>
      <c r="CB99" s="41"/>
      <c r="CC99" s="41"/>
      <c r="CD99" s="41"/>
      <c r="CE99" s="42"/>
      <c r="CF99" s="47" t="s">
        <v>676</v>
      </c>
      <c r="CI99" s="43">
        <f t="shared" si="13"/>
        <v>4.57</v>
      </c>
      <c r="CJ99" s="43">
        <v>0</v>
      </c>
      <c r="CR99" s="43">
        <v>1</v>
      </c>
      <c r="CS99" s="43">
        <v>0</v>
      </c>
      <c r="CT99" s="70">
        <v>0</v>
      </c>
      <c r="CU99" s="44">
        <v>0</v>
      </c>
      <c r="CV99" s="70">
        <v>0</v>
      </c>
      <c r="CW99" s="70">
        <v>0</v>
      </c>
      <c r="CX99" s="70">
        <v>0</v>
      </c>
      <c r="CY99" s="70">
        <v>0</v>
      </c>
      <c r="CZ99" s="70">
        <v>0</v>
      </c>
      <c r="DA99" s="70">
        <v>0</v>
      </c>
      <c r="DB99" s="70">
        <v>0</v>
      </c>
      <c r="DC99" s="18">
        <f t="shared" si="14"/>
        <v>1</v>
      </c>
      <c r="DD99" s="45">
        <v>1</v>
      </c>
      <c r="DI99" s="43" t="s">
        <v>0</v>
      </c>
    </row>
    <row r="100" spans="1:113" s="32" customFormat="1" ht="15" customHeight="1" thickBot="1" x14ac:dyDescent="0.3">
      <c r="A100" s="31">
        <v>318156</v>
      </c>
      <c r="B100" s="31" t="s">
        <v>6</v>
      </c>
      <c r="C100" s="51" t="s">
        <v>25</v>
      </c>
      <c r="D100" s="31">
        <v>11</v>
      </c>
      <c r="E100" s="31">
        <v>0</v>
      </c>
      <c r="F100" s="31">
        <v>11</v>
      </c>
      <c r="G100" s="31">
        <v>148</v>
      </c>
      <c r="H100" s="31">
        <v>0</v>
      </c>
      <c r="I100" s="31">
        <v>30</v>
      </c>
      <c r="J100" s="49" t="s">
        <v>24</v>
      </c>
      <c r="K100" s="49" t="s">
        <v>23</v>
      </c>
      <c r="L100" s="50">
        <v>45727.436331018522</v>
      </c>
      <c r="M100" s="31">
        <v>0</v>
      </c>
      <c r="N100" s="31">
        <v>0</v>
      </c>
      <c r="O100" s="31">
        <v>0</v>
      </c>
      <c r="R100" s="31"/>
      <c r="S100" s="31" t="b">
        <v>0</v>
      </c>
      <c r="T100" s="33">
        <v>0.01</v>
      </c>
      <c r="U100" s="52">
        <v>6.5</v>
      </c>
      <c r="V100" s="33">
        <v>0.01</v>
      </c>
      <c r="W100" s="33">
        <v>0</v>
      </c>
      <c r="X100" s="31">
        <v>1000</v>
      </c>
      <c r="Z100" s="31">
        <v>10</v>
      </c>
      <c r="AB100" s="53">
        <v>60</v>
      </c>
      <c r="AD100" s="31">
        <v>10</v>
      </c>
      <c r="AF100" s="31">
        <v>2000</v>
      </c>
      <c r="AG100" s="31">
        <v>2</v>
      </c>
      <c r="AH100" s="31">
        <v>6.68</v>
      </c>
      <c r="AI100" s="31">
        <v>546</v>
      </c>
      <c r="AJ100" s="31">
        <v>0</v>
      </c>
      <c r="AK100" s="31">
        <v>202</v>
      </c>
      <c r="AM100" s="31" t="s">
        <v>2</v>
      </c>
      <c r="AO100" s="31">
        <v>60</v>
      </c>
      <c r="AW100" s="31" t="b">
        <v>0</v>
      </c>
      <c r="AZ100" s="31"/>
      <c r="BB100" s="34"/>
      <c r="BC100" s="35">
        <v>100</v>
      </c>
      <c r="BD100" s="36"/>
      <c r="BE100" s="34"/>
      <c r="BF100" s="36">
        <v>1</v>
      </c>
      <c r="BG100" s="36">
        <v>0</v>
      </c>
      <c r="BH100" s="36">
        <v>0</v>
      </c>
      <c r="BI100" s="36">
        <v>0</v>
      </c>
      <c r="BJ100" s="36">
        <v>1.2</v>
      </c>
      <c r="BK100" s="35">
        <v>5.5</v>
      </c>
      <c r="BL100" s="36">
        <v>6</v>
      </c>
      <c r="BM100" s="36" t="s">
        <v>1</v>
      </c>
      <c r="BN100" s="37">
        <f t="shared" ref="BN100:BN151" si="17">D100</f>
        <v>11</v>
      </c>
      <c r="BO100" s="38">
        <f t="shared" ref="BO100:BO151" si="18">U100</f>
        <v>6.5</v>
      </c>
      <c r="BP100" s="37">
        <v>320</v>
      </c>
      <c r="BQ100" s="39"/>
      <c r="BR100" s="46"/>
      <c r="BS100" s="39"/>
      <c r="BT100" s="41"/>
      <c r="BU100" s="40"/>
      <c r="BV100" s="41"/>
      <c r="BW100" s="40"/>
      <c r="BX100" s="41"/>
      <c r="BY100" s="40"/>
      <c r="BZ100" s="41"/>
      <c r="CA100" s="41"/>
      <c r="CB100" s="41"/>
      <c r="CC100" s="41"/>
      <c r="CD100" s="41"/>
      <c r="CE100" s="42"/>
      <c r="CF100" s="47" t="s">
        <v>676</v>
      </c>
      <c r="CI100" s="43">
        <f t="shared" ref="CI100:CI107" si="19">IF(MIN(BF100,BJ100)=0.55,  2.68,          IF(MIN(BF100,BJ100)=0.8,     3.56,          IF(MIN(BF100,BJ100)=0.9,      3.81,             IF(MIN(BF100,BJ100)=1,     4.06,                IF(MIN(BF100,BJ100)=1.2,        4.57,             IF(MIN(BF100,BJ100)=1.6,          5.08  ))))))</f>
        <v>4.0599999999999996</v>
      </c>
      <c r="CJ100" s="43">
        <v>0</v>
      </c>
      <c r="CR100" s="43">
        <v>1</v>
      </c>
      <c r="CS100" s="43">
        <v>0</v>
      </c>
      <c r="CT100" s="70">
        <v>0</v>
      </c>
      <c r="CU100" s="44">
        <v>0</v>
      </c>
      <c r="CV100" s="70">
        <v>0</v>
      </c>
      <c r="CW100" s="70">
        <v>0</v>
      </c>
      <c r="CX100" s="70">
        <v>0</v>
      </c>
      <c r="CY100" s="70">
        <v>0</v>
      </c>
      <c r="CZ100" s="70">
        <v>0</v>
      </c>
      <c r="DA100" s="70">
        <v>0</v>
      </c>
      <c r="DB100" s="70">
        <v>0</v>
      </c>
      <c r="DC100" s="18">
        <f t="shared" ref="DC100:DC107" si="20">IF(CR100 + CU100 + CJ100 &gt; 0, 1,0)</f>
        <v>1</v>
      </c>
      <c r="DD100" s="45">
        <v>1</v>
      </c>
      <c r="DI100" s="43" t="s">
        <v>0</v>
      </c>
    </row>
    <row r="101" spans="1:113" s="32" customFormat="1" ht="15" customHeight="1" thickBot="1" x14ac:dyDescent="0.3">
      <c r="A101" s="31">
        <v>318876</v>
      </c>
      <c r="B101" s="31" t="s">
        <v>6</v>
      </c>
      <c r="C101" s="51" t="s">
        <v>11</v>
      </c>
      <c r="D101" s="31">
        <v>16</v>
      </c>
      <c r="E101" s="31">
        <v>0</v>
      </c>
      <c r="F101" s="31">
        <v>16</v>
      </c>
      <c r="G101" s="31">
        <v>4</v>
      </c>
      <c r="H101" s="31">
        <v>0</v>
      </c>
      <c r="I101" s="31">
        <v>37</v>
      </c>
      <c r="J101" s="49" t="s">
        <v>22</v>
      </c>
      <c r="K101" s="49" t="s">
        <v>21</v>
      </c>
      <c r="L101" s="50">
        <v>45729.686562499999</v>
      </c>
      <c r="M101" s="31">
        <v>0</v>
      </c>
      <c r="N101" s="31">
        <v>0</v>
      </c>
      <c r="O101" s="31">
        <v>0</v>
      </c>
      <c r="P101" s="43"/>
      <c r="Q101" s="43"/>
      <c r="R101" s="31"/>
      <c r="S101" s="31" t="b">
        <v>0</v>
      </c>
      <c r="T101" s="33">
        <v>0.01</v>
      </c>
      <c r="U101" s="52">
        <v>4.5999999999999996</v>
      </c>
      <c r="V101" s="33">
        <v>0.01</v>
      </c>
      <c r="W101" s="33">
        <v>0</v>
      </c>
      <c r="X101" s="31">
        <v>1000</v>
      </c>
      <c r="Y101" s="43"/>
      <c r="Z101" s="31">
        <v>10</v>
      </c>
      <c r="AA101" s="43"/>
      <c r="AB101" s="53">
        <v>75</v>
      </c>
      <c r="AC101" s="43"/>
      <c r="AD101" s="31">
        <v>10</v>
      </c>
      <c r="AE101" s="43"/>
      <c r="AF101" s="31">
        <v>2000</v>
      </c>
      <c r="AG101" s="31">
        <v>2</v>
      </c>
      <c r="AH101" s="31">
        <v>4.71</v>
      </c>
      <c r="AI101" s="31">
        <v>351</v>
      </c>
      <c r="AJ101" s="31">
        <v>0</v>
      </c>
      <c r="AK101" s="31">
        <v>118</v>
      </c>
      <c r="AL101" s="43"/>
      <c r="AM101" s="31" t="s">
        <v>2</v>
      </c>
      <c r="AN101" s="43"/>
      <c r="AO101" s="31">
        <v>74</v>
      </c>
      <c r="AP101" s="43"/>
      <c r="AQ101" s="43"/>
      <c r="AR101" s="43"/>
      <c r="AS101" s="43"/>
      <c r="AT101" s="43"/>
      <c r="AU101" s="43"/>
      <c r="AV101" s="43"/>
      <c r="AW101" s="31" t="b">
        <v>0</v>
      </c>
      <c r="AX101" s="43"/>
      <c r="AY101" s="43"/>
      <c r="AZ101" s="31"/>
      <c r="BA101" s="43"/>
      <c r="BB101" s="34"/>
      <c r="BC101" s="35">
        <v>101</v>
      </c>
      <c r="BD101" s="36"/>
      <c r="BE101" s="34"/>
      <c r="BF101" s="36">
        <v>0.55000000000000004</v>
      </c>
      <c r="BG101" s="36">
        <v>0</v>
      </c>
      <c r="BH101" s="36">
        <v>0</v>
      </c>
      <c r="BI101" s="36">
        <v>0</v>
      </c>
      <c r="BJ101" s="36">
        <v>0.55000000000000004</v>
      </c>
      <c r="BK101" s="35">
        <v>5.5</v>
      </c>
      <c r="BL101" s="36">
        <v>6</v>
      </c>
      <c r="BM101" s="36" t="s">
        <v>1</v>
      </c>
      <c r="BN101" s="37">
        <f t="shared" si="17"/>
        <v>16</v>
      </c>
      <c r="BO101" s="38">
        <f t="shared" si="18"/>
        <v>4.5999999999999996</v>
      </c>
      <c r="BP101" s="37">
        <v>250</v>
      </c>
      <c r="BQ101" s="39"/>
      <c r="BR101" s="46"/>
      <c r="BS101" s="46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2"/>
      <c r="CF101" s="47" t="s">
        <v>16</v>
      </c>
      <c r="CI101" s="43">
        <f t="shared" si="19"/>
        <v>2.68</v>
      </c>
      <c r="CJ101" s="43">
        <v>0</v>
      </c>
      <c r="CR101" s="43">
        <v>0</v>
      </c>
      <c r="CS101" s="43">
        <v>0</v>
      </c>
      <c r="CT101" s="70">
        <v>0</v>
      </c>
      <c r="CU101" s="44">
        <v>0</v>
      </c>
      <c r="CV101" s="70">
        <v>0</v>
      </c>
      <c r="CW101" s="70">
        <v>0</v>
      </c>
      <c r="CX101" s="70">
        <v>0</v>
      </c>
      <c r="CY101" s="70">
        <v>0</v>
      </c>
      <c r="CZ101" s="70">
        <v>0</v>
      </c>
      <c r="DA101" s="70">
        <v>0</v>
      </c>
      <c r="DB101" s="70">
        <v>0</v>
      </c>
      <c r="DC101" s="18">
        <f t="shared" si="20"/>
        <v>0</v>
      </c>
      <c r="DD101" s="45">
        <v>0</v>
      </c>
      <c r="DI101" s="43" t="s">
        <v>0</v>
      </c>
    </row>
    <row r="102" spans="1:113" s="32" customFormat="1" ht="15" customHeight="1" thickBot="1" x14ac:dyDescent="0.3">
      <c r="A102" s="31">
        <v>319132</v>
      </c>
      <c r="B102" s="31" t="s">
        <v>6</v>
      </c>
      <c r="C102" s="51" t="s">
        <v>15</v>
      </c>
      <c r="D102" s="31">
        <v>60</v>
      </c>
      <c r="E102" s="31">
        <v>0</v>
      </c>
      <c r="F102" s="31">
        <v>60</v>
      </c>
      <c r="G102" s="31">
        <v>4</v>
      </c>
      <c r="H102" s="31">
        <v>0</v>
      </c>
      <c r="I102" s="31">
        <v>37</v>
      </c>
      <c r="J102" s="49" t="s">
        <v>20</v>
      </c>
      <c r="K102" s="49" t="s">
        <v>19</v>
      </c>
      <c r="L102" s="50">
        <v>45730.445902777778</v>
      </c>
      <c r="M102" s="31">
        <v>0</v>
      </c>
      <c r="N102" s="31">
        <v>0</v>
      </c>
      <c r="O102" s="31">
        <v>0</v>
      </c>
      <c r="P102" s="43"/>
      <c r="Q102" s="43"/>
      <c r="R102" s="31"/>
      <c r="S102" s="31" t="b">
        <v>0</v>
      </c>
      <c r="T102" s="33">
        <v>2</v>
      </c>
      <c r="U102" s="52">
        <v>3</v>
      </c>
      <c r="V102" s="33">
        <v>3</v>
      </c>
      <c r="W102" s="33">
        <v>0</v>
      </c>
      <c r="X102" s="31">
        <v>1000</v>
      </c>
      <c r="Y102" s="43"/>
      <c r="Z102" s="31">
        <v>10</v>
      </c>
      <c r="AA102" s="43"/>
      <c r="AB102" s="53">
        <v>75</v>
      </c>
      <c r="AC102" s="43"/>
      <c r="AD102" s="43"/>
      <c r="AE102" s="43"/>
      <c r="AF102" s="31">
        <v>2000</v>
      </c>
      <c r="AG102" s="31">
        <v>2</v>
      </c>
      <c r="AH102" s="31">
        <v>3.04</v>
      </c>
      <c r="AI102" s="31">
        <v>372</v>
      </c>
      <c r="AJ102" s="31">
        <v>0</v>
      </c>
      <c r="AK102" s="31">
        <v>79</v>
      </c>
      <c r="AL102" s="43"/>
      <c r="AM102" s="31" t="s">
        <v>2</v>
      </c>
      <c r="AN102" s="43"/>
      <c r="AO102" s="31">
        <v>74</v>
      </c>
      <c r="AP102" s="43"/>
      <c r="AQ102" s="43"/>
      <c r="AR102" s="43"/>
      <c r="AS102" s="43"/>
      <c r="AT102" s="43"/>
      <c r="AU102" s="43"/>
      <c r="AV102" s="43"/>
      <c r="AW102" s="31" t="b">
        <v>0</v>
      </c>
      <c r="AX102" s="43"/>
      <c r="AY102" s="43"/>
      <c r="AZ102" s="31"/>
      <c r="BA102" s="43"/>
      <c r="BB102" s="34"/>
      <c r="BC102" s="35">
        <v>102</v>
      </c>
      <c r="BD102" s="36"/>
      <c r="BE102" s="34"/>
      <c r="BF102" s="36">
        <v>1</v>
      </c>
      <c r="BG102" s="35">
        <v>0</v>
      </c>
      <c r="BH102" s="35">
        <v>0</v>
      </c>
      <c r="BI102" s="35">
        <v>0</v>
      </c>
      <c r="BJ102" s="35">
        <v>0.55000000000000004</v>
      </c>
      <c r="BK102" s="35">
        <v>5.5</v>
      </c>
      <c r="BL102" s="36">
        <v>6</v>
      </c>
      <c r="BM102" s="36" t="s">
        <v>1</v>
      </c>
      <c r="BN102" s="37">
        <f t="shared" si="17"/>
        <v>60</v>
      </c>
      <c r="BO102" s="38">
        <f t="shared" si="18"/>
        <v>3</v>
      </c>
      <c r="BP102" s="37">
        <v>250</v>
      </c>
      <c r="BQ102" s="39"/>
      <c r="BR102" s="46"/>
      <c r="BS102" s="46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2"/>
      <c r="CF102" s="47" t="s">
        <v>12</v>
      </c>
      <c r="CG102" s="43">
        <v>0</v>
      </c>
      <c r="CI102" s="43">
        <f t="shared" si="19"/>
        <v>2.68</v>
      </c>
      <c r="CJ102" s="43">
        <v>0</v>
      </c>
      <c r="CR102" s="43">
        <v>0</v>
      </c>
      <c r="CS102" s="43">
        <v>0</v>
      </c>
      <c r="CT102" s="70">
        <v>0</v>
      </c>
      <c r="CU102" s="44">
        <v>1</v>
      </c>
      <c r="CV102" s="70">
        <v>0</v>
      </c>
      <c r="CW102" s="70">
        <v>0</v>
      </c>
      <c r="CX102" s="70">
        <v>0</v>
      </c>
      <c r="CY102" s="70">
        <v>0</v>
      </c>
      <c r="CZ102" s="70">
        <v>0</v>
      </c>
      <c r="DA102" s="70">
        <v>0</v>
      </c>
      <c r="DB102" s="70">
        <v>0</v>
      </c>
      <c r="DC102" s="18">
        <f t="shared" si="20"/>
        <v>1</v>
      </c>
      <c r="DD102" s="45">
        <v>2</v>
      </c>
      <c r="DI102" s="43" t="s">
        <v>0</v>
      </c>
    </row>
    <row r="103" spans="1:113" s="32" customFormat="1" ht="15" customHeight="1" thickBot="1" x14ac:dyDescent="0.3">
      <c r="A103" s="31">
        <v>319130</v>
      </c>
      <c r="B103" s="31" t="s">
        <v>6</v>
      </c>
      <c r="C103" s="51" t="s">
        <v>15</v>
      </c>
      <c r="D103" s="31">
        <v>60</v>
      </c>
      <c r="E103" s="31">
        <v>0</v>
      </c>
      <c r="F103" s="31">
        <v>60</v>
      </c>
      <c r="G103" s="31">
        <v>2</v>
      </c>
      <c r="H103" s="31">
        <v>0</v>
      </c>
      <c r="I103" s="31">
        <v>20</v>
      </c>
      <c r="J103" s="49" t="s">
        <v>18</v>
      </c>
      <c r="K103" s="49" t="s">
        <v>17</v>
      </c>
      <c r="L103" s="50">
        <v>45730.445543981477</v>
      </c>
      <c r="M103" s="31">
        <v>0</v>
      </c>
      <c r="N103" s="31">
        <v>0</v>
      </c>
      <c r="O103" s="31">
        <v>0</v>
      </c>
      <c r="P103" s="43"/>
      <c r="Q103" s="43"/>
      <c r="R103" s="31"/>
      <c r="S103" s="31" t="b">
        <v>0</v>
      </c>
      <c r="T103" s="33">
        <v>2</v>
      </c>
      <c r="U103" s="52">
        <v>4</v>
      </c>
      <c r="V103" s="33">
        <v>3</v>
      </c>
      <c r="W103" s="33">
        <v>0</v>
      </c>
      <c r="X103" s="31">
        <v>1000</v>
      </c>
      <c r="Y103" s="43"/>
      <c r="Z103" s="31">
        <v>10</v>
      </c>
      <c r="AA103" s="43"/>
      <c r="AB103" s="53">
        <v>40</v>
      </c>
      <c r="AC103" s="43"/>
      <c r="AD103" s="43"/>
      <c r="AE103" s="43"/>
      <c r="AF103" s="31">
        <v>2000</v>
      </c>
      <c r="AG103" s="31">
        <v>2</v>
      </c>
      <c r="AH103" s="31">
        <v>4.08</v>
      </c>
      <c r="AI103" s="31">
        <v>423</v>
      </c>
      <c r="AJ103" s="31">
        <v>0</v>
      </c>
      <c r="AK103" s="31">
        <v>58</v>
      </c>
      <c r="AL103" s="43"/>
      <c r="AM103" s="31" t="s">
        <v>2</v>
      </c>
      <c r="AN103" s="43"/>
      <c r="AO103" s="31">
        <v>40</v>
      </c>
      <c r="AP103" s="43"/>
      <c r="AQ103" s="43"/>
      <c r="AR103" s="43"/>
      <c r="AS103" s="43"/>
      <c r="AT103" s="43"/>
      <c r="AU103" s="43"/>
      <c r="AV103" s="43"/>
      <c r="AW103" s="31" t="b">
        <v>0</v>
      </c>
      <c r="AX103" s="43"/>
      <c r="AY103" s="43"/>
      <c r="AZ103" s="31"/>
      <c r="BA103" s="43"/>
      <c r="BB103" s="34"/>
      <c r="BC103" s="35">
        <v>104</v>
      </c>
      <c r="BD103" s="36"/>
      <c r="BE103" s="34"/>
      <c r="BF103" s="36">
        <v>1</v>
      </c>
      <c r="BG103" s="35">
        <v>0</v>
      </c>
      <c r="BH103" s="35">
        <v>0</v>
      </c>
      <c r="BI103" s="35">
        <v>0</v>
      </c>
      <c r="BJ103" s="35">
        <v>0.55000000000000004</v>
      </c>
      <c r="BK103" s="35">
        <v>5.5</v>
      </c>
      <c r="BL103" s="36">
        <v>6</v>
      </c>
      <c r="BM103" s="36" t="s">
        <v>1</v>
      </c>
      <c r="BN103" s="37">
        <f t="shared" si="17"/>
        <v>60</v>
      </c>
      <c r="BO103" s="38">
        <f t="shared" si="18"/>
        <v>4</v>
      </c>
      <c r="BP103" s="37">
        <v>250</v>
      </c>
      <c r="BQ103" s="39"/>
      <c r="BR103" s="46"/>
      <c r="BS103" s="46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2"/>
      <c r="CF103" s="47" t="s">
        <v>16</v>
      </c>
      <c r="CG103" s="43"/>
      <c r="CI103" s="43">
        <f t="shared" si="19"/>
        <v>2.68</v>
      </c>
      <c r="CJ103" s="43">
        <v>0</v>
      </c>
      <c r="CR103" s="43">
        <v>0</v>
      </c>
      <c r="CS103" s="43">
        <v>0</v>
      </c>
      <c r="CT103" s="70">
        <v>0</v>
      </c>
      <c r="CU103" s="44">
        <v>0</v>
      </c>
      <c r="CV103" s="70">
        <v>0</v>
      </c>
      <c r="CW103" s="70">
        <v>0</v>
      </c>
      <c r="CX103" s="70">
        <v>0</v>
      </c>
      <c r="CY103" s="70">
        <v>0</v>
      </c>
      <c r="CZ103" s="70">
        <v>0</v>
      </c>
      <c r="DA103" s="70">
        <v>0</v>
      </c>
      <c r="DB103" s="70">
        <v>0</v>
      </c>
      <c r="DC103" s="18">
        <f t="shared" si="20"/>
        <v>0</v>
      </c>
      <c r="DD103" s="45">
        <v>0</v>
      </c>
      <c r="DI103" s="43" t="s">
        <v>0</v>
      </c>
    </row>
    <row r="104" spans="1:113" s="32" customFormat="1" ht="15" customHeight="1" thickBot="1" x14ac:dyDescent="0.3">
      <c r="A104" s="31">
        <v>319129</v>
      </c>
      <c r="B104" s="31" t="s">
        <v>6</v>
      </c>
      <c r="C104" s="51" t="s">
        <v>15</v>
      </c>
      <c r="D104" s="31">
        <v>60</v>
      </c>
      <c r="E104" s="31">
        <v>0</v>
      </c>
      <c r="F104" s="31">
        <v>60</v>
      </c>
      <c r="G104" s="31">
        <v>1</v>
      </c>
      <c r="H104" s="31">
        <v>0</v>
      </c>
      <c r="I104" s="31">
        <v>25</v>
      </c>
      <c r="J104" s="49" t="s">
        <v>14</v>
      </c>
      <c r="K104" s="49" t="s">
        <v>13</v>
      </c>
      <c r="L104" s="50">
        <v>45730.445335648154</v>
      </c>
      <c r="M104" s="31">
        <v>0</v>
      </c>
      <c r="N104" s="31">
        <v>0</v>
      </c>
      <c r="O104" s="31">
        <v>0</v>
      </c>
      <c r="P104" s="43"/>
      <c r="Q104" s="43"/>
      <c r="R104" s="31"/>
      <c r="S104" s="31" t="b">
        <v>0</v>
      </c>
      <c r="T104" s="33">
        <v>2</v>
      </c>
      <c r="U104" s="52">
        <v>3</v>
      </c>
      <c r="V104" s="33">
        <v>3</v>
      </c>
      <c r="W104" s="33">
        <v>0</v>
      </c>
      <c r="X104" s="31">
        <v>1000</v>
      </c>
      <c r="Y104" s="43"/>
      <c r="Z104" s="31">
        <v>10</v>
      </c>
      <c r="AA104" s="43"/>
      <c r="AB104" s="53">
        <v>50</v>
      </c>
      <c r="AC104" s="43"/>
      <c r="AD104" s="43"/>
      <c r="AE104" s="43"/>
      <c r="AF104" s="31">
        <v>2000</v>
      </c>
      <c r="AG104" s="31">
        <v>2</v>
      </c>
      <c r="AH104" s="31">
        <v>3.01</v>
      </c>
      <c r="AI104" s="31">
        <v>368</v>
      </c>
      <c r="AJ104" s="31">
        <v>0</v>
      </c>
      <c r="AK104" s="31">
        <v>49</v>
      </c>
      <c r="AL104" s="43"/>
      <c r="AM104" s="31" t="s">
        <v>2</v>
      </c>
      <c r="AN104" s="43"/>
      <c r="AO104" s="31">
        <v>50</v>
      </c>
      <c r="AP104" s="43"/>
      <c r="AQ104" s="43"/>
      <c r="AR104" s="43"/>
      <c r="AS104" s="43"/>
      <c r="AT104" s="43"/>
      <c r="AU104" s="43"/>
      <c r="AV104" s="43"/>
      <c r="AW104" s="31" t="b">
        <v>0</v>
      </c>
      <c r="AX104" s="43"/>
      <c r="AY104" s="43"/>
      <c r="AZ104" s="31"/>
      <c r="BA104" s="43"/>
      <c r="BB104" s="34"/>
      <c r="BC104" s="35">
        <v>105</v>
      </c>
      <c r="BD104" s="36"/>
      <c r="BE104" s="34"/>
      <c r="BF104" s="36">
        <v>1</v>
      </c>
      <c r="BG104" s="35">
        <v>0</v>
      </c>
      <c r="BH104" s="35">
        <v>0</v>
      </c>
      <c r="BI104" s="35">
        <v>0</v>
      </c>
      <c r="BJ104" s="35">
        <v>0.55000000000000004</v>
      </c>
      <c r="BK104" s="35">
        <v>5.5</v>
      </c>
      <c r="BL104" s="36">
        <v>6</v>
      </c>
      <c r="BM104" s="36" t="s">
        <v>1</v>
      </c>
      <c r="BN104" s="37">
        <f t="shared" si="17"/>
        <v>60</v>
      </c>
      <c r="BO104" s="38">
        <f t="shared" si="18"/>
        <v>3</v>
      </c>
      <c r="BP104" s="37">
        <v>250</v>
      </c>
      <c r="BQ104" s="39"/>
      <c r="BR104" s="46"/>
      <c r="BS104" s="46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2"/>
      <c r="CF104" s="47" t="s">
        <v>12</v>
      </c>
      <c r="CG104" s="43">
        <v>0</v>
      </c>
      <c r="CI104" s="43">
        <f t="shared" si="19"/>
        <v>2.68</v>
      </c>
      <c r="CJ104" s="43">
        <v>0</v>
      </c>
      <c r="CR104" s="43">
        <v>0</v>
      </c>
      <c r="CS104" s="43">
        <v>0</v>
      </c>
      <c r="CT104" s="70">
        <v>0</v>
      </c>
      <c r="CU104" s="44">
        <v>1</v>
      </c>
      <c r="CV104" s="70">
        <v>0</v>
      </c>
      <c r="CW104" s="70">
        <v>0</v>
      </c>
      <c r="CX104" s="70">
        <v>0</v>
      </c>
      <c r="CY104" s="70">
        <v>0</v>
      </c>
      <c r="CZ104" s="70">
        <v>0</v>
      </c>
      <c r="DA104" s="70">
        <v>0</v>
      </c>
      <c r="DB104" s="70">
        <v>0</v>
      </c>
      <c r="DC104" s="18">
        <f t="shared" si="20"/>
        <v>1</v>
      </c>
      <c r="DD104" s="45">
        <v>2</v>
      </c>
      <c r="DI104" s="43" t="s">
        <v>0</v>
      </c>
    </row>
    <row r="105" spans="1:113" s="32" customFormat="1" ht="15" customHeight="1" thickBot="1" x14ac:dyDescent="0.3">
      <c r="A105" s="31">
        <v>319128</v>
      </c>
      <c r="B105" s="31" t="s">
        <v>6</v>
      </c>
      <c r="C105" s="51" t="s">
        <v>11</v>
      </c>
      <c r="D105" s="31">
        <v>16</v>
      </c>
      <c r="E105" s="31">
        <v>0</v>
      </c>
      <c r="F105" s="31">
        <v>16</v>
      </c>
      <c r="G105" s="31">
        <v>256</v>
      </c>
      <c r="H105" s="31">
        <v>0</v>
      </c>
      <c r="I105" s="31">
        <v>37</v>
      </c>
      <c r="J105" s="49" t="s">
        <v>10</v>
      </c>
      <c r="K105" s="49" t="s">
        <v>9</v>
      </c>
      <c r="L105" s="50">
        <v>45729.868009259262</v>
      </c>
      <c r="M105" s="31">
        <v>0</v>
      </c>
      <c r="N105" s="31">
        <v>0</v>
      </c>
      <c r="O105" s="31">
        <v>0</v>
      </c>
      <c r="P105" s="43"/>
      <c r="Q105" s="43"/>
      <c r="R105" s="31"/>
      <c r="S105" s="31" t="b">
        <v>0</v>
      </c>
      <c r="T105" s="33">
        <v>0.01</v>
      </c>
      <c r="U105" s="52">
        <v>4.5999999999999996</v>
      </c>
      <c r="V105" s="33">
        <v>0.01</v>
      </c>
      <c r="W105" s="33">
        <v>0</v>
      </c>
      <c r="X105" s="31">
        <v>1000</v>
      </c>
      <c r="Y105" s="43"/>
      <c r="Z105" s="31">
        <v>10</v>
      </c>
      <c r="AA105" s="43"/>
      <c r="AB105" s="53">
        <v>75</v>
      </c>
      <c r="AC105" s="43"/>
      <c r="AD105" s="31">
        <v>10</v>
      </c>
      <c r="AE105" s="43"/>
      <c r="AF105" s="31">
        <v>2000</v>
      </c>
      <c r="AG105" s="31">
        <v>2</v>
      </c>
      <c r="AH105" s="31">
        <v>4.71</v>
      </c>
      <c r="AI105" s="31">
        <v>355</v>
      </c>
      <c r="AJ105" s="31">
        <v>0</v>
      </c>
      <c r="AK105" s="31">
        <v>118</v>
      </c>
      <c r="AL105" s="43"/>
      <c r="AM105" s="31" t="s">
        <v>2</v>
      </c>
      <c r="AN105" s="43"/>
      <c r="AO105" s="31">
        <v>74</v>
      </c>
      <c r="AP105" s="43"/>
      <c r="AQ105" s="43"/>
      <c r="AR105" s="43"/>
      <c r="AS105" s="43"/>
      <c r="AT105" s="43"/>
      <c r="AU105" s="43"/>
      <c r="AV105" s="43"/>
      <c r="AW105" s="31" t="b">
        <v>0</v>
      </c>
      <c r="AX105" s="43"/>
      <c r="AY105" s="43"/>
      <c r="AZ105" s="31"/>
      <c r="BA105" s="43"/>
      <c r="BB105" s="34"/>
      <c r="BC105" s="35">
        <v>106</v>
      </c>
      <c r="BD105" s="36"/>
      <c r="BE105" s="34"/>
      <c r="BF105" s="36">
        <v>0.55000000000000004</v>
      </c>
      <c r="BG105" s="35">
        <v>0</v>
      </c>
      <c r="BH105" s="35">
        <v>0</v>
      </c>
      <c r="BI105" s="35">
        <v>0</v>
      </c>
      <c r="BJ105" s="35">
        <v>0.55000000000000004</v>
      </c>
      <c r="BK105" s="35">
        <v>5.5</v>
      </c>
      <c r="BL105" s="36">
        <v>6</v>
      </c>
      <c r="BM105" s="36" t="s">
        <v>1</v>
      </c>
      <c r="BN105" s="37">
        <f t="shared" si="17"/>
        <v>16</v>
      </c>
      <c r="BO105" s="38">
        <f t="shared" si="18"/>
        <v>4.5999999999999996</v>
      </c>
      <c r="BP105" s="37">
        <v>250</v>
      </c>
      <c r="BQ105" s="39"/>
      <c r="BR105" s="46"/>
      <c r="BS105" s="46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2"/>
      <c r="CF105" s="47" t="s">
        <v>16</v>
      </c>
      <c r="CI105" s="43">
        <f t="shared" si="19"/>
        <v>2.68</v>
      </c>
      <c r="CJ105" s="43">
        <v>0</v>
      </c>
      <c r="CR105" s="43">
        <v>0</v>
      </c>
      <c r="CS105" s="43">
        <v>0</v>
      </c>
      <c r="CT105" s="70">
        <v>0</v>
      </c>
      <c r="CU105" s="48">
        <v>0</v>
      </c>
      <c r="CV105" s="70">
        <v>0</v>
      </c>
      <c r="CW105" s="70">
        <v>0</v>
      </c>
      <c r="CX105" s="70">
        <v>0</v>
      </c>
      <c r="CY105" s="70">
        <v>0</v>
      </c>
      <c r="CZ105" s="70">
        <v>0</v>
      </c>
      <c r="DA105" s="70">
        <v>0</v>
      </c>
      <c r="DB105" s="70">
        <v>0</v>
      </c>
      <c r="DC105" s="18">
        <f t="shared" si="20"/>
        <v>0</v>
      </c>
      <c r="DD105" s="45">
        <v>0</v>
      </c>
      <c r="DI105" s="43" t="s">
        <v>0</v>
      </c>
    </row>
    <row r="106" spans="1:113" s="32" customFormat="1" ht="15" customHeight="1" thickBot="1" x14ac:dyDescent="0.3">
      <c r="A106" s="31">
        <v>319136</v>
      </c>
      <c r="B106" s="31" t="s">
        <v>6</v>
      </c>
      <c r="C106" s="51" t="s">
        <v>5</v>
      </c>
      <c r="D106" s="31">
        <v>35</v>
      </c>
      <c r="E106" s="31">
        <v>0</v>
      </c>
      <c r="F106" s="31">
        <v>35</v>
      </c>
      <c r="G106" s="31">
        <v>4</v>
      </c>
      <c r="H106" s="31">
        <v>0</v>
      </c>
      <c r="I106" s="31">
        <v>35</v>
      </c>
      <c r="J106" s="49" t="s">
        <v>8</v>
      </c>
      <c r="K106" s="49" t="s">
        <v>7</v>
      </c>
      <c r="L106" s="50">
        <v>45730.679942129631</v>
      </c>
      <c r="M106" s="31">
        <v>0</v>
      </c>
      <c r="N106" s="31">
        <v>0</v>
      </c>
      <c r="O106" s="31">
        <v>0</v>
      </c>
      <c r="P106" s="43"/>
      <c r="Q106" s="43"/>
      <c r="R106" s="31"/>
      <c r="S106" s="31" t="b">
        <v>0</v>
      </c>
      <c r="T106" s="33">
        <v>0.01</v>
      </c>
      <c r="U106" s="52">
        <v>7.5</v>
      </c>
      <c r="V106" s="33">
        <v>0.01</v>
      </c>
      <c r="W106" s="33">
        <v>0</v>
      </c>
      <c r="X106" s="31">
        <v>1000</v>
      </c>
      <c r="Y106" s="43"/>
      <c r="Z106" s="31">
        <v>10</v>
      </c>
      <c r="AA106" s="43"/>
      <c r="AB106" s="53">
        <v>70</v>
      </c>
      <c r="AC106" s="43"/>
      <c r="AD106" s="31">
        <v>10</v>
      </c>
      <c r="AE106" s="43"/>
      <c r="AF106" s="31">
        <v>2000</v>
      </c>
      <c r="AG106" s="31">
        <v>2</v>
      </c>
      <c r="AH106" s="31">
        <v>7.66</v>
      </c>
      <c r="AI106" s="31">
        <v>656</v>
      </c>
      <c r="AJ106" s="31">
        <v>0</v>
      </c>
      <c r="AK106" s="31">
        <v>333</v>
      </c>
      <c r="AL106" s="43"/>
      <c r="AM106" s="31" t="s">
        <v>2</v>
      </c>
      <c r="AN106" s="43"/>
      <c r="AO106" s="31">
        <v>70</v>
      </c>
      <c r="AP106" s="43"/>
      <c r="AQ106" s="43"/>
      <c r="AR106" s="43"/>
      <c r="AS106" s="43"/>
      <c r="AT106" s="43"/>
      <c r="AU106" s="43"/>
      <c r="AV106" s="43"/>
      <c r="AW106" s="31" t="b">
        <v>0</v>
      </c>
      <c r="AX106" s="43"/>
      <c r="AY106" s="43"/>
      <c r="AZ106" s="31"/>
      <c r="BA106" s="43"/>
      <c r="BB106" s="34"/>
      <c r="BC106" s="35">
        <v>107</v>
      </c>
      <c r="BD106" s="36"/>
      <c r="BE106" s="34"/>
      <c r="BF106" s="36">
        <v>1.6</v>
      </c>
      <c r="BG106" s="35">
        <v>0.9</v>
      </c>
      <c r="BH106" s="35">
        <v>0</v>
      </c>
      <c r="BI106" s="35">
        <v>0</v>
      </c>
      <c r="BJ106" s="35">
        <v>0.9</v>
      </c>
      <c r="BK106" s="35">
        <v>5.5</v>
      </c>
      <c r="BL106" s="36">
        <v>6</v>
      </c>
      <c r="BM106" s="36" t="s">
        <v>1</v>
      </c>
      <c r="BN106" s="37">
        <f t="shared" si="17"/>
        <v>35</v>
      </c>
      <c r="BO106" s="38">
        <f t="shared" si="18"/>
        <v>7.5</v>
      </c>
      <c r="BP106" s="37">
        <v>300</v>
      </c>
      <c r="BQ106" s="39"/>
      <c r="BR106" s="46"/>
      <c r="BS106" s="46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2"/>
      <c r="CF106" s="47" t="s">
        <v>16</v>
      </c>
      <c r="CI106" s="43">
        <f t="shared" si="19"/>
        <v>3.81</v>
      </c>
      <c r="CJ106" s="43">
        <v>0</v>
      </c>
      <c r="CR106" s="43">
        <v>0</v>
      </c>
      <c r="CS106" s="43">
        <v>0</v>
      </c>
      <c r="CT106" s="70">
        <v>0</v>
      </c>
      <c r="CU106" s="48">
        <v>0</v>
      </c>
      <c r="CV106" s="70">
        <v>0</v>
      </c>
      <c r="CW106" s="70">
        <v>0</v>
      </c>
      <c r="CX106" s="70">
        <v>0</v>
      </c>
      <c r="CY106" s="70">
        <v>0</v>
      </c>
      <c r="CZ106" s="70">
        <v>0</v>
      </c>
      <c r="DA106" s="70">
        <v>0</v>
      </c>
      <c r="DB106" s="70">
        <v>0</v>
      </c>
      <c r="DC106" s="18">
        <f t="shared" si="20"/>
        <v>0</v>
      </c>
      <c r="DD106" s="45">
        <v>0</v>
      </c>
      <c r="DI106" s="43" t="s">
        <v>0</v>
      </c>
    </row>
    <row r="107" spans="1:113" s="32" customFormat="1" ht="15" customHeight="1" thickBot="1" x14ac:dyDescent="0.3">
      <c r="A107" s="31">
        <v>319188</v>
      </c>
      <c r="B107" s="31" t="s">
        <v>6</v>
      </c>
      <c r="C107" s="51" t="s">
        <v>5</v>
      </c>
      <c r="D107" s="31">
        <v>35</v>
      </c>
      <c r="E107" s="31">
        <v>0</v>
      </c>
      <c r="F107" s="31">
        <v>35</v>
      </c>
      <c r="G107" s="31">
        <v>56</v>
      </c>
      <c r="H107" s="31">
        <v>0</v>
      </c>
      <c r="I107" s="31">
        <v>35</v>
      </c>
      <c r="J107" s="49" t="s">
        <v>4</v>
      </c>
      <c r="K107" s="49" t="s">
        <v>3</v>
      </c>
      <c r="L107" s="50">
        <v>45730.811863425923</v>
      </c>
      <c r="M107" s="31">
        <v>0</v>
      </c>
      <c r="N107" s="31">
        <v>0</v>
      </c>
      <c r="O107" s="31">
        <v>0</v>
      </c>
      <c r="P107" s="43"/>
      <c r="Q107" s="43"/>
      <c r="R107" s="31"/>
      <c r="S107" s="31" t="b">
        <v>0</v>
      </c>
      <c r="T107" s="33">
        <v>0.01</v>
      </c>
      <c r="U107" s="52">
        <v>7.5</v>
      </c>
      <c r="V107" s="33">
        <v>0.01</v>
      </c>
      <c r="W107" s="33">
        <v>0</v>
      </c>
      <c r="X107" s="31">
        <v>1000</v>
      </c>
      <c r="Y107" s="43"/>
      <c r="Z107" s="31">
        <v>10</v>
      </c>
      <c r="AA107" s="43"/>
      <c r="AB107" s="53">
        <v>70</v>
      </c>
      <c r="AC107" s="43"/>
      <c r="AD107" s="31">
        <v>10</v>
      </c>
      <c r="AE107" s="43"/>
      <c r="AF107" s="31">
        <v>2000</v>
      </c>
      <c r="AG107" s="31">
        <v>2</v>
      </c>
      <c r="AH107" s="31">
        <v>7.65</v>
      </c>
      <c r="AI107" s="31">
        <v>639</v>
      </c>
      <c r="AJ107" s="31">
        <v>0</v>
      </c>
      <c r="AK107" s="31">
        <v>324</v>
      </c>
      <c r="AL107" s="43"/>
      <c r="AM107" s="31" t="s">
        <v>2</v>
      </c>
      <c r="AN107" s="43"/>
      <c r="AO107" s="31">
        <v>70</v>
      </c>
      <c r="AP107" s="43"/>
      <c r="AQ107" s="43"/>
      <c r="AR107" s="43"/>
      <c r="AS107" s="43"/>
      <c r="AT107" s="43"/>
      <c r="AU107" s="43"/>
      <c r="AV107" s="43"/>
      <c r="AW107" s="31" t="b">
        <v>0</v>
      </c>
      <c r="AX107" s="43"/>
      <c r="AY107" s="43"/>
      <c r="AZ107" s="31"/>
      <c r="BA107" s="43"/>
      <c r="BB107" s="34"/>
      <c r="BC107" s="35">
        <v>108</v>
      </c>
      <c r="BD107" s="36"/>
      <c r="BE107" s="34"/>
      <c r="BF107" s="36">
        <v>1.6</v>
      </c>
      <c r="BG107" s="35">
        <v>0.9</v>
      </c>
      <c r="BH107" s="35">
        <v>0</v>
      </c>
      <c r="BI107" s="35">
        <v>0</v>
      </c>
      <c r="BJ107" s="35">
        <v>0.9</v>
      </c>
      <c r="BK107" s="35">
        <v>5.5</v>
      </c>
      <c r="BL107" s="36">
        <v>6</v>
      </c>
      <c r="BM107" s="36" t="s">
        <v>1</v>
      </c>
      <c r="BN107" s="37">
        <f t="shared" si="17"/>
        <v>35</v>
      </c>
      <c r="BO107" s="38">
        <f t="shared" si="18"/>
        <v>7.5</v>
      </c>
      <c r="BP107" s="37">
        <v>300</v>
      </c>
      <c r="BQ107" s="39"/>
      <c r="BR107" s="46"/>
      <c r="BS107" s="46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2"/>
      <c r="CF107" s="47" t="s">
        <v>16</v>
      </c>
      <c r="CI107" s="43">
        <f t="shared" si="19"/>
        <v>3.81</v>
      </c>
      <c r="CJ107" s="43">
        <v>0</v>
      </c>
      <c r="CR107" s="43">
        <v>0</v>
      </c>
      <c r="CS107" s="43">
        <v>0</v>
      </c>
      <c r="CT107" s="70">
        <v>0</v>
      </c>
      <c r="CU107" s="48">
        <v>0</v>
      </c>
      <c r="CV107" s="70">
        <v>0</v>
      </c>
      <c r="CW107" s="70">
        <v>0</v>
      </c>
      <c r="CX107" s="70">
        <v>0</v>
      </c>
      <c r="CY107" s="70">
        <v>0</v>
      </c>
      <c r="CZ107" s="70">
        <v>0</v>
      </c>
      <c r="DA107" s="70">
        <v>0</v>
      </c>
      <c r="DB107" s="70">
        <v>0</v>
      </c>
      <c r="DC107" s="18">
        <f t="shared" si="20"/>
        <v>0</v>
      </c>
      <c r="DD107" s="45">
        <v>0</v>
      </c>
      <c r="DI107" s="43" t="s">
        <v>0</v>
      </c>
    </row>
    <row r="108" spans="1:113" s="54" customFormat="1" ht="15.75" thickBot="1" x14ac:dyDescent="0.3">
      <c r="A108" s="54">
        <v>522717</v>
      </c>
      <c r="B108" s="54" t="s">
        <v>6</v>
      </c>
      <c r="C108" s="56" t="s">
        <v>15</v>
      </c>
      <c r="D108" s="54">
        <v>60</v>
      </c>
      <c r="E108" s="54">
        <v>0</v>
      </c>
      <c r="F108" s="54">
        <v>60</v>
      </c>
      <c r="G108" s="54">
        <v>3189</v>
      </c>
      <c r="H108" s="54">
        <v>0</v>
      </c>
      <c r="I108" s="54">
        <v>175</v>
      </c>
      <c r="J108" s="57" t="s">
        <v>337</v>
      </c>
      <c r="K108" s="57" t="s">
        <v>338</v>
      </c>
      <c r="L108" s="58">
        <v>45958.455729166701</v>
      </c>
      <c r="M108" s="54">
        <v>0</v>
      </c>
      <c r="N108" s="54">
        <v>0</v>
      </c>
      <c r="O108" s="54">
        <v>0</v>
      </c>
      <c r="S108" s="54" t="b">
        <v>0</v>
      </c>
      <c r="T108" s="54">
        <v>2</v>
      </c>
      <c r="U108" s="55">
        <v>4</v>
      </c>
      <c r="V108" s="54">
        <v>2</v>
      </c>
      <c r="W108" s="54">
        <v>0</v>
      </c>
      <c r="X108" s="54">
        <v>500</v>
      </c>
      <c r="Y108" s="54">
        <v>200</v>
      </c>
      <c r="Z108" s="54">
        <v>10</v>
      </c>
      <c r="AA108" s="54">
        <v>50</v>
      </c>
      <c r="AB108" s="55">
        <v>150</v>
      </c>
      <c r="AD108" s="54">
        <v>80</v>
      </c>
      <c r="AF108" s="54">
        <v>2000</v>
      </c>
      <c r="AG108" s="54">
        <v>2</v>
      </c>
      <c r="AH108" s="54">
        <v>4</v>
      </c>
      <c r="AI108" s="54">
        <v>245</v>
      </c>
      <c r="AJ108" s="54">
        <v>190</v>
      </c>
      <c r="AK108" s="54">
        <v>147</v>
      </c>
      <c r="AM108" s="54" t="s">
        <v>2</v>
      </c>
      <c r="AN108" s="54">
        <v>200</v>
      </c>
      <c r="AO108" s="54">
        <v>150</v>
      </c>
      <c r="AW108" s="54" t="b">
        <v>0</v>
      </c>
      <c r="BD108" s="54" t="s">
        <v>369</v>
      </c>
      <c r="BF108" s="54">
        <v>1</v>
      </c>
      <c r="BG108" s="54">
        <v>1</v>
      </c>
      <c r="BH108" s="54">
        <v>0</v>
      </c>
      <c r="BI108" s="54">
        <v>0</v>
      </c>
      <c r="BJ108" s="54">
        <v>0</v>
      </c>
      <c r="BK108" s="54">
        <v>0</v>
      </c>
      <c r="BL108" s="54">
        <v>0</v>
      </c>
      <c r="BM108" s="36" t="s">
        <v>1</v>
      </c>
      <c r="BN108" s="60">
        <f t="shared" si="17"/>
        <v>60</v>
      </c>
      <c r="BO108" s="38">
        <f t="shared" si="18"/>
        <v>4</v>
      </c>
      <c r="BP108" s="37">
        <v>380</v>
      </c>
      <c r="BQ108" s="76">
        <v>0</v>
      </c>
      <c r="BR108" s="76">
        <v>0</v>
      </c>
      <c r="BS108" s="76">
        <f t="shared" ref="BS108:BS114" si="21">(BQ108+BR108)/2</f>
        <v>0</v>
      </c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3"/>
      <c r="CF108" s="47" t="s">
        <v>12</v>
      </c>
      <c r="CG108" s="54">
        <v>0</v>
      </c>
      <c r="CI108" s="54">
        <v>4.0599999999999996</v>
      </c>
      <c r="CR108" s="43">
        <v>0</v>
      </c>
      <c r="CS108" s="54">
        <v>0</v>
      </c>
      <c r="CT108" s="70">
        <v>0</v>
      </c>
      <c r="CU108" s="81">
        <v>1</v>
      </c>
      <c r="CV108" s="70">
        <v>0</v>
      </c>
      <c r="CW108" s="70">
        <v>0</v>
      </c>
      <c r="CX108" s="70">
        <v>0</v>
      </c>
      <c r="CY108" s="70">
        <v>0</v>
      </c>
      <c r="CZ108" s="70">
        <v>0</v>
      </c>
      <c r="DA108" s="70">
        <v>0</v>
      </c>
      <c r="DB108" s="70">
        <v>0</v>
      </c>
      <c r="DC108" s="54">
        <v>1</v>
      </c>
      <c r="DD108" s="54">
        <v>2</v>
      </c>
      <c r="DI108" s="43" t="s">
        <v>0</v>
      </c>
    </row>
    <row r="109" spans="1:113" s="54" customFormat="1" ht="15.75" thickBot="1" x14ac:dyDescent="0.3">
      <c r="A109" s="54">
        <v>522718</v>
      </c>
      <c r="B109" s="54" t="s">
        <v>6</v>
      </c>
      <c r="C109" s="56" t="s">
        <v>15</v>
      </c>
      <c r="D109" s="54">
        <v>60</v>
      </c>
      <c r="E109" s="54">
        <v>0</v>
      </c>
      <c r="F109" s="54">
        <v>60</v>
      </c>
      <c r="G109" s="54">
        <v>3190</v>
      </c>
      <c r="H109" s="54">
        <v>0</v>
      </c>
      <c r="I109" s="54">
        <v>175</v>
      </c>
      <c r="J109" s="57" t="s">
        <v>339</v>
      </c>
      <c r="K109" s="57" t="s">
        <v>340</v>
      </c>
      <c r="L109" s="58">
        <v>45958.456226851798</v>
      </c>
      <c r="M109" s="54">
        <v>0</v>
      </c>
      <c r="N109" s="54">
        <v>0</v>
      </c>
      <c r="O109" s="54">
        <v>0</v>
      </c>
      <c r="S109" s="54" t="b">
        <v>0</v>
      </c>
      <c r="T109" s="54">
        <v>2</v>
      </c>
      <c r="U109" s="55">
        <v>3.5</v>
      </c>
      <c r="V109" s="54">
        <v>2</v>
      </c>
      <c r="W109" s="54">
        <v>0</v>
      </c>
      <c r="X109" s="54">
        <v>500</v>
      </c>
      <c r="Y109" s="54">
        <v>200</v>
      </c>
      <c r="Z109" s="54">
        <v>10</v>
      </c>
      <c r="AA109" s="54">
        <v>50</v>
      </c>
      <c r="AB109" s="55">
        <v>150</v>
      </c>
      <c r="AD109" s="54">
        <v>80</v>
      </c>
      <c r="AF109" s="54">
        <v>2000</v>
      </c>
      <c r="AG109" s="54">
        <v>2</v>
      </c>
      <c r="AH109" s="54">
        <v>3.5</v>
      </c>
      <c r="AI109" s="54">
        <v>232</v>
      </c>
      <c r="AJ109" s="54">
        <v>207</v>
      </c>
      <c r="AK109" s="54">
        <v>121</v>
      </c>
      <c r="AM109" s="54" t="s">
        <v>2</v>
      </c>
      <c r="AN109" s="54">
        <v>200</v>
      </c>
      <c r="AO109" s="54">
        <v>150</v>
      </c>
      <c r="AW109" s="54" t="b">
        <v>0</v>
      </c>
      <c r="BD109" s="54" t="s">
        <v>369</v>
      </c>
      <c r="BF109" s="54">
        <v>1</v>
      </c>
      <c r="BG109" s="54">
        <v>1</v>
      </c>
      <c r="BH109" s="54">
        <v>0</v>
      </c>
      <c r="BI109" s="54">
        <v>0</v>
      </c>
      <c r="BJ109" s="54">
        <v>0</v>
      </c>
      <c r="BK109" s="54">
        <v>0</v>
      </c>
      <c r="BL109" s="54">
        <v>0</v>
      </c>
      <c r="BM109" s="36" t="s">
        <v>1</v>
      </c>
      <c r="BN109" s="60">
        <f t="shared" si="17"/>
        <v>60</v>
      </c>
      <c r="BO109" s="38">
        <f t="shared" si="18"/>
        <v>3.5</v>
      </c>
      <c r="BP109" s="37">
        <v>380</v>
      </c>
      <c r="BQ109" s="76">
        <v>0</v>
      </c>
      <c r="BR109" s="76">
        <v>0</v>
      </c>
      <c r="BS109" s="76">
        <f t="shared" si="21"/>
        <v>0</v>
      </c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3"/>
      <c r="CF109" s="47" t="s">
        <v>12</v>
      </c>
      <c r="CG109" s="54">
        <v>0</v>
      </c>
      <c r="CI109" s="54">
        <v>4.0599999999999996</v>
      </c>
      <c r="CR109" s="43">
        <v>0</v>
      </c>
      <c r="CS109" s="54">
        <v>0</v>
      </c>
      <c r="CT109" s="70">
        <v>0</v>
      </c>
      <c r="CU109" s="81">
        <v>1</v>
      </c>
      <c r="CV109" s="70">
        <v>0</v>
      </c>
      <c r="CW109" s="70">
        <v>0</v>
      </c>
      <c r="CX109" s="70">
        <v>0</v>
      </c>
      <c r="CY109" s="70">
        <v>0</v>
      </c>
      <c r="CZ109" s="70">
        <v>0</v>
      </c>
      <c r="DA109" s="70">
        <v>0</v>
      </c>
      <c r="DB109" s="70">
        <v>0</v>
      </c>
      <c r="DC109" s="54">
        <v>1</v>
      </c>
      <c r="DD109" s="54">
        <v>2</v>
      </c>
      <c r="DI109" s="43" t="s">
        <v>0</v>
      </c>
    </row>
    <row r="110" spans="1:113" s="54" customFormat="1" ht="15.75" thickBot="1" x14ac:dyDescent="0.3">
      <c r="A110" s="54">
        <v>522719</v>
      </c>
      <c r="B110" s="54" t="s">
        <v>6</v>
      </c>
      <c r="C110" s="56" t="s">
        <v>15</v>
      </c>
      <c r="D110" s="54">
        <v>60</v>
      </c>
      <c r="E110" s="54">
        <v>0</v>
      </c>
      <c r="F110" s="54">
        <v>60</v>
      </c>
      <c r="G110" s="54">
        <v>3191</v>
      </c>
      <c r="H110" s="54">
        <v>0</v>
      </c>
      <c r="I110" s="54">
        <v>200</v>
      </c>
      <c r="J110" s="57" t="s">
        <v>341</v>
      </c>
      <c r="K110" s="57" t="s">
        <v>342</v>
      </c>
      <c r="L110" s="58">
        <v>45958.456562500003</v>
      </c>
      <c r="M110" s="54">
        <v>0</v>
      </c>
      <c r="N110" s="54">
        <v>0</v>
      </c>
      <c r="O110" s="54">
        <v>0</v>
      </c>
      <c r="S110" s="54" t="b">
        <v>0</v>
      </c>
      <c r="T110" s="54">
        <v>2</v>
      </c>
      <c r="U110" s="55">
        <v>3.5</v>
      </c>
      <c r="V110" s="54">
        <v>2</v>
      </c>
      <c r="W110" s="54">
        <v>0</v>
      </c>
      <c r="X110" s="54">
        <v>500</v>
      </c>
      <c r="Y110" s="54">
        <v>200</v>
      </c>
      <c r="Z110" s="54">
        <v>10</v>
      </c>
      <c r="AA110" s="54">
        <v>50</v>
      </c>
      <c r="AB110" s="55">
        <v>200</v>
      </c>
      <c r="AD110" s="54">
        <v>80</v>
      </c>
      <c r="AF110" s="54">
        <v>2000</v>
      </c>
      <c r="AG110" s="54">
        <v>2</v>
      </c>
      <c r="AH110" s="54">
        <v>3.5</v>
      </c>
      <c r="AI110" s="54">
        <v>232</v>
      </c>
      <c r="AJ110" s="54">
        <v>211</v>
      </c>
      <c r="AK110" s="54">
        <v>163</v>
      </c>
      <c r="AM110" s="54" t="s">
        <v>2</v>
      </c>
      <c r="AN110" s="54">
        <v>200</v>
      </c>
      <c r="AO110" s="54">
        <v>200</v>
      </c>
      <c r="AW110" s="54" t="b">
        <v>0</v>
      </c>
      <c r="BD110" s="54" t="s">
        <v>369</v>
      </c>
      <c r="BF110" s="54">
        <v>1</v>
      </c>
      <c r="BG110" s="54">
        <v>1</v>
      </c>
      <c r="BH110" s="54">
        <v>0</v>
      </c>
      <c r="BI110" s="54">
        <v>0</v>
      </c>
      <c r="BJ110" s="54">
        <v>0</v>
      </c>
      <c r="BK110" s="54">
        <v>0</v>
      </c>
      <c r="BL110" s="54">
        <v>0</v>
      </c>
      <c r="BM110" s="36" t="s">
        <v>1</v>
      </c>
      <c r="BN110" s="60">
        <f t="shared" si="17"/>
        <v>60</v>
      </c>
      <c r="BO110" s="38">
        <f t="shared" si="18"/>
        <v>3.5</v>
      </c>
      <c r="BP110" s="37">
        <v>380</v>
      </c>
      <c r="BQ110" s="76">
        <v>0</v>
      </c>
      <c r="BR110" s="76">
        <v>0</v>
      </c>
      <c r="BS110" s="76">
        <f t="shared" si="21"/>
        <v>0</v>
      </c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3"/>
      <c r="CF110" s="47" t="s">
        <v>12</v>
      </c>
      <c r="CG110" s="54">
        <v>0</v>
      </c>
      <c r="CI110" s="54">
        <v>4.0599999999999996</v>
      </c>
      <c r="CR110" s="43">
        <v>0</v>
      </c>
      <c r="CS110" s="54">
        <v>0</v>
      </c>
      <c r="CT110" s="70">
        <v>0</v>
      </c>
      <c r="CU110" s="81">
        <v>1</v>
      </c>
      <c r="CV110" s="70">
        <v>0</v>
      </c>
      <c r="CW110" s="70">
        <v>0</v>
      </c>
      <c r="CX110" s="70">
        <v>0</v>
      </c>
      <c r="CY110" s="70">
        <v>0</v>
      </c>
      <c r="CZ110" s="70">
        <v>0</v>
      </c>
      <c r="DA110" s="70">
        <v>0</v>
      </c>
      <c r="DB110" s="70">
        <v>0</v>
      </c>
      <c r="DC110" s="54">
        <v>1</v>
      </c>
      <c r="DD110" s="54">
        <v>2</v>
      </c>
      <c r="DI110" s="43" t="s">
        <v>0</v>
      </c>
    </row>
    <row r="111" spans="1:113" s="54" customFormat="1" ht="15.75" thickBot="1" x14ac:dyDescent="0.3">
      <c r="A111" s="54">
        <v>522720</v>
      </c>
      <c r="B111" s="54" t="s">
        <v>6</v>
      </c>
      <c r="C111" s="56" t="s">
        <v>15</v>
      </c>
      <c r="D111" s="54">
        <v>60</v>
      </c>
      <c r="E111" s="54">
        <v>0</v>
      </c>
      <c r="F111" s="54">
        <v>60</v>
      </c>
      <c r="G111" s="54">
        <v>3192</v>
      </c>
      <c r="H111" s="54">
        <v>0</v>
      </c>
      <c r="I111" s="54">
        <v>200</v>
      </c>
      <c r="J111" s="57" t="s">
        <v>343</v>
      </c>
      <c r="K111" s="57" t="s">
        <v>344</v>
      </c>
      <c r="L111" s="58">
        <v>45958.456793981502</v>
      </c>
      <c r="M111" s="54">
        <v>0</v>
      </c>
      <c r="N111" s="54">
        <v>0</v>
      </c>
      <c r="O111" s="54">
        <v>0</v>
      </c>
      <c r="S111" s="54" t="b">
        <v>0</v>
      </c>
      <c r="T111" s="54">
        <v>2</v>
      </c>
      <c r="U111" s="55">
        <v>3</v>
      </c>
      <c r="V111" s="54">
        <v>2</v>
      </c>
      <c r="W111" s="54">
        <v>0</v>
      </c>
      <c r="X111" s="54">
        <v>500</v>
      </c>
      <c r="Y111" s="54">
        <v>200</v>
      </c>
      <c r="Z111" s="54">
        <v>10</v>
      </c>
      <c r="AA111" s="54">
        <v>50</v>
      </c>
      <c r="AB111" s="55">
        <v>200</v>
      </c>
      <c r="AD111" s="54">
        <v>80</v>
      </c>
      <c r="AF111" s="54">
        <v>2000</v>
      </c>
      <c r="AG111" s="54">
        <v>2</v>
      </c>
      <c r="AH111" s="54">
        <v>3</v>
      </c>
      <c r="AI111" s="54">
        <v>228</v>
      </c>
      <c r="AJ111" s="54">
        <v>207</v>
      </c>
      <c r="AK111" s="54">
        <v>140</v>
      </c>
      <c r="AM111" s="54" t="s">
        <v>2</v>
      </c>
      <c r="AN111" s="54">
        <v>200</v>
      </c>
      <c r="AO111" s="54">
        <v>200</v>
      </c>
      <c r="AW111" s="54" t="b">
        <v>0</v>
      </c>
      <c r="BD111" s="54" t="s">
        <v>369</v>
      </c>
      <c r="BF111" s="54">
        <v>1</v>
      </c>
      <c r="BG111" s="54">
        <v>1</v>
      </c>
      <c r="BH111" s="54">
        <v>0</v>
      </c>
      <c r="BI111" s="54">
        <v>0</v>
      </c>
      <c r="BJ111" s="54">
        <v>0</v>
      </c>
      <c r="BK111" s="54">
        <v>0</v>
      </c>
      <c r="BL111" s="54">
        <v>0</v>
      </c>
      <c r="BM111" s="36" t="s">
        <v>1</v>
      </c>
      <c r="BN111" s="60">
        <f t="shared" si="17"/>
        <v>60</v>
      </c>
      <c r="BO111" s="38">
        <f t="shared" si="18"/>
        <v>3</v>
      </c>
      <c r="BP111" s="37">
        <v>380</v>
      </c>
      <c r="BQ111" s="76">
        <v>0</v>
      </c>
      <c r="BR111" s="76">
        <v>0</v>
      </c>
      <c r="BS111" s="76">
        <f t="shared" si="21"/>
        <v>0</v>
      </c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3"/>
      <c r="CF111" s="47" t="s">
        <v>12</v>
      </c>
      <c r="CG111" s="54">
        <v>0</v>
      </c>
      <c r="CI111" s="54">
        <v>4.0599999999999996</v>
      </c>
      <c r="CR111" s="43">
        <v>0</v>
      </c>
      <c r="CS111" s="54">
        <v>0</v>
      </c>
      <c r="CT111" s="70">
        <v>0</v>
      </c>
      <c r="CU111" s="81">
        <v>1</v>
      </c>
      <c r="CV111" s="70">
        <v>0</v>
      </c>
      <c r="CW111" s="70">
        <v>0</v>
      </c>
      <c r="CX111" s="70">
        <v>0</v>
      </c>
      <c r="CY111" s="70">
        <v>0</v>
      </c>
      <c r="CZ111" s="70">
        <v>0</v>
      </c>
      <c r="DA111" s="70">
        <v>0</v>
      </c>
      <c r="DB111" s="70">
        <v>0</v>
      </c>
      <c r="DC111" s="54">
        <v>1</v>
      </c>
      <c r="DD111" s="54">
        <v>2</v>
      </c>
      <c r="DI111" s="43" t="s">
        <v>0</v>
      </c>
    </row>
    <row r="112" spans="1:113" s="54" customFormat="1" ht="15.75" thickBot="1" x14ac:dyDescent="0.3">
      <c r="A112" s="54">
        <v>522721</v>
      </c>
      <c r="B112" s="54" t="s">
        <v>6</v>
      </c>
      <c r="C112" s="56" t="s">
        <v>15</v>
      </c>
      <c r="D112" s="54">
        <v>60</v>
      </c>
      <c r="E112" s="54">
        <v>0</v>
      </c>
      <c r="F112" s="54">
        <v>60</v>
      </c>
      <c r="G112" s="54">
        <v>3193</v>
      </c>
      <c r="H112" s="54">
        <v>0</v>
      </c>
      <c r="I112" s="54">
        <v>200</v>
      </c>
      <c r="J112" s="57" t="s">
        <v>345</v>
      </c>
      <c r="K112" s="57" t="s">
        <v>346</v>
      </c>
      <c r="L112" s="58">
        <v>45958.459074074097</v>
      </c>
      <c r="M112" s="54">
        <v>0</v>
      </c>
      <c r="N112" s="54">
        <v>0</v>
      </c>
      <c r="O112" s="54">
        <v>0</v>
      </c>
      <c r="S112" s="54" t="b">
        <v>0</v>
      </c>
      <c r="T112" s="54">
        <v>2</v>
      </c>
      <c r="U112" s="55">
        <v>3</v>
      </c>
      <c r="V112" s="54">
        <v>2</v>
      </c>
      <c r="W112" s="54">
        <v>0</v>
      </c>
      <c r="X112" s="54">
        <v>500</v>
      </c>
      <c r="Y112" s="54">
        <v>200</v>
      </c>
      <c r="Z112" s="54">
        <v>10</v>
      </c>
      <c r="AA112" s="54">
        <v>50</v>
      </c>
      <c r="AB112" s="55">
        <v>200</v>
      </c>
      <c r="AD112" s="54">
        <v>80</v>
      </c>
      <c r="AF112" s="54">
        <v>2000</v>
      </c>
      <c r="AG112" s="54">
        <v>2</v>
      </c>
      <c r="AH112" s="54">
        <v>3</v>
      </c>
      <c r="AI112" s="54">
        <v>283</v>
      </c>
      <c r="AJ112" s="54">
        <v>262</v>
      </c>
      <c r="AK112" s="54">
        <v>171</v>
      </c>
      <c r="AM112" s="54" t="s">
        <v>2</v>
      </c>
      <c r="AN112" s="54">
        <v>200</v>
      </c>
      <c r="AO112" s="54">
        <v>200</v>
      </c>
      <c r="AW112" s="54" t="b">
        <v>0</v>
      </c>
      <c r="BD112" s="54" t="s">
        <v>370</v>
      </c>
      <c r="BF112" s="54">
        <v>1</v>
      </c>
      <c r="BG112" s="54">
        <v>1</v>
      </c>
      <c r="BH112" s="54">
        <v>1</v>
      </c>
      <c r="BI112" s="54">
        <v>0</v>
      </c>
      <c r="BJ112" s="54">
        <v>0</v>
      </c>
      <c r="BK112" s="54">
        <v>0</v>
      </c>
      <c r="BL112" s="54">
        <v>0</v>
      </c>
      <c r="BM112" s="36" t="s">
        <v>1</v>
      </c>
      <c r="BN112" s="60">
        <f t="shared" si="17"/>
        <v>60</v>
      </c>
      <c r="BO112" s="38">
        <f t="shared" si="18"/>
        <v>3</v>
      </c>
      <c r="BP112" s="37">
        <v>380</v>
      </c>
      <c r="BQ112" s="76">
        <v>0</v>
      </c>
      <c r="BR112" s="76">
        <v>0</v>
      </c>
      <c r="BS112" s="76">
        <f t="shared" si="21"/>
        <v>0</v>
      </c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3"/>
      <c r="CF112" s="47" t="s">
        <v>12</v>
      </c>
      <c r="CG112" s="54">
        <v>0</v>
      </c>
      <c r="CI112" s="54">
        <v>4.0599999999999996</v>
      </c>
      <c r="CR112" s="43">
        <v>0</v>
      </c>
      <c r="CS112" s="54">
        <v>0</v>
      </c>
      <c r="CT112" s="70">
        <v>0</v>
      </c>
      <c r="CU112" s="81">
        <v>1</v>
      </c>
      <c r="CV112" s="70">
        <v>0</v>
      </c>
      <c r="CW112" s="70">
        <v>0</v>
      </c>
      <c r="CX112" s="70">
        <v>0</v>
      </c>
      <c r="CY112" s="70">
        <v>0</v>
      </c>
      <c r="CZ112" s="70">
        <v>0</v>
      </c>
      <c r="DA112" s="70">
        <v>0</v>
      </c>
      <c r="DB112" s="70">
        <v>0</v>
      </c>
      <c r="DC112" s="54">
        <v>1</v>
      </c>
      <c r="DD112" s="54">
        <v>2</v>
      </c>
      <c r="DI112" s="43" t="s">
        <v>0</v>
      </c>
    </row>
    <row r="113" spans="1:113" s="54" customFormat="1" ht="15.75" thickBot="1" x14ac:dyDescent="0.3">
      <c r="A113" s="54">
        <v>522722</v>
      </c>
      <c r="B113" s="54" t="s">
        <v>6</v>
      </c>
      <c r="C113" s="56" t="s">
        <v>15</v>
      </c>
      <c r="D113" s="54">
        <v>60</v>
      </c>
      <c r="E113" s="54">
        <v>0</v>
      </c>
      <c r="F113" s="54">
        <v>60</v>
      </c>
      <c r="G113" s="54">
        <v>3194</v>
      </c>
      <c r="H113" s="54">
        <v>0</v>
      </c>
      <c r="I113" s="54">
        <v>225</v>
      </c>
      <c r="J113" s="57" t="s">
        <v>347</v>
      </c>
      <c r="K113" s="57" t="s">
        <v>348</v>
      </c>
      <c r="L113" s="58">
        <v>45958.459502314799</v>
      </c>
      <c r="M113" s="54">
        <v>0</v>
      </c>
      <c r="N113" s="54">
        <v>0</v>
      </c>
      <c r="O113" s="54">
        <v>0</v>
      </c>
      <c r="S113" s="54" t="b">
        <v>0</v>
      </c>
      <c r="T113" s="54">
        <v>2</v>
      </c>
      <c r="U113" s="55">
        <v>2.7999999523162802</v>
      </c>
      <c r="V113" s="54">
        <v>2</v>
      </c>
      <c r="W113" s="54">
        <v>0</v>
      </c>
      <c r="X113" s="54">
        <v>500</v>
      </c>
      <c r="Y113" s="54">
        <v>200</v>
      </c>
      <c r="Z113" s="54">
        <v>10</v>
      </c>
      <c r="AA113" s="54">
        <v>50</v>
      </c>
      <c r="AB113" s="55">
        <v>250</v>
      </c>
      <c r="AD113" s="54">
        <v>80</v>
      </c>
      <c r="AF113" s="54">
        <v>2000</v>
      </c>
      <c r="AG113" s="54">
        <v>2</v>
      </c>
      <c r="AH113" s="54">
        <v>2.7999999523162802</v>
      </c>
      <c r="AI113" s="54">
        <v>275</v>
      </c>
      <c r="AJ113" s="54">
        <v>262</v>
      </c>
      <c r="AK113" s="54">
        <v>195</v>
      </c>
      <c r="AM113" s="54" t="s">
        <v>2</v>
      </c>
      <c r="AN113" s="54">
        <v>200</v>
      </c>
      <c r="AO113" s="54">
        <v>250</v>
      </c>
      <c r="AW113" s="54" t="b">
        <v>0</v>
      </c>
      <c r="BD113" s="54" t="s">
        <v>370</v>
      </c>
      <c r="BF113" s="54">
        <v>1</v>
      </c>
      <c r="BG113" s="54">
        <v>1</v>
      </c>
      <c r="BH113" s="54">
        <v>1</v>
      </c>
      <c r="BI113" s="54">
        <v>0</v>
      </c>
      <c r="BJ113" s="54">
        <v>0</v>
      </c>
      <c r="BK113" s="54">
        <v>0</v>
      </c>
      <c r="BL113" s="54">
        <v>0</v>
      </c>
      <c r="BM113" s="36" t="s">
        <v>1</v>
      </c>
      <c r="BN113" s="60">
        <f t="shared" si="17"/>
        <v>60</v>
      </c>
      <c r="BO113" s="38">
        <f t="shared" si="18"/>
        <v>2.7999999523162802</v>
      </c>
      <c r="BP113" s="37">
        <v>380</v>
      </c>
      <c r="BQ113" s="76">
        <v>0</v>
      </c>
      <c r="BR113" s="76">
        <v>0</v>
      </c>
      <c r="BS113" s="76">
        <f t="shared" si="21"/>
        <v>0</v>
      </c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3"/>
      <c r="CF113" s="47" t="s">
        <v>12</v>
      </c>
      <c r="CG113" s="54">
        <v>0</v>
      </c>
      <c r="CI113" s="54">
        <v>4.0599999999999996</v>
      </c>
      <c r="CR113" s="43">
        <v>0</v>
      </c>
      <c r="CS113" s="54">
        <v>0</v>
      </c>
      <c r="CT113" s="70">
        <v>0</v>
      </c>
      <c r="CU113" s="81">
        <v>1</v>
      </c>
      <c r="CV113" s="70">
        <v>0</v>
      </c>
      <c r="CW113" s="70">
        <v>0</v>
      </c>
      <c r="CX113" s="70">
        <v>0</v>
      </c>
      <c r="CY113" s="70">
        <v>0</v>
      </c>
      <c r="CZ113" s="70">
        <v>0</v>
      </c>
      <c r="DA113" s="70">
        <v>0</v>
      </c>
      <c r="DB113" s="70">
        <v>0</v>
      </c>
      <c r="DC113" s="54">
        <v>1</v>
      </c>
      <c r="DD113" s="54">
        <v>2</v>
      </c>
      <c r="DI113" s="43" t="s">
        <v>0</v>
      </c>
    </row>
    <row r="114" spans="1:113" s="54" customFormat="1" ht="15.75" thickBot="1" x14ac:dyDescent="0.3">
      <c r="A114" s="54">
        <v>522723</v>
      </c>
      <c r="B114" s="54" t="s">
        <v>6</v>
      </c>
      <c r="C114" s="56" t="s">
        <v>15</v>
      </c>
      <c r="D114" s="54">
        <v>60</v>
      </c>
      <c r="E114" s="54">
        <v>0</v>
      </c>
      <c r="F114" s="54">
        <v>60</v>
      </c>
      <c r="G114" s="54">
        <v>3195</v>
      </c>
      <c r="H114" s="54">
        <v>0</v>
      </c>
      <c r="I114" s="54">
        <v>235</v>
      </c>
      <c r="J114" s="57" t="s">
        <v>349</v>
      </c>
      <c r="K114" s="57" t="s">
        <v>350</v>
      </c>
      <c r="L114" s="58">
        <v>45958.459756944401</v>
      </c>
      <c r="M114" s="54">
        <v>0</v>
      </c>
      <c r="N114" s="54">
        <v>0</v>
      </c>
      <c r="O114" s="54">
        <v>0</v>
      </c>
      <c r="S114" s="54" t="b">
        <v>0</v>
      </c>
      <c r="T114" s="54">
        <v>2</v>
      </c>
      <c r="U114" s="55">
        <v>2.5</v>
      </c>
      <c r="V114" s="54">
        <v>2</v>
      </c>
      <c r="W114" s="54">
        <v>0</v>
      </c>
      <c r="X114" s="54">
        <v>500</v>
      </c>
      <c r="Y114" s="54">
        <v>200</v>
      </c>
      <c r="Z114" s="54">
        <v>10</v>
      </c>
      <c r="AA114" s="54">
        <v>50</v>
      </c>
      <c r="AB114" s="55">
        <v>270</v>
      </c>
      <c r="AD114" s="54">
        <v>80</v>
      </c>
      <c r="AF114" s="54">
        <v>2000</v>
      </c>
      <c r="AG114" s="54">
        <v>2</v>
      </c>
      <c r="AH114" s="54">
        <v>2.5</v>
      </c>
      <c r="AI114" s="54">
        <v>271</v>
      </c>
      <c r="AJ114" s="54">
        <v>262</v>
      </c>
      <c r="AK114" s="54">
        <v>185</v>
      </c>
      <c r="AM114" s="54" t="s">
        <v>2</v>
      </c>
      <c r="AN114" s="54">
        <v>200</v>
      </c>
      <c r="AO114" s="54">
        <v>270</v>
      </c>
      <c r="AW114" s="54" t="b">
        <v>0</v>
      </c>
      <c r="BD114" s="54" t="s">
        <v>370</v>
      </c>
      <c r="BF114" s="54">
        <v>1</v>
      </c>
      <c r="BG114" s="54">
        <v>1</v>
      </c>
      <c r="BH114" s="54">
        <v>1</v>
      </c>
      <c r="BI114" s="54">
        <v>0</v>
      </c>
      <c r="BJ114" s="54">
        <v>0</v>
      </c>
      <c r="BK114" s="54">
        <v>0</v>
      </c>
      <c r="BL114" s="54">
        <v>0</v>
      </c>
      <c r="BM114" s="36" t="s">
        <v>1</v>
      </c>
      <c r="BN114" s="60">
        <f t="shared" si="17"/>
        <v>60</v>
      </c>
      <c r="BO114" s="38">
        <f t="shared" si="18"/>
        <v>2.5</v>
      </c>
      <c r="BP114" s="37">
        <v>380</v>
      </c>
      <c r="BQ114" s="76">
        <v>0</v>
      </c>
      <c r="BR114" s="76">
        <v>0</v>
      </c>
      <c r="BS114" s="76">
        <f t="shared" si="21"/>
        <v>0</v>
      </c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3"/>
      <c r="CF114" s="47" t="s">
        <v>12</v>
      </c>
      <c r="CG114" s="54">
        <v>0</v>
      </c>
      <c r="CI114" s="54">
        <v>4.0599999999999996</v>
      </c>
      <c r="CR114" s="43">
        <v>0</v>
      </c>
      <c r="CS114" s="54">
        <v>0</v>
      </c>
      <c r="CT114" s="70">
        <v>0</v>
      </c>
      <c r="CU114" s="81">
        <v>1</v>
      </c>
      <c r="CV114" s="70">
        <v>0</v>
      </c>
      <c r="CW114" s="70">
        <v>0</v>
      </c>
      <c r="CX114" s="70">
        <v>0</v>
      </c>
      <c r="CY114" s="70">
        <v>0</v>
      </c>
      <c r="CZ114" s="70">
        <v>0</v>
      </c>
      <c r="DA114" s="70">
        <v>0</v>
      </c>
      <c r="DB114" s="70">
        <v>0</v>
      </c>
      <c r="DC114" s="54">
        <v>1</v>
      </c>
      <c r="DD114" s="54">
        <v>2</v>
      </c>
      <c r="DI114" s="43" t="s">
        <v>0</v>
      </c>
    </row>
    <row r="115" spans="1:113" s="54" customFormat="1" ht="15.75" thickBot="1" x14ac:dyDescent="0.3">
      <c r="A115" s="54">
        <v>522724</v>
      </c>
      <c r="B115" s="54" t="s">
        <v>6</v>
      </c>
      <c r="C115" s="56" t="s">
        <v>15</v>
      </c>
      <c r="D115" s="54">
        <v>60</v>
      </c>
      <c r="E115" s="54">
        <v>0</v>
      </c>
      <c r="F115" s="54">
        <v>60</v>
      </c>
      <c r="G115" s="54">
        <v>3196</v>
      </c>
      <c r="H115" s="54">
        <v>0</v>
      </c>
      <c r="I115" s="54">
        <v>235</v>
      </c>
      <c r="J115" s="57" t="s">
        <v>351</v>
      </c>
      <c r="K115" s="57" t="s">
        <v>352</v>
      </c>
      <c r="L115" s="58">
        <v>45958.459884259297</v>
      </c>
      <c r="M115" s="54">
        <v>0</v>
      </c>
      <c r="N115" s="54">
        <v>0</v>
      </c>
      <c r="O115" s="54">
        <v>0</v>
      </c>
      <c r="S115" s="54" t="b">
        <v>0</v>
      </c>
      <c r="T115" s="54">
        <v>2</v>
      </c>
      <c r="U115" s="55">
        <v>2.4000000953674299</v>
      </c>
      <c r="V115" s="54">
        <v>2</v>
      </c>
      <c r="W115" s="54">
        <v>0</v>
      </c>
      <c r="X115" s="54">
        <v>500</v>
      </c>
      <c r="Y115" s="54">
        <v>200</v>
      </c>
      <c r="Z115" s="54">
        <v>10</v>
      </c>
      <c r="AA115" s="54">
        <v>50</v>
      </c>
      <c r="AB115" s="55">
        <v>270</v>
      </c>
      <c r="AD115" s="54">
        <v>80</v>
      </c>
      <c r="AF115" s="54">
        <v>2000</v>
      </c>
      <c r="AG115" s="54">
        <v>2</v>
      </c>
      <c r="AH115" s="54">
        <v>2.4000000953674299</v>
      </c>
      <c r="AI115" s="54">
        <v>271</v>
      </c>
      <c r="AJ115" s="54">
        <v>258</v>
      </c>
      <c r="AK115" s="54">
        <v>178</v>
      </c>
      <c r="AM115" s="54" t="s">
        <v>2</v>
      </c>
      <c r="AN115" s="54">
        <v>200</v>
      </c>
      <c r="AO115" s="54">
        <v>270</v>
      </c>
      <c r="AW115" s="54" t="b">
        <v>0</v>
      </c>
      <c r="BD115" s="54" t="s">
        <v>370</v>
      </c>
      <c r="BF115" s="54">
        <v>1</v>
      </c>
      <c r="BG115" s="54">
        <v>1</v>
      </c>
      <c r="BH115" s="54">
        <v>1</v>
      </c>
      <c r="BI115" s="54">
        <v>0</v>
      </c>
      <c r="BJ115" s="54">
        <v>0</v>
      </c>
      <c r="BK115" s="54">
        <v>0</v>
      </c>
      <c r="BL115" s="54">
        <v>0</v>
      </c>
      <c r="BM115" s="36" t="s">
        <v>1</v>
      </c>
      <c r="BN115" s="60">
        <f t="shared" si="17"/>
        <v>60</v>
      </c>
      <c r="BO115" s="38">
        <f t="shared" si="18"/>
        <v>2.4000000953674299</v>
      </c>
      <c r="BP115" s="37">
        <v>380</v>
      </c>
      <c r="BQ115" s="76">
        <v>0</v>
      </c>
      <c r="BR115" s="76">
        <v>0</v>
      </c>
      <c r="BS115" s="76">
        <f t="shared" ref="BS115" si="22">(BQ115+BR115)/2</f>
        <v>0</v>
      </c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3"/>
      <c r="CF115" s="47" t="s">
        <v>12</v>
      </c>
      <c r="CG115" s="54">
        <v>0</v>
      </c>
      <c r="CI115" s="54">
        <v>4.0599999999999996</v>
      </c>
      <c r="CR115" s="43">
        <v>0</v>
      </c>
      <c r="CS115" s="54">
        <v>0</v>
      </c>
      <c r="CT115" s="70">
        <v>0</v>
      </c>
      <c r="CU115" s="81">
        <v>1</v>
      </c>
      <c r="CV115" s="70">
        <v>0</v>
      </c>
      <c r="CW115" s="70">
        <v>0</v>
      </c>
      <c r="CX115" s="70">
        <v>0</v>
      </c>
      <c r="CY115" s="70">
        <v>0</v>
      </c>
      <c r="CZ115" s="70">
        <v>0</v>
      </c>
      <c r="DA115" s="70">
        <v>0</v>
      </c>
      <c r="DB115" s="70">
        <v>0</v>
      </c>
      <c r="DC115" s="54">
        <v>1</v>
      </c>
      <c r="DD115" s="54">
        <v>2</v>
      </c>
      <c r="DI115" s="43" t="s">
        <v>0</v>
      </c>
    </row>
    <row r="116" spans="1:113" s="54" customFormat="1" ht="15.75" thickBot="1" x14ac:dyDescent="0.3">
      <c r="A116" s="54">
        <v>522733</v>
      </c>
      <c r="B116" s="54" t="s">
        <v>6</v>
      </c>
      <c r="C116" s="56" t="s">
        <v>15</v>
      </c>
      <c r="D116" s="54">
        <v>60</v>
      </c>
      <c r="E116" s="54">
        <v>0</v>
      </c>
      <c r="F116" s="54">
        <v>60</v>
      </c>
      <c r="G116" s="54">
        <v>3205</v>
      </c>
      <c r="H116" s="54">
        <v>0</v>
      </c>
      <c r="I116" s="54">
        <v>150</v>
      </c>
      <c r="J116" s="57" t="s">
        <v>353</v>
      </c>
      <c r="K116" s="57" t="s">
        <v>354</v>
      </c>
      <c r="L116" s="58">
        <v>45958.476666666698</v>
      </c>
      <c r="M116" s="54">
        <v>0</v>
      </c>
      <c r="N116" s="54">
        <v>0</v>
      </c>
      <c r="O116" s="54">
        <v>0</v>
      </c>
      <c r="S116" s="54" t="b">
        <v>0</v>
      </c>
      <c r="T116" s="54">
        <v>2</v>
      </c>
      <c r="U116" s="55">
        <v>4</v>
      </c>
      <c r="V116" s="54">
        <v>2</v>
      </c>
      <c r="W116" s="54">
        <v>0</v>
      </c>
      <c r="X116" s="54">
        <v>500</v>
      </c>
      <c r="Y116" s="54">
        <v>200</v>
      </c>
      <c r="Z116" s="54">
        <v>10</v>
      </c>
      <c r="AA116" s="54">
        <v>50</v>
      </c>
      <c r="AB116" s="55">
        <v>100</v>
      </c>
      <c r="AD116" s="54">
        <v>80</v>
      </c>
      <c r="AF116" s="54">
        <v>2000</v>
      </c>
      <c r="AG116" s="54">
        <v>2</v>
      </c>
      <c r="AH116" s="54">
        <v>4</v>
      </c>
      <c r="AI116" s="54">
        <v>317</v>
      </c>
      <c r="AJ116" s="54">
        <v>271</v>
      </c>
      <c r="AK116" s="54">
        <v>123</v>
      </c>
      <c r="AM116" s="54" t="s">
        <v>2</v>
      </c>
      <c r="AN116" s="54">
        <v>200</v>
      </c>
      <c r="AO116" s="54">
        <v>100</v>
      </c>
      <c r="AW116" s="54" t="b">
        <v>0</v>
      </c>
      <c r="BD116" s="54" t="s">
        <v>370</v>
      </c>
      <c r="BF116" s="54">
        <v>1</v>
      </c>
      <c r="BG116" s="54">
        <v>1</v>
      </c>
      <c r="BH116" s="54">
        <v>1</v>
      </c>
      <c r="BI116" s="54">
        <v>0</v>
      </c>
      <c r="BJ116" s="54">
        <v>0</v>
      </c>
      <c r="BK116" s="54">
        <v>0</v>
      </c>
      <c r="BL116" s="54">
        <v>0</v>
      </c>
      <c r="BM116" s="36" t="s">
        <v>1</v>
      </c>
      <c r="BN116" s="60">
        <f t="shared" si="17"/>
        <v>60</v>
      </c>
      <c r="BO116" s="38">
        <f t="shared" si="18"/>
        <v>4</v>
      </c>
      <c r="BP116" s="37">
        <v>380</v>
      </c>
      <c r="BQ116" s="76">
        <v>0</v>
      </c>
      <c r="BR116" s="76">
        <v>0</v>
      </c>
      <c r="BS116" s="76">
        <f t="shared" ref="BS116" si="23">(BQ116+BR116)/2</f>
        <v>0</v>
      </c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3"/>
      <c r="CF116" s="47" t="s">
        <v>12</v>
      </c>
      <c r="CG116" s="54">
        <v>0</v>
      </c>
      <c r="CI116" s="54">
        <v>4.0599999999999996</v>
      </c>
      <c r="CR116" s="43">
        <v>0</v>
      </c>
      <c r="CS116" s="54">
        <v>0</v>
      </c>
      <c r="CT116" s="70">
        <v>0</v>
      </c>
      <c r="CU116" s="81">
        <v>1</v>
      </c>
      <c r="CV116" s="70">
        <v>0</v>
      </c>
      <c r="CW116" s="70">
        <v>0</v>
      </c>
      <c r="CX116" s="70">
        <v>0</v>
      </c>
      <c r="CY116" s="70">
        <v>0</v>
      </c>
      <c r="CZ116" s="70">
        <v>0</v>
      </c>
      <c r="DA116" s="70">
        <v>0</v>
      </c>
      <c r="DB116" s="70">
        <v>0</v>
      </c>
      <c r="DC116" s="54">
        <v>1</v>
      </c>
      <c r="DD116" s="54">
        <v>2</v>
      </c>
      <c r="DI116" s="43" t="s">
        <v>0</v>
      </c>
    </row>
    <row r="117" spans="1:113" s="54" customFormat="1" ht="15.75" thickBot="1" x14ac:dyDescent="0.3">
      <c r="A117" s="54">
        <v>522734</v>
      </c>
      <c r="B117" s="54" t="s">
        <v>6</v>
      </c>
      <c r="C117" s="56" t="s">
        <v>15</v>
      </c>
      <c r="D117" s="54">
        <v>60</v>
      </c>
      <c r="E117" s="54">
        <v>0</v>
      </c>
      <c r="F117" s="54">
        <v>60</v>
      </c>
      <c r="G117" s="54">
        <v>3206</v>
      </c>
      <c r="H117" s="54">
        <v>0</v>
      </c>
      <c r="I117" s="54">
        <v>140</v>
      </c>
      <c r="J117" s="57" t="s">
        <v>355</v>
      </c>
      <c r="K117" s="57" t="s">
        <v>356</v>
      </c>
      <c r="L117" s="58">
        <v>45958.478240740696</v>
      </c>
      <c r="M117" s="54">
        <v>0</v>
      </c>
      <c r="N117" s="54">
        <v>0</v>
      </c>
      <c r="O117" s="54">
        <v>0</v>
      </c>
      <c r="S117" s="54" t="b">
        <v>0</v>
      </c>
      <c r="T117" s="54">
        <v>2</v>
      </c>
      <c r="U117" s="55">
        <v>7</v>
      </c>
      <c r="V117" s="54">
        <v>2</v>
      </c>
      <c r="W117" s="54">
        <v>0</v>
      </c>
      <c r="X117" s="54">
        <v>500</v>
      </c>
      <c r="Y117" s="54">
        <v>200</v>
      </c>
      <c r="Z117" s="54">
        <v>10</v>
      </c>
      <c r="AA117" s="54">
        <v>50</v>
      </c>
      <c r="AB117" s="55">
        <v>80</v>
      </c>
      <c r="AD117" s="54">
        <v>80</v>
      </c>
      <c r="AF117" s="54">
        <v>2000</v>
      </c>
      <c r="AG117" s="54">
        <v>2</v>
      </c>
      <c r="AH117" s="54">
        <v>7.0300002098083496</v>
      </c>
      <c r="AI117" s="54">
        <v>423</v>
      </c>
      <c r="AJ117" s="54">
        <v>338</v>
      </c>
      <c r="AK117" s="54">
        <v>233</v>
      </c>
      <c r="AM117" s="54" t="s">
        <v>2</v>
      </c>
      <c r="AN117" s="54">
        <v>200</v>
      </c>
      <c r="AO117" s="54">
        <v>80</v>
      </c>
      <c r="AW117" s="54" t="b">
        <v>0</v>
      </c>
      <c r="BD117" s="54" t="s">
        <v>371</v>
      </c>
      <c r="BF117" s="54">
        <v>1</v>
      </c>
      <c r="BG117" s="54">
        <v>1</v>
      </c>
      <c r="BH117" s="54">
        <v>1</v>
      </c>
      <c r="BI117" s="54">
        <v>1</v>
      </c>
      <c r="BJ117" s="54">
        <v>0</v>
      </c>
      <c r="BK117" s="54">
        <v>0</v>
      </c>
      <c r="BL117" s="54">
        <v>0</v>
      </c>
      <c r="BM117" s="36" t="s">
        <v>1</v>
      </c>
      <c r="BN117" s="60">
        <f t="shared" si="17"/>
        <v>60</v>
      </c>
      <c r="BO117" s="38">
        <f t="shared" si="18"/>
        <v>7</v>
      </c>
      <c r="BP117" s="37">
        <v>380</v>
      </c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3"/>
      <c r="CF117" s="47" t="s">
        <v>16</v>
      </c>
      <c r="CI117" s="54">
        <v>4.0599999999999996</v>
      </c>
      <c r="CR117" s="43">
        <v>0</v>
      </c>
      <c r="CS117" s="54">
        <v>0</v>
      </c>
      <c r="CT117" s="70">
        <v>0</v>
      </c>
      <c r="CU117" s="54">
        <v>0</v>
      </c>
      <c r="CV117" s="70">
        <v>0</v>
      </c>
      <c r="CW117" s="70">
        <v>0</v>
      </c>
      <c r="CX117" s="70">
        <v>0</v>
      </c>
      <c r="CY117" s="70">
        <v>0</v>
      </c>
      <c r="CZ117" s="70">
        <v>0</v>
      </c>
      <c r="DA117" s="70">
        <v>0</v>
      </c>
      <c r="DB117" s="70">
        <v>0</v>
      </c>
      <c r="DD117" s="54">
        <v>0</v>
      </c>
      <c r="DI117" s="43" t="s">
        <v>0</v>
      </c>
    </row>
    <row r="118" spans="1:113" s="54" customFormat="1" ht="15.75" thickBot="1" x14ac:dyDescent="0.3">
      <c r="A118" s="54">
        <v>522735</v>
      </c>
      <c r="B118" s="54" t="s">
        <v>6</v>
      </c>
      <c r="C118" s="56" t="s">
        <v>15</v>
      </c>
      <c r="D118" s="54">
        <v>60</v>
      </c>
      <c r="E118" s="54">
        <v>0</v>
      </c>
      <c r="F118" s="54">
        <v>60</v>
      </c>
      <c r="G118" s="54">
        <v>3207</v>
      </c>
      <c r="H118" s="54">
        <v>0</v>
      </c>
      <c r="I118" s="54">
        <v>140</v>
      </c>
      <c r="J118" s="57" t="s">
        <v>357</v>
      </c>
      <c r="K118" s="57" t="s">
        <v>358</v>
      </c>
      <c r="L118" s="58">
        <v>45958.478344907402</v>
      </c>
      <c r="M118" s="54">
        <v>0</v>
      </c>
      <c r="N118" s="54">
        <v>0</v>
      </c>
      <c r="O118" s="54">
        <v>0</v>
      </c>
      <c r="S118" s="54" t="b">
        <v>0</v>
      </c>
      <c r="T118" s="54">
        <v>2</v>
      </c>
      <c r="U118" s="55">
        <v>6</v>
      </c>
      <c r="V118" s="54">
        <v>2</v>
      </c>
      <c r="W118" s="54">
        <v>0</v>
      </c>
      <c r="X118" s="54">
        <v>500</v>
      </c>
      <c r="Y118" s="54">
        <v>200</v>
      </c>
      <c r="Z118" s="54">
        <v>10</v>
      </c>
      <c r="AA118" s="54">
        <v>50</v>
      </c>
      <c r="AB118" s="55">
        <v>80</v>
      </c>
      <c r="AD118" s="54">
        <v>80</v>
      </c>
      <c r="AF118" s="54">
        <v>2000</v>
      </c>
      <c r="AG118" s="54">
        <v>2</v>
      </c>
      <c r="AH118" s="54">
        <v>6.0199999809265101</v>
      </c>
      <c r="AI118" s="54">
        <v>393</v>
      </c>
      <c r="AJ118" s="54">
        <v>317</v>
      </c>
      <c r="AK118" s="54">
        <v>184</v>
      </c>
      <c r="AM118" s="54" t="s">
        <v>2</v>
      </c>
      <c r="AN118" s="54">
        <v>200</v>
      </c>
      <c r="AO118" s="54">
        <v>80</v>
      </c>
      <c r="AW118" s="54" t="b">
        <v>0</v>
      </c>
      <c r="BD118" s="54" t="s">
        <v>371</v>
      </c>
      <c r="BF118" s="54">
        <v>1</v>
      </c>
      <c r="BG118" s="54">
        <v>1</v>
      </c>
      <c r="BH118" s="54">
        <v>1</v>
      </c>
      <c r="BI118" s="54">
        <v>1</v>
      </c>
      <c r="BJ118" s="54">
        <v>0</v>
      </c>
      <c r="BK118" s="54">
        <v>0</v>
      </c>
      <c r="BL118" s="54">
        <v>0</v>
      </c>
      <c r="BM118" s="36" t="s">
        <v>1</v>
      </c>
      <c r="BN118" s="60">
        <f t="shared" si="17"/>
        <v>60</v>
      </c>
      <c r="BO118" s="38">
        <f t="shared" si="18"/>
        <v>6</v>
      </c>
      <c r="BP118" s="37">
        <v>380</v>
      </c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3"/>
      <c r="CF118" s="47" t="s">
        <v>16</v>
      </c>
      <c r="CI118" s="54">
        <v>4.0599999999999996</v>
      </c>
      <c r="CR118" s="43">
        <v>0</v>
      </c>
      <c r="CS118" s="54">
        <v>0</v>
      </c>
      <c r="CT118" s="70">
        <v>0</v>
      </c>
      <c r="CU118" s="54">
        <v>0</v>
      </c>
      <c r="CV118" s="70">
        <v>0</v>
      </c>
      <c r="CW118" s="70">
        <v>0</v>
      </c>
      <c r="CX118" s="70">
        <v>0</v>
      </c>
      <c r="CY118" s="70">
        <v>0</v>
      </c>
      <c r="CZ118" s="70">
        <v>0</v>
      </c>
      <c r="DA118" s="70">
        <v>0</v>
      </c>
      <c r="DB118" s="70">
        <v>0</v>
      </c>
      <c r="DD118" s="54">
        <v>0</v>
      </c>
      <c r="DI118" s="43" t="s">
        <v>0</v>
      </c>
    </row>
    <row r="119" spans="1:113" s="54" customFormat="1" ht="15.75" thickBot="1" x14ac:dyDescent="0.3">
      <c r="A119" s="54">
        <v>522736</v>
      </c>
      <c r="B119" s="54" t="s">
        <v>6</v>
      </c>
      <c r="C119" s="56" t="s">
        <v>15</v>
      </c>
      <c r="D119" s="54">
        <v>60</v>
      </c>
      <c r="E119" s="54">
        <v>0</v>
      </c>
      <c r="F119" s="54">
        <v>60</v>
      </c>
      <c r="G119" s="54">
        <v>3208</v>
      </c>
      <c r="H119" s="54">
        <v>0</v>
      </c>
      <c r="I119" s="54">
        <v>145</v>
      </c>
      <c r="J119" s="57" t="s">
        <v>359</v>
      </c>
      <c r="K119" s="57" t="s">
        <v>360</v>
      </c>
      <c r="L119" s="58">
        <v>45958.4784953704</v>
      </c>
      <c r="M119" s="54">
        <v>0</v>
      </c>
      <c r="N119" s="54">
        <v>0</v>
      </c>
      <c r="O119" s="54">
        <v>0</v>
      </c>
      <c r="S119" s="54" t="b">
        <v>0</v>
      </c>
      <c r="T119" s="54">
        <v>2</v>
      </c>
      <c r="U119" s="55">
        <v>6.5</v>
      </c>
      <c r="V119" s="54">
        <v>2</v>
      </c>
      <c r="W119" s="54">
        <v>0</v>
      </c>
      <c r="X119" s="54">
        <v>500</v>
      </c>
      <c r="Y119" s="54">
        <v>200</v>
      </c>
      <c r="Z119" s="54">
        <v>10</v>
      </c>
      <c r="AA119" s="54">
        <v>50</v>
      </c>
      <c r="AB119" s="55">
        <v>90</v>
      </c>
      <c r="AD119" s="54">
        <v>80</v>
      </c>
      <c r="AF119" s="54">
        <v>2000</v>
      </c>
      <c r="AG119" s="54">
        <v>2</v>
      </c>
      <c r="AH119" s="54">
        <v>6.5100002288818404</v>
      </c>
      <c r="AI119" s="54">
        <v>389</v>
      </c>
      <c r="AJ119" s="54">
        <v>313</v>
      </c>
      <c r="AK119" s="54">
        <v>223</v>
      </c>
      <c r="AM119" s="54" t="s">
        <v>2</v>
      </c>
      <c r="AN119" s="54">
        <v>200</v>
      </c>
      <c r="AO119" s="54">
        <v>90</v>
      </c>
      <c r="AW119" s="54" t="b">
        <v>0</v>
      </c>
      <c r="BD119" s="54" t="s">
        <v>371</v>
      </c>
      <c r="BF119" s="54">
        <v>1</v>
      </c>
      <c r="BG119" s="54">
        <v>1</v>
      </c>
      <c r="BH119" s="54">
        <v>1</v>
      </c>
      <c r="BI119" s="54">
        <v>1</v>
      </c>
      <c r="BJ119" s="54">
        <v>0</v>
      </c>
      <c r="BK119" s="54">
        <v>0</v>
      </c>
      <c r="BL119" s="54">
        <v>0</v>
      </c>
      <c r="BM119" s="36" t="s">
        <v>1</v>
      </c>
      <c r="BN119" s="60">
        <f t="shared" si="17"/>
        <v>60</v>
      </c>
      <c r="BO119" s="38">
        <f t="shared" si="18"/>
        <v>6.5</v>
      </c>
      <c r="BP119" s="37">
        <v>380</v>
      </c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3"/>
      <c r="CF119" s="47" t="s">
        <v>16</v>
      </c>
      <c r="CI119" s="54">
        <v>4.0599999999999996</v>
      </c>
      <c r="CR119" s="43">
        <v>0</v>
      </c>
      <c r="CS119" s="54">
        <v>0</v>
      </c>
      <c r="CT119" s="70">
        <v>0</v>
      </c>
      <c r="CU119" s="54">
        <v>0</v>
      </c>
      <c r="CV119" s="70">
        <v>0</v>
      </c>
      <c r="CW119" s="70">
        <v>0</v>
      </c>
      <c r="CX119" s="70">
        <v>0</v>
      </c>
      <c r="CY119" s="70">
        <v>0</v>
      </c>
      <c r="CZ119" s="70">
        <v>0</v>
      </c>
      <c r="DA119" s="70">
        <v>0</v>
      </c>
      <c r="DB119" s="70">
        <v>0</v>
      </c>
      <c r="DD119" s="54">
        <v>0</v>
      </c>
      <c r="DI119" s="43" t="s">
        <v>0</v>
      </c>
    </row>
    <row r="120" spans="1:113" s="54" customFormat="1" ht="15.75" thickBot="1" x14ac:dyDescent="0.3">
      <c r="A120" s="54">
        <v>522738</v>
      </c>
      <c r="B120" s="54" t="s">
        <v>6</v>
      </c>
      <c r="C120" s="56" t="s">
        <v>15</v>
      </c>
      <c r="D120" s="54">
        <v>60</v>
      </c>
      <c r="E120" s="54">
        <v>0</v>
      </c>
      <c r="F120" s="54">
        <v>60</v>
      </c>
      <c r="G120" s="54">
        <v>3210</v>
      </c>
      <c r="H120" s="54">
        <v>0</v>
      </c>
      <c r="I120" s="54">
        <v>125</v>
      </c>
      <c r="J120" s="57" t="s">
        <v>361</v>
      </c>
      <c r="K120" s="57" t="s">
        <v>362</v>
      </c>
      <c r="L120" s="58">
        <v>45958.480844907397</v>
      </c>
      <c r="M120" s="54">
        <v>0</v>
      </c>
      <c r="N120" s="54">
        <v>0</v>
      </c>
      <c r="O120" s="54">
        <v>0</v>
      </c>
      <c r="S120" s="54" t="b">
        <v>0</v>
      </c>
      <c r="T120" s="54">
        <v>2</v>
      </c>
      <c r="U120" s="55">
        <v>4.3000001907348597</v>
      </c>
      <c r="V120" s="54">
        <v>2</v>
      </c>
      <c r="W120" s="54">
        <v>0</v>
      </c>
      <c r="X120" s="54">
        <v>500</v>
      </c>
      <c r="Y120" s="54">
        <v>200</v>
      </c>
      <c r="Z120" s="54">
        <v>10</v>
      </c>
      <c r="AA120" s="54">
        <v>50</v>
      </c>
      <c r="AB120" s="55">
        <v>50</v>
      </c>
      <c r="AD120" s="54">
        <v>80</v>
      </c>
      <c r="AF120" s="54">
        <v>2000</v>
      </c>
      <c r="AG120" s="54">
        <v>2</v>
      </c>
      <c r="AH120" s="54">
        <v>4.3099999427795401</v>
      </c>
      <c r="AI120" s="54">
        <v>377</v>
      </c>
      <c r="AJ120" s="54">
        <v>305</v>
      </c>
      <c r="AK120" s="54">
        <v>73</v>
      </c>
      <c r="AM120" s="54" t="s">
        <v>2</v>
      </c>
      <c r="AN120" s="54">
        <v>200</v>
      </c>
      <c r="AO120" s="54">
        <v>50</v>
      </c>
      <c r="AW120" s="54" t="b">
        <v>0</v>
      </c>
      <c r="BD120" s="54" t="s">
        <v>372</v>
      </c>
      <c r="BF120" s="54">
        <v>0.8</v>
      </c>
      <c r="BG120" s="54">
        <v>1.2</v>
      </c>
      <c r="BH120" s="54">
        <v>1</v>
      </c>
      <c r="BI120" s="54">
        <v>0</v>
      </c>
      <c r="BJ120" s="54">
        <v>0</v>
      </c>
      <c r="BK120" s="54">
        <v>0</v>
      </c>
      <c r="BL120" s="54">
        <v>0</v>
      </c>
      <c r="BM120" s="36" t="s">
        <v>1</v>
      </c>
      <c r="BN120" s="60">
        <f t="shared" si="17"/>
        <v>60</v>
      </c>
      <c r="BO120" s="38">
        <f t="shared" si="18"/>
        <v>4.3000001907348597</v>
      </c>
      <c r="BP120" s="37">
        <v>380</v>
      </c>
      <c r="BQ120" s="76">
        <v>0</v>
      </c>
      <c r="BR120" s="76">
        <v>0</v>
      </c>
      <c r="BS120" s="76">
        <f t="shared" ref="BS120:BS124" si="24">(BQ120+BR120)/2</f>
        <v>0</v>
      </c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3"/>
      <c r="CF120" s="47" t="s">
        <v>12</v>
      </c>
      <c r="CG120" s="54">
        <v>0</v>
      </c>
      <c r="CI120" s="54">
        <v>3.56</v>
      </c>
      <c r="CR120" s="43">
        <v>0</v>
      </c>
      <c r="CS120" s="54">
        <v>0</v>
      </c>
      <c r="CT120" s="70">
        <v>0</v>
      </c>
      <c r="CU120" s="81">
        <v>1</v>
      </c>
      <c r="CV120" s="70">
        <v>0</v>
      </c>
      <c r="CW120" s="70">
        <v>0</v>
      </c>
      <c r="CX120" s="70">
        <v>0</v>
      </c>
      <c r="CY120" s="70">
        <v>0</v>
      </c>
      <c r="CZ120" s="70">
        <v>0</v>
      </c>
      <c r="DA120" s="70">
        <v>0</v>
      </c>
      <c r="DB120" s="70">
        <v>0</v>
      </c>
      <c r="DD120" s="54">
        <v>2</v>
      </c>
      <c r="DI120" s="43" t="s">
        <v>0</v>
      </c>
    </row>
    <row r="121" spans="1:113" s="54" customFormat="1" ht="15.75" thickBot="1" x14ac:dyDescent="0.3">
      <c r="A121" s="54">
        <v>522739</v>
      </c>
      <c r="B121" s="54" t="s">
        <v>6</v>
      </c>
      <c r="C121" s="56" t="s">
        <v>15</v>
      </c>
      <c r="D121" s="54">
        <v>60</v>
      </c>
      <c r="E121" s="54">
        <v>0</v>
      </c>
      <c r="F121" s="54">
        <v>60</v>
      </c>
      <c r="G121" s="54">
        <v>3211</v>
      </c>
      <c r="H121" s="54">
        <v>0</v>
      </c>
      <c r="I121" s="54">
        <v>140</v>
      </c>
      <c r="J121" s="57" t="s">
        <v>363</v>
      </c>
      <c r="K121" s="57" t="s">
        <v>364</v>
      </c>
      <c r="L121" s="58">
        <v>45958.481076388904</v>
      </c>
      <c r="M121" s="54">
        <v>0</v>
      </c>
      <c r="N121" s="54">
        <v>0</v>
      </c>
      <c r="O121" s="54">
        <v>0</v>
      </c>
      <c r="S121" s="54" t="b">
        <v>0</v>
      </c>
      <c r="T121" s="54">
        <v>2</v>
      </c>
      <c r="U121" s="55">
        <v>3</v>
      </c>
      <c r="V121" s="54">
        <v>2</v>
      </c>
      <c r="W121" s="54">
        <v>0</v>
      </c>
      <c r="X121" s="54">
        <v>500</v>
      </c>
      <c r="Y121" s="54">
        <v>200</v>
      </c>
      <c r="Z121" s="54">
        <v>10</v>
      </c>
      <c r="AA121" s="54">
        <v>50</v>
      </c>
      <c r="AB121" s="55">
        <v>80</v>
      </c>
      <c r="AD121" s="54">
        <v>80</v>
      </c>
      <c r="AF121" s="54">
        <v>2000</v>
      </c>
      <c r="AG121" s="54">
        <v>2</v>
      </c>
      <c r="AH121" s="54">
        <v>3</v>
      </c>
      <c r="AI121" s="54">
        <v>347</v>
      </c>
      <c r="AJ121" s="54">
        <v>317</v>
      </c>
      <c r="AK121" s="54">
        <v>79</v>
      </c>
      <c r="AM121" s="54" t="s">
        <v>2</v>
      </c>
      <c r="AN121" s="54">
        <v>200</v>
      </c>
      <c r="AO121" s="54">
        <v>80</v>
      </c>
      <c r="AW121" s="54" t="b">
        <v>0</v>
      </c>
      <c r="BD121" s="54" t="s">
        <v>372</v>
      </c>
      <c r="BF121" s="54">
        <v>0.8</v>
      </c>
      <c r="BG121" s="54">
        <v>1.2</v>
      </c>
      <c r="BH121" s="54">
        <v>1</v>
      </c>
      <c r="BI121" s="54">
        <v>0</v>
      </c>
      <c r="BJ121" s="54">
        <v>0</v>
      </c>
      <c r="BK121" s="54">
        <v>0</v>
      </c>
      <c r="BL121" s="54">
        <v>0</v>
      </c>
      <c r="BM121" s="36" t="s">
        <v>1</v>
      </c>
      <c r="BN121" s="60">
        <f t="shared" si="17"/>
        <v>60</v>
      </c>
      <c r="BO121" s="38">
        <f t="shared" si="18"/>
        <v>3</v>
      </c>
      <c r="BP121" s="37">
        <v>380</v>
      </c>
      <c r="BQ121" s="76">
        <v>0</v>
      </c>
      <c r="BR121" s="76">
        <v>0</v>
      </c>
      <c r="BS121" s="76">
        <f t="shared" si="24"/>
        <v>0</v>
      </c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3"/>
      <c r="CF121" s="47" t="s">
        <v>12</v>
      </c>
      <c r="CG121" s="54">
        <v>0</v>
      </c>
      <c r="CI121" s="54">
        <v>2.56</v>
      </c>
      <c r="CR121" s="43">
        <v>0</v>
      </c>
      <c r="CS121" s="54">
        <v>0</v>
      </c>
      <c r="CT121" s="70">
        <v>0</v>
      </c>
      <c r="CU121" s="81">
        <v>1</v>
      </c>
      <c r="CV121" s="70">
        <v>0</v>
      </c>
      <c r="CW121" s="70">
        <v>0</v>
      </c>
      <c r="CX121" s="70">
        <v>0</v>
      </c>
      <c r="CY121" s="70">
        <v>0</v>
      </c>
      <c r="CZ121" s="70">
        <v>0</v>
      </c>
      <c r="DA121" s="70">
        <v>0</v>
      </c>
      <c r="DB121" s="70">
        <v>0</v>
      </c>
      <c r="DD121" s="54">
        <v>2</v>
      </c>
      <c r="DI121" s="43" t="s">
        <v>0</v>
      </c>
    </row>
    <row r="122" spans="1:113" s="54" customFormat="1" ht="15.75" thickBot="1" x14ac:dyDescent="0.3">
      <c r="A122" s="54">
        <v>522740</v>
      </c>
      <c r="B122" s="54" t="s">
        <v>6</v>
      </c>
      <c r="C122" s="56" t="s">
        <v>15</v>
      </c>
      <c r="D122" s="54">
        <v>60</v>
      </c>
      <c r="E122" s="54">
        <v>0</v>
      </c>
      <c r="F122" s="54">
        <v>60</v>
      </c>
      <c r="G122" s="54">
        <v>3212</v>
      </c>
      <c r="H122" s="54">
        <v>0</v>
      </c>
      <c r="I122" s="54">
        <v>140</v>
      </c>
      <c r="J122" s="57" t="s">
        <v>365</v>
      </c>
      <c r="K122" s="57" t="s">
        <v>366</v>
      </c>
      <c r="L122" s="58">
        <v>45958.481261574103</v>
      </c>
      <c r="M122" s="54">
        <v>0</v>
      </c>
      <c r="N122" s="54">
        <v>0</v>
      </c>
      <c r="O122" s="54">
        <v>0</v>
      </c>
      <c r="S122" s="54" t="b">
        <v>0</v>
      </c>
      <c r="T122" s="54">
        <v>2</v>
      </c>
      <c r="U122" s="55">
        <v>3.5</v>
      </c>
      <c r="V122" s="54">
        <v>2</v>
      </c>
      <c r="W122" s="54">
        <v>0</v>
      </c>
      <c r="X122" s="54">
        <v>500</v>
      </c>
      <c r="Y122" s="54">
        <v>200</v>
      </c>
      <c r="Z122" s="54">
        <v>10</v>
      </c>
      <c r="AA122" s="54">
        <v>50</v>
      </c>
      <c r="AB122" s="55">
        <v>80</v>
      </c>
      <c r="AD122" s="54">
        <v>80</v>
      </c>
      <c r="AF122" s="54">
        <v>2000</v>
      </c>
      <c r="AG122" s="54">
        <v>2</v>
      </c>
      <c r="AH122" s="54">
        <v>3.5</v>
      </c>
      <c r="AI122" s="54">
        <v>377</v>
      </c>
      <c r="AJ122" s="54">
        <v>334</v>
      </c>
      <c r="AK122" s="54">
        <v>99</v>
      </c>
      <c r="AM122" s="54" t="s">
        <v>2</v>
      </c>
      <c r="AN122" s="54">
        <v>200</v>
      </c>
      <c r="AO122" s="54">
        <v>80</v>
      </c>
      <c r="AW122" s="54" t="b">
        <v>0</v>
      </c>
      <c r="BD122" s="54" t="s">
        <v>372</v>
      </c>
      <c r="BF122" s="54">
        <v>0.8</v>
      </c>
      <c r="BG122" s="54">
        <v>1.2</v>
      </c>
      <c r="BH122" s="54">
        <v>1</v>
      </c>
      <c r="BI122" s="54">
        <v>0</v>
      </c>
      <c r="BJ122" s="54">
        <v>0</v>
      </c>
      <c r="BK122" s="54">
        <v>0</v>
      </c>
      <c r="BL122" s="54">
        <v>0</v>
      </c>
      <c r="BM122" s="36" t="s">
        <v>1</v>
      </c>
      <c r="BN122" s="60">
        <f t="shared" si="17"/>
        <v>60</v>
      </c>
      <c r="BO122" s="38">
        <f t="shared" si="18"/>
        <v>3.5</v>
      </c>
      <c r="BP122" s="37">
        <v>380</v>
      </c>
      <c r="BQ122" s="76">
        <v>0</v>
      </c>
      <c r="BR122" s="76">
        <v>0</v>
      </c>
      <c r="BS122" s="76">
        <f t="shared" si="24"/>
        <v>0</v>
      </c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3"/>
      <c r="CF122" s="47" t="s">
        <v>12</v>
      </c>
      <c r="CG122" s="54">
        <v>0</v>
      </c>
      <c r="CI122" s="54">
        <v>2.56</v>
      </c>
      <c r="CR122" s="43">
        <v>0</v>
      </c>
      <c r="CS122" s="54">
        <v>0</v>
      </c>
      <c r="CT122" s="70">
        <v>0</v>
      </c>
      <c r="CU122" s="81">
        <v>1</v>
      </c>
      <c r="CV122" s="70">
        <v>0</v>
      </c>
      <c r="CW122" s="70">
        <v>0</v>
      </c>
      <c r="CX122" s="70">
        <v>0</v>
      </c>
      <c r="CY122" s="70">
        <v>0</v>
      </c>
      <c r="CZ122" s="70">
        <v>0</v>
      </c>
      <c r="DA122" s="70">
        <v>0</v>
      </c>
      <c r="DB122" s="70">
        <v>0</v>
      </c>
      <c r="DD122" s="54">
        <v>2</v>
      </c>
      <c r="DI122" s="43" t="s">
        <v>0</v>
      </c>
    </row>
    <row r="123" spans="1:113" s="54" customFormat="1" ht="15.75" thickBot="1" x14ac:dyDescent="0.3">
      <c r="A123" s="54">
        <v>522741</v>
      </c>
      <c r="B123" s="54" t="s">
        <v>6</v>
      </c>
      <c r="C123" s="56" t="s">
        <v>15</v>
      </c>
      <c r="D123" s="54">
        <v>60</v>
      </c>
      <c r="E123" s="54">
        <v>0</v>
      </c>
      <c r="F123" s="54">
        <v>60</v>
      </c>
      <c r="G123" s="54">
        <v>3213</v>
      </c>
      <c r="H123" s="54">
        <v>0</v>
      </c>
      <c r="I123" s="54">
        <v>150</v>
      </c>
      <c r="J123" s="57" t="s">
        <v>367</v>
      </c>
      <c r="K123" s="57" t="s">
        <v>368</v>
      </c>
      <c r="L123" s="58">
        <v>45958.481446759302</v>
      </c>
      <c r="M123" s="54">
        <v>0</v>
      </c>
      <c r="N123" s="54">
        <v>0</v>
      </c>
      <c r="O123" s="54">
        <v>0</v>
      </c>
      <c r="S123" s="54" t="b">
        <v>0</v>
      </c>
      <c r="T123" s="54">
        <v>2</v>
      </c>
      <c r="U123" s="55">
        <v>3.2000000476837198</v>
      </c>
      <c r="V123" s="54">
        <v>2</v>
      </c>
      <c r="W123" s="54">
        <v>0</v>
      </c>
      <c r="X123" s="54">
        <v>500</v>
      </c>
      <c r="Y123" s="54">
        <v>200</v>
      </c>
      <c r="Z123" s="54">
        <v>10</v>
      </c>
      <c r="AA123" s="54">
        <v>50</v>
      </c>
      <c r="AB123" s="55">
        <v>100</v>
      </c>
      <c r="AD123" s="54">
        <v>80</v>
      </c>
      <c r="AF123" s="54">
        <v>2000</v>
      </c>
      <c r="AG123" s="54">
        <v>2</v>
      </c>
      <c r="AH123" s="54">
        <v>3.2000000476837198</v>
      </c>
      <c r="AI123" s="54">
        <v>377</v>
      </c>
      <c r="AJ123" s="54">
        <v>343</v>
      </c>
      <c r="AK123" s="54">
        <v>116</v>
      </c>
      <c r="AM123" s="54" t="s">
        <v>2</v>
      </c>
      <c r="AN123" s="54">
        <v>200</v>
      </c>
      <c r="AO123" s="54">
        <v>100</v>
      </c>
      <c r="AW123" s="54" t="b">
        <v>0</v>
      </c>
      <c r="BD123" s="54" t="s">
        <v>372</v>
      </c>
      <c r="BF123" s="54">
        <v>0.8</v>
      </c>
      <c r="BG123" s="54">
        <v>1.2</v>
      </c>
      <c r="BH123" s="54">
        <v>1</v>
      </c>
      <c r="BI123" s="54">
        <v>0</v>
      </c>
      <c r="BJ123" s="54">
        <v>0</v>
      </c>
      <c r="BK123" s="54">
        <v>0</v>
      </c>
      <c r="BL123" s="54">
        <v>0</v>
      </c>
      <c r="BM123" s="36" t="s">
        <v>1</v>
      </c>
      <c r="BN123" s="60">
        <f t="shared" si="17"/>
        <v>60</v>
      </c>
      <c r="BO123" s="38">
        <f t="shared" si="18"/>
        <v>3.2000000476837198</v>
      </c>
      <c r="BP123" s="37">
        <v>380</v>
      </c>
      <c r="BQ123" s="76">
        <v>0</v>
      </c>
      <c r="BR123" s="76">
        <v>0</v>
      </c>
      <c r="BS123" s="76">
        <f t="shared" si="24"/>
        <v>0</v>
      </c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3"/>
      <c r="CF123" s="47" t="s">
        <v>12</v>
      </c>
      <c r="CG123" s="54">
        <v>0</v>
      </c>
      <c r="CI123" s="54">
        <v>3.56</v>
      </c>
      <c r="CR123" s="43">
        <v>0</v>
      </c>
      <c r="CS123" s="54">
        <v>0</v>
      </c>
      <c r="CT123" s="70">
        <v>0</v>
      </c>
      <c r="CU123" s="81">
        <v>1</v>
      </c>
      <c r="CV123" s="70">
        <v>0</v>
      </c>
      <c r="CW123" s="70">
        <v>0</v>
      </c>
      <c r="CX123" s="70">
        <v>0</v>
      </c>
      <c r="CY123" s="70">
        <v>0</v>
      </c>
      <c r="CZ123" s="70">
        <v>0</v>
      </c>
      <c r="DA123" s="70">
        <v>0</v>
      </c>
      <c r="DB123" s="70">
        <v>0</v>
      </c>
      <c r="DD123" s="54">
        <v>2</v>
      </c>
      <c r="DI123" s="43" t="s">
        <v>0</v>
      </c>
    </row>
    <row r="124" spans="1:113" s="43" customFormat="1" ht="15.75" thickBot="1" x14ac:dyDescent="0.3">
      <c r="A124" s="43">
        <v>527514</v>
      </c>
      <c r="B124" s="43" t="s">
        <v>6</v>
      </c>
      <c r="C124" s="56" t="s">
        <v>15</v>
      </c>
      <c r="D124" s="43">
        <v>60</v>
      </c>
      <c r="E124" s="43">
        <v>0</v>
      </c>
      <c r="F124" s="43">
        <v>60</v>
      </c>
      <c r="G124" s="43">
        <v>602</v>
      </c>
      <c r="H124" s="43">
        <v>0</v>
      </c>
      <c r="I124" s="43">
        <v>137</v>
      </c>
      <c r="J124" s="57" t="s">
        <v>373</v>
      </c>
      <c r="K124" s="57" t="s">
        <v>374</v>
      </c>
      <c r="L124" s="58">
        <v>45965.4473842593</v>
      </c>
      <c r="M124" s="43">
        <v>0</v>
      </c>
      <c r="N124" s="43">
        <v>0</v>
      </c>
      <c r="O124" s="43">
        <v>0</v>
      </c>
      <c r="S124" s="43" t="b">
        <v>0</v>
      </c>
      <c r="T124" s="43">
        <v>2</v>
      </c>
      <c r="U124" s="55">
        <v>7</v>
      </c>
      <c r="V124" s="43">
        <v>2</v>
      </c>
      <c r="W124" s="43">
        <v>0</v>
      </c>
      <c r="X124" s="43">
        <v>500</v>
      </c>
      <c r="Y124" s="43">
        <v>200</v>
      </c>
      <c r="Z124" s="43">
        <v>10</v>
      </c>
      <c r="AA124" s="43">
        <v>50</v>
      </c>
      <c r="AB124" s="55">
        <v>75</v>
      </c>
      <c r="AD124" s="43">
        <v>80</v>
      </c>
      <c r="AF124" s="43">
        <v>2000</v>
      </c>
      <c r="AG124" s="43">
        <v>2</v>
      </c>
      <c r="AH124" s="43">
        <v>7.0199999809265101</v>
      </c>
      <c r="AI124" s="43">
        <v>389</v>
      </c>
      <c r="AJ124" s="43">
        <v>372</v>
      </c>
      <c r="AK124" s="43">
        <v>198</v>
      </c>
      <c r="AM124" s="43" t="s">
        <v>2</v>
      </c>
      <c r="AN124" s="43">
        <v>200</v>
      </c>
      <c r="AO124" s="43">
        <v>74</v>
      </c>
      <c r="AW124" s="43" t="b">
        <v>0</v>
      </c>
      <c r="BD124" s="43" t="s">
        <v>395</v>
      </c>
      <c r="BF124" s="43">
        <v>1.6</v>
      </c>
      <c r="BG124" s="43">
        <v>2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36" t="s">
        <v>1</v>
      </c>
      <c r="BN124" s="60">
        <f t="shared" si="17"/>
        <v>60</v>
      </c>
      <c r="BO124" s="38">
        <f t="shared" si="18"/>
        <v>7</v>
      </c>
      <c r="BP124" s="96">
        <v>350</v>
      </c>
      <c r="BQ124" s="43">
        <v>7.3689999999999998</v>
      </c>
      <c r="BR124" s="43">
        <v>7.4279999999999999</v>
      </c>
      <c r="BS124" s="43">
        <f t="shared" si="24"/>
        <v>7.3985000000000003</v>
      </c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3"/>
      <c r="CF124" s="47" t="s">
        <v>16</v>
      </c>
      <c r="CG124" s="43">
        <v>7.4</v>
      </c>
      <c r="CI124" s="43">
        <v>5.08</v>
      </c>
      <c r="CR124" s="43">
        <v>0</v>
      </c>
      <c r="CS124" s="43">
        <v>0</v>
      </c>
      <c r="CT124" s="70">
        <v>0</v>
      </c>
      <c r="CU124" s="43">
        <v>0</v>
      </c>
      <c r="CV124" s="70">
        <v>0</v>
      </c>
      <c r="CW124" s="70">
        <v>0</v>
      </c>
      <c r="CX124" s="70">
        <v>0</v>
      </c>
      <c r="CY124" s="70">
        <v>0</v>
      </c>
      <c r="CZ124" s="70">
        <v>0</v>
      </c>
      <c r="DA124" s="70">
        <v>0</v>
      </c>
      <c r="DB124" s="70">
        <v>0</v>
      </c>
      <c r="DD124" s="43">
        <v>0</v>
      </c>
      <c r="DI124" s="43" t="s">
        <v>0</v>
      </c>
    </row>
    <row r="125" spans="1:113" s="43" customFormat="1" ht="15.75" thickBot="1" x14ac:dyDescent="0.3">
      <c r="A125" s="43">
        <v>527515</v>
      </c>
      <c r="B125" s="43" t="s">
        <v>6</v>
      </c>
      <c r="C125" s="56" t="s">
        <v>15</v>
      </c>
      <c r="D125" s="43">
        <v>60</v>
      </c>
      <c r="E125" s="43">
        <v>0</v>
      </c>
      <c r="F125" s="43">
        <v>60</v>
      </c>
      <c r="G125" s="43">
        <v>603</v>
      </c>
      <c r="H125" s="43">
        <v>0</v>
      </c>
      <c r="I125" s="43">
        <v>37</v>
      </c>
      <c r="J125" s="57" t="s">
        <v>375</v>
      </c>
      <c r="K125" s="57" t="s">
        <v>376</v>
      </c>
      <c r="L125" s="58">
        <v>45965.448634259301</v>
      </c>
      <c r="M125" s="43">
        <v>0</v>
      </c>
      <c r="N125" s="43">
        <v>0</v>
      </c>
      <c r="O125" s="43">
        <v>0</v>
      </c>
      <c r="S125" s="43" t="b">
        <v>0</v>
      </c>
      <c r="T125" s="43">
        <v>2</v>
      </c>
      <c r="U125" s="55">
        <v>6.5</v>
      </c>
      <c r="V125" s="43">
        <v>2</v>
      </c>
      <c r="W125" s="43">
        <v>0</v>
      </c>
      <c r="X125" s="43">
        <v>500</v>
      </c>
      <c r="Z125" s="43">
        <v>10</v>
      </c>
      <c r="AB125" s="55">
        <v>75</v>
      </c>
      <c r="AD125" s="43">
        <v>80</v>
      </c>
      <c r="AF125" s="43">
        <v>2000</v>
      </c>
      <c r="AG125" s="43">
        <v>2</v>
      </c>
      <c r="AH125" s="43">
        <v>6.5599999427795401</v>
      </c>
      <c r="AI125" s="43">
        <v>571</v>
      </c>
      <c r="AJ125" s="43">
        <v>0</v>
      </c>
      <c r="AK125" s="43">
        <v>267</v>
      </c>
      <c r="AM125" s="43" t="s">
        <v>2</v>
      </c>
      <c r="AO125" s="43">
        <v>74</v>
      </c>
      <c r="AW125" s="43" t="b">
        <v>0</v>
      </c>
      <c r="BD125" s="43" t="s">
        <v>395</v>
      </c>
      <c r="BF125" s="43">
        <v>1.6</v>
      </c>
      <c r="BG125" s="43">
        <v>2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36" t="s">
        <v>1</v>
      </c>
      <c r="BN125" s="60">
        <f t="shared" si="17"/>
        <v>60</v>
      </c>
      <c r="BO125" s="38">
        <f t="shared" si="18"/>
        <v>6.5</v>
      </c>
      <c r="BP125" s="96">
        <v>350</v>
      </c>
      <c r="BQ125" s="76">
        <v>0</v>
      </c>
      <c r="BR125" s="76">
        <v>0</v>
      </c>
      <c r="BS125" s="76">
        <f t="shared" ref="BS125:BS135" si="25">(BQ125+BR125)/2</f>
        <v>0</v>
      </c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3"/>
      <c r="CF125" s="47" t="s">
        <v>12</v>
      </c>
      <c r="CG125" s="43">
        <v>0</v>
      </c>
      <c r="CI125" s="43">
        <v>5.08</v>
      </c>
      <c r="CR125" s="43">
        <v>0</v>
      </c>
      <c r="CS125" s="43">
        <v>0</v>
      </c>
      <c r="CT125" s="70">
        <v>0</v>
      </c>
      <c r="CU125" s="81">
        <v>1</v>
      </c>
      <c r="CV125" s="70">
        <v>0</v>
      </c>
      <c r="CW125" s="70">
        <v>0</v>
      </c>
      <c r="CX125" s="70">
        <v>0</v>
      </c>
      <c r="CY125" s="70">
        <v>0</v>
      </c>
      <c r="CZ125" s="70">
        <v>0</v>
      </c>
      <c r="DA125" s="70">
        <v>0</v>
      </c>
      <c r="DB125" s="70">
        <v>0</v>
      </c>
      <c r="DD125" s="43">
        <v>2</v>
      </c>
      <c r="DI125" s="43" t="s">
        <v>0</v>
      </c>
    </row>
    <row r="126" spans="1:113" s="43" customFormat="1" ht="15.75" thickBot="1" x14ac:dyDescent="0.3">
      <c r="A126" s="43">
        <v>527516</v>
      </c>
      <c r="B126" s="43" t="s">
        <v>6</v>
      </c>
      <c r="C126" s="56" t="s">
        <v>15</v>
      </c>
      <c r="D126" s="43">
        <v>60</v>
      </c>
      <c r="E126" s="43">
        <v>0</v>
      </c>
      <c r="F126" s="43">
        <v>60</v>
      </c>
      <c r="G126" s="43">
        <v>604</v>
      </c>
      <c r="H126" s="43">
        <v>0</v>
      </c>
      <c r="I126" s="43">
        <v>30</v>
      </c>
      <c r="J126" s="57" t="s">
        <v>377</v>
      </c>
      <c r="K126" s="57" t="s">
        <v>378</v>
      </c>
      <c r="L126" s="58">
        <v>45965.448831018497</v>
      </c>
      <c r="M126" s="43">
        <v>0</v>
      </c>
      <c r="N126" s="43">
        <v>0</v>
      </c>
      <c r="O126" s="43">
        <v>0</v>
      </c>
      <c r="S126" s="43" t="b">
        <v>0</v>
      </c>
      <c r="T126" s="43">
        <v>2</v>
      </c>
      <c r="U126" s="55">
        <v>8.5</v>
      </c>
      <c r="V126" s="43">
        <v>2</v>
      </c>
      <c r="W126" s="43">
        <v>0</v>
      </c>
      <c r="X126" s="43">
        <v>500</v>
      </c>
      <c r="Z126" s="43">
        <v>10</v>
      </c>
      <c r="AB126" s="55">
        <v>60</v>
      </c>
      <c r="AD126" s="43">
        <v>80</v>
      </c>
      <c r="AF126" s="43">
        <v>2000</v>
      </c>
      <c r="AG126" s="43">
        <v>2</v>
      </c>
      <c r="AH126" s="43">
        <v>8.6000003814697301</v>
      </c>
      <c r="AI126" s="43">
        <v>618</v>
      </c>
      <c r="AJ126" s="43">
        <v>0</v>
      </c>
      <c r="AK126" s="43">
        <v>298</v>
      </c>
      <c r="AM126" s="43" t="s">
        <v>2</v>
      </c>
      <c r="AO126" s="43">
        <v>60</v>
      </c>
      <c r="AW126" s="43" t="b">
        <v>0</v>
      </c>
      <c r="BD126" s="43" t="s">
        <v>395</v>
      </c>
      <c r="BF126" s="43">
        <v>1.6</v>
      </c>
      <c r="BG126" s="43">
        <v>2</v>
      </c>
      <c r="BH126" s="43">
        <v>0</v>
      </c>
      <c r="BI126" s="43">
        <v>0</v>
      </c>
      <c r="BJ126" s="43">
        <v>0</v>
      </c>
      <c r="BK126" s="43">
        <v>0</v>
      </c>
      <c r="BL126" s="43">
        <v>0</v>
      </c>
      <c r="BM126" s="36" t="s">
        <v>1</v>
      </c>
      <c r="BN126" s="60">
        <f t="shared" si="17"/>
        <v>60</v>
      </c>
      <c r="BO126" s="38">
        <f t="shared" si="18"/>
        <v>8.5</v>
      </c>
      <c r="BP126" s="96">
        <v>350</v>
      </c>
      <c r="BQ126" s="76">
        <v>0</v>
      </c>
      <c r="BR126" s="76">
        <v>0</v>
      </c>
      <c r="BS126" s="76">
        <f t="shared" si="25"/>
        <v>0</v>
      </c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3"/>
      <c r="CF126" s="47" t="s">
        <v>12</v>
      </c>
      <c r="CG126" s="43">
        <v>0</v>
      </c>
      <c r="CI126" s="43">
        <v>5.08</v>
      </c>
      <c r="CR126" s="43">
        <v>0</v>
      </c>
      <c r="CS126" s="43">
        <v>0</v>
      </c>
      <c r="CT126" s="70">
        <v>0</v>
      </c>
      <c r="CU126" s="81">
        <v>1</v>
      </c>
      <c r="CV126" s="70">
        <v>0</v>
      </c>
      <c r="CW126" s="70">
        <v>0</v>
      </c>
      <c r="CX126" s="70">
        <v>0</v>
      </c>
      <c r="CY126" s="70">
        <v>0</v>
      </c>
      <c r="CZ126" s="70">
        <v>0</v>
      </c>
      <c r="DA126" s="70">
        <v>0</v>
      </c>
      <c r="DB126" s="70">
        <v>0</v>
      </c>
      <c r="DD126" s="43">
        <v>2</v>
      </c>
      <c r="DI126" s="43" t="s">
        <v>0</v>
      </c>
    </row>
    <row r="127" spans="1:113" s="43" customFormat="1" ht="15.75" thickBot="1" x14ac:dyDescent="0.3">
      <c r="A127" s="43">
        <v>527517</v>
      </c>
      <c r="B127" s="43" t="s">
        <v>6</v>
      </c>
      <c r="C127" s="56" t="s">
        <v>15</v>
      </c>
      <c r="D127" s="43">
        <v>60</v>
      </c>
      <c r="E127" s="43">
        <v>0</v>
      </c>
      <c r="F127" s="43">
        <v>60</v>
      </c>
      <c r="G127" s="43">
        <v>605</v>
      </c>
      <c r="H127" s="43">
        <v>0</v>
      </c>
      <c r="I127" s="43">
        <v>25</v>
      </c>
      <c r="J127" s="57" t="s">
        <v>379</v>
      </c>
      <c r="K127" s="57" t="s">
        <v>380</v>
      </c>
      <c r="L127" s="58">
        <v>45965.448935185203</v>
      </c>
      <c r="M127" s="43">
        <v>0</v>
      </c>
      <c r="N127" s="43">
        <v>0</v>
      </c>
      <c r="O127" s="43">
        <v>0</v>
      </c>
      <c r="S127" s="43" t="b">
        <v>0</v>
      </c>
      <c r="T127" s="43">
        <v>2</v>
      </c>
      <c r="U127" s="55">
        <v>8.5</v>
      </c>
      <c r="V127" s="43">
        <v>2</v>
      </c>
      <c r="W127" s="43">
        <v>0</v>
      </c>
      <c r="X127" s="43">
        <v>500</v>
      </c>
      <c r="Z127" s="43">
        <v>10</v>
      </c>
      <c r="AB127" s="55">
        <v>50</v>
      </c>
      <c r="AD127" s="43">
        <v>80</v>
      </c>
      <c r="AF127" s="43">
        <v>2000</v>
      </c>
      <c r="AG127" s="43">
        <v>2</v>
      </c>
      <c r="AH127" s="43">
        <v>8.6300001144409197</v>
      </c>
      <c r="AI127" s="43">
        <v>626</v>
      </c>
      <c r="AJ127" s="43">
        <v>0</v>
      </c>
      <c r="AK127" s="43">
        <v>247</v>
      </c>
      <c r="AM127" s="43" t="s">
        <v>2</v>
      </c>
      <c r="AO127" s="43">
        <v>50</v>
      </c>
      <c r="AW127" s="43" t="b">
        <v>0</v>
      </c>
      <c r="BD127" s="43" t="s">
        <v>395</v>
      </c>
      <c r="BF127" s="43">
        <v>1.6</v>
      </c>
      <c r="BG127" s="43">
        <v>2</v>
      </c>
      <c r="BH127" s="43">
        <v>0</v>
      </c>
      <c r="BI127" s="43">
        <v>0</v>
      </c>
      <c r="BJ127" s="43">
        <v>0</v>
      </c>
      <c r="BK127" s="43">
        <v>0</v>
      </c>
      <c r="BL127" s="43">
        <v>0</v>
      </c>
      <c r="BM127" s="36" t="s">
        <v>1</v>
      </c>
      <c r="BN127" s="60">
        <f t="shared" si="17"/>
        <v>60</v>
      </c>
      <c r="BO127" s="38">
        <f t="shared" si="18"/>
        <v>8.5</v>
      </c>
      <c r="BP127" s="96">
        <v>350</v>
      </c>
      <c r="BQ127" s="76">
        <v>0</v>
      </c>
      <c r="BR127" s="76">
        <v>0</v>
      </c>
      <c r="BS127" s="76">
        <f t="shared" si="25"/>
        <v>0</v>
      </c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3"/>
      <c r="CF127" s="47" t="s">
        <v>12</v>
      </c>
      <c r="CG127" s="43">
        <v>0</v>
      </c>
      <c r="CI127" s="43">
        <v>5.08</v>
      </c>
      <c r="CR127" s="43">
        <v>0</v>
      </c>
      <c r="CS127" s="43">
        <v>0</v>
      </c>
      <c r="CT127" s="70">
        <v>0</v>
      </c>
      <c r="CU127" s="81">
        <v>1</v>
      </c>
      <c r="CV127" s="70">
        <v>0</v>
      </c>
      <c r="CW127" s="70">
        <v>0</v>
      </c>
      <c r="CX127" s="70">
        <v>0</v>
      </c>
      <c r="CY127" s="70">
        <v>0</v>
      </c>
      <c r="CZ127" s="70">
        <v>0</v>
      </c>
      <c r="DA127" s="70">
        <v>0</v>
      </c>
      <c r="DB127" s="70">
        <v>0</v>
      </c>
      <c r="DD127" s="43">
        <v>2</v>
      </c>
      <c r="DI127" s="43" t="s">
        <v>0</v>
      </c>
    </row>
    <row r="128" spans="1:113" s="43" customFormat="1" ht="15.75" thickBot="1" x14ac:dyDescent="0.3">
      <c r="A128" s="43">
        <v>527518</v>
      </c>
      <c r="B128" s="43" t="s">
        <v>6</v>
      </c>
      <c r="C128" s="56" t="s">
        <v>15</v>
      </c>
      <c r="D128" s="43">
        <v>60</v>
      </c>
      <c r="E128" s="43">
        <v>0</v>
      </c>
      <c r="F128" s="43">
        <v>60</v>
      </c>
      <c r="G128" s="43">
        <v>606</v>
      </c>
      <c r="H128" s="43">
        <v>0</v>
      </c>
      <c r="I128" s="43">
        <v>15</v>
      </c>
      <c r="J128" s="57" t="s">
        <v>381</v>
      </c>
      <c r="K128" s="57" t="s">
        <v>382</v>
      </c>
      <c r="L128" s="58">
        <v>45965.449606481503</v>
      </c>
      <c r="M128" s="43">
        <v>0</v>
      </c>
      <c r="N128" s="43">
        <v>0</v>
      </c>
      <c r="O128" s="43">
        <v>0</v>
      </c>
      <c r="S128" s="43" t="b">
        <v>0</v>
      </c>
      <c r="T128" s="43">
        <v>2</v>
      </c>
      <c r="U128" s="55">
        <v>7.5</v>
      </c>
      <c r="V128" s="43">
        <v>2</v>
      </c>
      <c r="W128" s="43">
        <v>0</v>
      </c>
      <c r="X128" s="43">
        <v>500</v>
      </c>
      <c r="Z128" s="43">
        <v>10</v>
      </c>
      <c r="AB128" s="55">
        <v>30</v>
      </c>
      <c r="AD128" s="43">
        <v>80</v>
      </c>
      <c r="AF128" s="43">
        <v>2000</v>
      </c>
      <c r="AG128" s="43">
        <v>2</v>
      </c>
      <c r="AH128" s="43">
        <v>7.9200000762939498</v>
      </c>
      <c r="AI128" s="43">
        <v>593</v>
      </c>
      <c r="AJ128" s="43">
        <v>0</v>
      </c>
      <c r="AK128" s="43">
        <v>113</v>
      </c>
      <c r="AM128" s="43" t="s">
        <v>2</v>
      </c>
      <c r="AO128" s="43">
        <v>30</v>
      </c>
      <c r="AW128" s="43" t="b">
        <v>0</v>
      </c>
      <c r="BD128" s="43" t="s">
        <v>396</v>
      </c>
      <c r="BF128" s="43">
        <v>1.2</v>
      </c>
      <c r="BG128" s="43">
        <v>1.2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36" t="s">
        <v>1</v>
      </c>
      <c r="BN128" s="60">
        <f t="shared" si="17"/>
        <v>60</v>
      </c>
      <c r="BO128" s="38">
        <f t="shared" si="18"/>
        <v>7.5</v>
      </c>
      <c r="BP128" s="96">
        <v>350</v>
      </c>
      <c r="BQ128" s="76">
        <v>0</v>
      </c>
      <c r="BR128" s="76">
        <v>0</v>
      </c>
      <c r="BS128" s="76">
        <f t="shared" si="25"/>
        <v>0</v>
      </c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3"/>
      <c r="CF128" s="47" t="s">
        <v>12</v>
      </c>
      <c r="CG128" s="43">
        <v>0</v>
      </c>
      <c r="CI128" s="43">
        <v>4.57</v>
      </c>
      <c r="CR128" s="43">
        <v>0</v>
      </c>
      <c r="CS128" s="43">
        <v>0</v>
      </c>
      <c r="CT128" s="70">
        <v>0</v>
      </c>
      <c r="CU128" s="81">
        <v>1</v>
      </c>
      <c r="CV128" s="70">
        <v>0</v>
      </c>
      <c r="CW128" s="70">
        <v>0</v>
      </c>
      <c r="CX128" s="70">
        <v>0</v>
      </c>
      <c r="CY128" s="70">
        <v>0</v>
      </c>
      <c r="CZ128" s="70">
        <v>0</v>
      </c>
      <c r="DA128" s="70">
        <v>0</v>
      </c>
      <c r="DB128" s="70">
        <v>0</v>
      </c>
      <c r="DD128" s="43">
        <v>2</v>
      </c>
      <c r="DI128" s="43" t="s">
        <v>0</v>
      </c>
    </row>
    <row r="129" spans="1:113" s="43" customFormat="1" ht="15.75" thickBot="1" x14ac:dyDescent="0.3">
      <c r="A129" s="43">
        <v>527519</v>
      </c>
      <c r="B129" s="43" t="s">
        <v>6</v>
      </c>
      <c r="C129" s="56" t="s">
        <v>15</v>
      </c>
      <c r="D129" s="43">
        <v>60</v>
      </c>
      <c r="E129" s="43">
        <v>0</v>
      </c>
      <c r="F129" s="43">
        <v>60</v>
      </c>
      <c r="G129" s="43">
        <v>607</v>
      </c>
      <c r="H129" s="43">
        <v>0</v>
      </c>
      <c r="I129" s="43">
        <v>15</v>
      </c>
      <c r="J129" s="57" t="s">
        <v>383</v>
      </c>
      <c r="K129" s="57" t="s">
        <v>384</v>
      </c>
      <c r="L129" s="58">
        <v>45965.449733796297</v>
      </c>
      <c r="M129" s="43">
        <v>0</v>
      </c>
      <c r="N129" s="43">
        <v>0</v>
      </c>
      <c r="O129" s="43">
        <v>0</v>
      </c>
      <c r="S129" s="43" t="b">
        <v>0</v>
      </c>
      <c r="T129" s="43">
        <v>2</v>
      </c>
      <c r="U129" s="55">
        <v>7</v>
      </c>
      <c r="V129" s="43">
        <v>2</v>
      </c>
      <c r="W129" s="43">
        <v>0</v>
      </c>
      <c r="X129" s="43">
        <v>500</v>
      </c>
      <c r="Z129" s="43">
        <v>10</v>
      </c>
      <c r="AB129" s="55">
        <v>30</v>
      </c>
      <c r="AD129" s="43">
        <v>80</v>
      </c>
      <c r="AF129" s="43">
        <v>2000</v>
      </c>
      <c r="AG129" s="43">
        <v>2</v>
      </c>
      <c r="AH129" s="43">
        <v>7.4000000953674299</v>
      </c>
      <c r="AI129" s="43">
        <v>580</v>
      </c>
      <c r="AJ129" s="43">
        <v>0</v>
      </c>
      <c r="AK129" s="43">
        <v>103</v>
      </c>
      <c r="AM129" s="43" t="s">
        <v>2</v>
      </c>
      <c r="AO129" s="43">
        <v>30</v>
      </c>
      <c r="AW129" s="43" t="b">
        <v>0</v>
      </c>
      <c r="BD129" s="43" t="s">
        <v>396</v>
      </c>
      <c r="BF129" s="43">
        <v>1.2</v>
      </c>
      <c r="BG129" s="43">
        <v>1.2</v>
      </c>
      <c r="BH129" s="43">
        <v>0</v>
      </c>
      <c r="BI129" s="43">
        <v>0</v>
      </c>
      <c r="BJ129" s="43">
        <v>0</v>
      </c>
      <c r="BK129" s="43">
        <v>0</v>
      </c>
      <c r="BL129" s="43">
        <v>0</v>
      </c>
      <c r="BM129" s="36" t="s">
        <v>1</v>
      </c>
      <c r="BN129" s="60">
        <f t="shared" si="17"/>
        <v>60</v>
      </c>
      <c r="BO129" s="38">
        <f t="shared" si="18"/>
        <v>7</v>
      </c>
      <c r="BP129" s="96">
        <v>350</v>
      </c>
      <c r="BQ129" s="76">
        <v>0</v>
      </c>
      <c r="BR129" s="76">
        <v>0</v>
      </c>
      <c r="BS129" s="76">
        <f t="shared" si="25"/>
        <v>0</v>
      </c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3"/>
      <c r="CF129" s="47" t="s">
        <v>12</v>
      </c>
      <c r="CG129" s="43">
        <v>0</v>
      </c>
      <c r="CI129" s="43">
        <v>4.57</v>
      </c>
      <c r="CR129" s="43">
        <v>0</v>
      </c>
      <c r="CS129" s="43">
        <v>0</v>
      </c>
      <c r="CT129" s="70">
        <v>0</v>
      </c>
      <c r="CU129" s="81">
        <v>1</v>
      </c>
      <c r="CV129" s="70">
        <v>0</v>
      </c>
      <c r="CW129" s="70">
        <v>0</v>
      </c>
      <c r="CX129" s="70">
        <v>0</v>
      </c>
      <c r="CY129" s="70">
        <v>0</v>
      </c>
      <c r="CZ129" s="70">
        <v>0</v>
      </c>
      <c r="DA129" s="70">
        <v>0</v>
      </c>
      <c r="DB129" s="70">
        <v>0</v>
      </c>
      <c r="DD129" s="43">
        <v>2</v>
      </c>
      <c r="DI129" s="43" t="s">
        <v>0</v>
      </c>
    </row>
    <row r="130" spans="1:113" s="43" customFormat="1" ht="15.75" thickBot="1" x14ac:dyDescent="0.3">
      <c r="A130" s="43">
        <v>527520</v>
      </c>
      <c r="B130" s="43" t="s">
        <v>6</v>
      </c>
      <c r="C130" s="56" t="s">
        <v>15</v>
      </c>
      <c r="D130" s="43">
        <v>60</v>
      </c>
      <c r="E130" s="43">
        <v>0</v>
      </c>
      <c r="F130" s="43">
        <v>60</v>
      </c>
      <c r="G130" s="43">
        <v>608</v>
      </c>
      <c r="H130" s="43">
        <v>0</v>
      </c>
      <c r="I130" s="43">
        <v>10</v>
      </c>
      <c r="J130" s="57" t="s">
        <v>385</v>
      </c>
      <c r="K130" s="57" t="s">
        <v>386</v>
      </c>
      <c r="L130" s="58">
        <v>45965.449884259302</v>
      </c>
      <c r="M130" s="43">
        <v>0</v>
      </c>
      <c r="N130" s="43">
        <v>0</v>
      </c>
      <c r="O130" s="43">
        <v>0</v>
      </c>
      <c r="S130" s="43" t="b">
        <v>0</v>
      </c>
      <c r="T130" s="43">
        <v>2</v>
      </c>
      <c r="U130" s="55">
        <v>9</v>
      </c>
      <c r="V130" s="43">
        <v>2</v>
      </c>
      <c r="W130" s="43">
        <v>0</v>
      </c>
      <c r="X130" s="43">
        <v>500</v>
      </c>
      <c r="Z130" s="43">
        <v>10</v>
      </c>
      <c r="AB130" s="55">
        <v>20</v>
      </c>
      <c r="AD130" s="43">
        <v>80</v>
      </c>
      <c r="AF130" s="43">
        <v>2000</v>
      </c>
      <c r="AG130" s="43">
        <v>2</v>
      </c>
      <c r="AH130" s="43">
        <v>7.28999996185303</v>
      </c>
      <c r="AI130" s="43">
        <v>584</v>
      </c>
      <c r="AJ130" s="43">
        <v>0</v>
      </c>
      <c r="AK130" s="43">
        <v>77</v>
      </c>
      <c r="AM130" s="43" t="s">
        <v>2</v>
      </c>
      <c r="AO130" s="43">
        <v>20</v>
      </c>
      <c r="AW130" s="43" t="b">
        <v>0</v>
      </c>
      <c r="AX130" s="43">
        <v>56</v>
      </c>
      <c r="BD130" s="43" t="s">
        <v>396</v>
      </c>
      <c r="BF130" s="43">
        <v>1.2</v>
      </c>
      <c r="BG130" s="43">
        <v>1.2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36" t="s">
        <v>1</v>
      </c>
      <c r="BN130" s="60">
        <f t="shared" si="17"/>
        <v>60</v>
      </c>
      <c r="BO130" s="38">
        <f t="shared" si="18"/>
        <v>9</v>
      </c>
      <c r="BP130" s="96">
        <v>350</v>
      </c>
      <c r="BQ130" s="76">
        <v>0</v>
      </c>
      <c r="BR130" s="76">
        <v>0</v>
      </c>
      <c r="BS130" s="76">
        <f t="shared" si="25"/>
        <v>0</v>
      </c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3"/>
      <c r="CF130" s="47" t="s">
        <v>12</v>
      </c>
      <c r="CG130" s="43">
        <v>0</v>
      </c>
      <c r="CI130" s="43">
        <v>4.57</v>
      </c>
      <c r="CR130" s="43">
        <v>0</v>
      </c>
      <c r="CS130" s="43">
        <v>0</v>
      </c>
      <c r="CT130" s="70">
        <v>0</v>
      </c>
      <c r="CU130" s="81">
        <v>1</v>
      </c>
      <c r="CV130" s="70">
        <v>0</v>
      </c>
      <c r="CW130" s="70">
        <v>0</v>
      </c>
      <c r="CX130" s="70">
        <v>0</v>
      </c>
      <c r="CY130" s="70">
        <v>0</v>
      </c>
      <c r="CZ130" s="70">
        <v>0</v>
      </c>
      <c r="DA130" s="70">
        <v>0</v>
      </c>
      <c r="DB130" s="70">
        <v>0</v>
      </c>
      <c r="DD130" s="43">
        <v>2</v>
      </c>
      <c r="DI130" s="43" t="s">
        <v>0</v>
      </c>
    </row>
    <row r="131" spans="1:113" s="43" customFormat="1" ht="15.75" thickBot="1" x14ac:dyDescent="0.3">
      <c r="A131" s="43">
        <v>527521</v>
      </c>
      <c r="B131" s="43" t="s">
        <v>6</v>
      </c>
      <c r="C131" s="56" t="s">
        <v>15</v>
      </c>
      <c r="D131" s="43">
        <v>60</v>
      </c>
      <c r="E131" s="43">
        <v>0</v>
      </c>
      <c r="F131" s="43">
        <v>60</v>
      </c>
      <c r="G131" s="43">
        <v>609</v>
      </c>
      <c r="H131" s="43">
        <v>0</v>
      </c>
      <c r="I131" s="43">
        <v>5</v>
      </c>
      <c r="J131" s="57" t="s">
        <v>387</v>
      </c>
      <c r="K131" s="57" t="s">
        <v>388</v>
      </c>
      <c r="L131" s="58">
        <v>45965.450613425899</v>
      </c>
      <c r="M131" s="43">
        <v>0</v>
      </c>
      <c r="N131" s="43">
        <v>0</v>
      </c>
      <c r="O131" s="43">
        <v>0</v>
      </c>
      <c r="S131" s="43" t="b">
        <v>0</v>
      </c>
      <c r="T131" s="43">
        <v>2</v>
      </c>
      <c r="U131" s="55">
        <v>9</v>
      </c>
      <c r="V131" s="43">
        <v>2</v>
      </c>
      <c r="W131" s="43">
        <v>0</v>
      </c>
      <c r="X131" s="43">
        <v>500</v>
      </c>
      <c r="Z131" s="43">
        <v>10</v>
      </c>
      <c r="AB131" s="55">
        <v>10</v>
      </c>
      <c r="AD131" s="43">
        <v>80</v>
      </c>
      <c r="AF131" s="43">
        <v>2000</v>
      </c>
      <c r="AG131" s="43">
        <v>2</v>
      </c>
      <c r="AH131" s="43">
        <v>3.9900000095367401</v>
      </c>
      <c r="AI131" s="43">
        <v>296</v>
      </c>
      <c r="AJ131" s="43">
        <v>0</v>
      </c>
      <c r="AK131" s="43">
        <v>0</v>
      </c>
      <c r="AM131" s="43" t="s">
        <v>2</v>
      </c>
      <c r="AO131" s="43">
        <v>10</v>
      </c>
      <c r="AW131" s="43" t="b">
        <v>0</v>
      </c>
      <c r="AX131" s="43">
        <v>56</v>
      </c>
      <c r="BD131" s="43" t="s">
        <v>396</v>
      </c>
      <c r="BF131" s="43">
        <v>1.2</v>
      </c>
      <c r="BG131" s="43">
        <v>1.2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36" t="s">
        <v>1</v>
      </c>
      <c r="BN131" s="60">
        <f t="shared" si="17"/>
        <v>60</v>
      </c>
      <c r="BO131" s="38">
        <f t="shared" si="18"/>
        <v>9</v>
      </c>
      <c r="BP131" s="96">
        <v>350</v>
      </c>
      <c r="BQ131" s="76">
        <v>0</v>
      </c>
      <c r="BR131" s="76">
        <v>0</v>
      </c>
      <c r="BS131" s="76">
        <f t="shared" si="25"/>
        <v>0</v>
      </c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3"/>
      <c r="CF131" s="47" t="s">
        <v>12</v>
      </c>
      <c r="CG131" s="43">
        <v>0</v>
      </c>
      <c r="CI131" s="43">
        <v>4.57</v>
      </c>
      <c r="CR131" s="43">
        <v>0</v>
      </c>
      <c r="CS131" s="43">
        <v>0</v>
      </c>
      <c r="CT131" s="70">
        <v>0</v>
      </c>
      <c r="CU131" s="81">
        <v>1</v>
      </c>
      <c r="CV131" s="70">
        <v>0</v>
      </c>
      <c r="CW131" s="70">
        <v>0</v>
      </c>
      <c r="CX131" s="70">
        <v>0</v>
      </c>
      <c r="CY131" s="70">
        <v>0</v>
      </c>
      <c r="CZ131" s="70">
        <v>0</v>
      </c>
      <c r="DA131" s="70">
        <v>0</v>
      </c>
      <c r="DB131" s="70">
        <v>0</v>
      </c>
      <c r="DD131" s="43">
        <v>2</v>
      </c>
      <c r="DI131" s="43" t="s">
        <v>0</v>
      </c>
    </row>
    <row r="132" spans="1:113" s="43" customFormat="1" ht="15.75" thickBot="1" x14ac:dyDescent="0.3">
      <c r="A132" s="43">
        <v>527522</v>
      </c>
      <c r="B132" s="43" t="s">
        <v>6</v>
      </c>
      <c r="C132" s="56" t="s">
        <v>15</v>
      </c>
      <c r="D132" s="43">
        <v>60</v>
      </c>
      <c r="E132" s="43">
        <v>0</v>
      </c>
      <c r="F132" s="43">
        <v>60</v>
      </c>
      <c r="G132" s="43">
        <v>610</v>
      </c>
      <c r="H132" s="43">
        <v>0</v>
      </c>
      <c r="I132" s="43">
        <v>37</v>
      </c>
      <c r="J132" s="57" t="s">
        <v>389</v>
      </c>
      <c r="K132" s="57" t="s">
        <v>390</v>
      </c>
      <c r="L132" s="58">
        <v>45965.451712962997</v>
      </c>
      <c r="M132" s="43">
        <v>0</v>
      </c>
      <c r="N132" s="43">
        <v>0</v>
      </c>
      <c r="O132" s="43">
        <v>0</v>
      </c>
      <c r="S132" s="43" t="b">
        <v>0</v>
      </c>
      <c r="T132" s="43">
        <v>2</v>
      </c>
      <c r="U132" s="55">
        <v>3</v>
      </c>
      <c r="V132" s="43">
        <v>2</v>
      </c>
      <c r="W132" s="43">
        <v>0</v>
      </c>
      <c r="X132" s="43">
        <v>500</v>
      </c>
      <c r="Z132" s="43">
        <v>10</v>
      </c>
      <c r="AB132" s="55">
        <v>75</v>
      </c>
      <c r="AD132" s="43">
        <v>80</v>
      </c>
      <c r="AF132" s="43">
        <v>2000</v>
      </c>
      <c r="AG132" s="43">
        <v>2</v>
      </c>
      <c r="AH132" s="43">
        <v>3.0699999332428001</v>
      </c>
      <c r="AI132" s="43">
        <v>330</v>
      </c>
      <c r="AJ132" s="43">
        <v>0</v>
      </c>
      <c r="AK132" s="43">
        <v>71</v>
      </c>
      <c r="AM132" s="43" t="s">
        <v>2</v>
      </c>
      <c r="AO132" s="43">
        <v>74</v>
      </c>
      <c r="AW132" s="43" t="b">
        <v>0</v>
      </c>
      <c r="BD132" s="43" t="s">
        <v>397</v>
      </c>
      <c r="BF132" s="43">
        <v>0.55000000000000004</v>
      </c>
      <c r="BG132" s="43">
        <v>0.55000000000000004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36" t="s">
        <v>1</v>
      </c>
      <c r="BN132" s="60">
        <f t="shared" si="17"/>
        <v>60</v>
      </c>
      <c r="BO132" s="38">
        <f t="shared" si="18"/>
        <v>3</v>
      </c>
      <c r="BP132" s="96">
        <v>225</v>
      </c>
      <c r="BQ132" s="76">
        <v>0</v>
      </c>
      <c r="BR132" s="76">
        <v>0</v>
      </c>
      <c r="BS132" s="76">
        <f t="shared" si="25"/>
        <v>0</v>
      </c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3"/>
      <c r="CF132" s="47" t="s">
        <v>12</v>
      </c>
      <c r="CG132" s="43">
        <v>0</v>
      </c>
      <c r="CI132" s="43">
        <v>2.68</v>
      </c>
      <c r="CR132" s="43">
        <v>0</v>
      </c>
      <c r="CS132" s="43">
        <v>0</v>
      </c>
      <c r="CT132" s="70">
        <v>0</v>
      </c>
      <c r="CU132" s="81">
        <v>1</v>
      </c>
      <c r="CV132" s="70">
        <v>0</v>
      </c>
      <c r="CW132" s="70">
        <v>0</v>
      </c>
      <c r="CX132" s="70">
        <v>0</v>
      </c>
      <c r="CY132" s="70">
        <v>0</v>
      </c>
      <c r="CZ132" s="70">
        <v>0</v>
      </c>
      <c r="DA132" s="70">
        <v>0</v>
      </c>
      <c r="DB132" s="70">
        <v>0</v>
      </c>
      <c r="DD132" s="43">
        <v>2</v>
      </c>
      <c r="DI132" s="43" t="s">
        <v>0</v>
      </c>
    </row>
    <row r="133" spans="1:113" s="97" customFormat="1" ht="15.75" thickBot="1" x14ac:dyDescent="0.3">
      <c r="A133" s="97">
        <v>527523</v>
      </c>
      <c r="B133" s="97" t="s">
        <v>6</v>
      </c>
      <c r="C133" s="98" t="s">
        <v>15</v>
      </c>
      <c r="D133" s="97">
        <v>60</v>
      </c>
      <c r="E133" s="97">
        <v>0</v>
      </c>
      <c r="F133" s="97">
        <v>60</v>
      </c>
      <c r="G133" s="97">
        <v>611</v>
      </c>
      <c r="H133" s="97">
        <v>0</v>
      </c>
      <c r="I133" s="97">
        <v>37</v>
      </c>
      <c r="J133" s="99" t="s">
        <v>391</v>
      </c>
      <c r="K133" s="99" t="s">
        <v>392</v>
      </c>
      <c r="L133" s="100">
        <v>45965.451840277798</v>
      </c>
      <c r="M133" s="97">
        <v>0</v>
      </c>
      <c r="N133" s="97">
        <v>0</v>
      </c>
      <c r="O133" s="97">
        <v>0</v>
      </c>
      <c r="S133" s="97" t="b">
        <v>0</v>
      </c>
      <c r="T133" s="97">
        <v>2</v>
      </c>
      <c r="U133" s="101">
        <v>2.5999999046325701</v>
      </c>
      <c r="V133" s="97">
        <v>2</v>
      </c>
      <c r="W133" s="97">
        <v>0</v>
      </c>
      <c r="X133" s="97">
        <v>500</v>
      </c>
      <c r="Z133" s="97">
        <v>10</v>
      </c>
      <c r="AB133" s="101">
        <v>75</v>
      </c>
      <c r="AD133" s="97">
        <v>80</v>
      </c>
      <c r="AF133" s="97">
        <v>2000</v>
      </c>
      <c r="AG133" s="97">
        <v>2</v>
      </c>
      <c r="AH133" s="97">
        <v>2.6600000858306898</v>
      </c>
      <c r="AI133" s="97">
        <v>321</v>
      </c>
      <c r="AJ133" s="97">
        <v>0</v>
      </c>
      <c r="AK133" s="97">
        <v>60</v>
      </c>
      <c r="AM133" s="97" t="s">
        <v>2</v>
      </c>
      <c r="AO133" s="97">
        <v>74</v>
      </c>
      <c r="AW133" s="97" t="b">
        <v>0</v>
      </c>
      <c r="BD133" s="97" t="s">
        <v>397</v>
      </c>
      <c r="BF133" s="97">
        <v>0.55000000000000004</v>
      </c>
      <c r="BG133" s="97">
        <v>0.55000000000000004</v>
      </c>
      <c r="BH133" s="97">
        <v>0</v>
      </c>
      <c r="BI133" s="97">
        <v>0</v>
      </c>
      <c r="BJ133" s="97">
        <v>0</v>
      </c>
      <c r="BK133" s="97">
        <v>0</v>
      </c>
      <c r="BL133" s="97">
        <v>0</v>
      </c>
      <c r="BM133" s="102" t="s">
        <v>1</v>
      </c>
      <c r="BN133" s="103">
        <f t="shared" si="17"/>
        <v>60</v>
      </c>
      <c r="BO133" s="104">
        <f t="shared" si="18"/>
        <v>2.5999999046325701</v>
      </c>
      <c r="BP133" s="105">
        <v>225</v>
      </c>
      <c r="BQ133" s="106">
        <v>0</v>
      </c>
      <c r="BR133" s="106">
        <v>0</v>
      </c>
      <c r="BS133" s="106">
        <f t="shared" si="25"/>
        <v>0</v>
      </c>
      <c r="BT133" s="107"/>
      <c r="BU133" s="107"/>
      <c r="BV133" s="107"/>
      <c r="BW133" s="107"/>
      <c r="BX133" s="107"/>
      <c r="BY133" s="107"/>
      <c r="BZ133" s="107"/>
      <c r="CA133" s="107"/>
      <c r="CB133" s="107"/>
      <c r="CC133" s="107"/>
      <c r="CD133" s="107"/>
      <c r="CE133" s="108"/>
      <c r="CF133" s="109" t="s">
        <v>12</v>
      </c>
      <c r="CG133" s="97">
        <v>0</v>
      </c>
      <c r="CI133" s="97">
        <v>2.68</v>
      </c>
      <c r="CR133" s="97">
        <v>0</v>
      </c>
      <c r="CS133" s="97">
        <v>0</v>
      </c>
      <c r="CT133" s="110">
        <v>0</v>
      </c>
      <c r="CU133" s="111">
        <v>1</v>
      </c>
      <c r="CV133" s="110">
        <v>0</v>
      </c>
      <c r="CW133" s="110">
        <v>0</v>
      </c>
      <c r="CX133" s="110">
        <v>0</v>
      </c>
      <c r="CY133" s="110">
        <v>0</v>
      </c>
      <c r="CZ133" s="110">
        <v>0</v>
      </c>
      <c r="DA133" s="110">
        <v>0</v>
      </c>
      <c r="DB133" s="110">
        <v>0</v>
      </c>
      <c r="DD133" s="97">
        <v>2</v>
      </c>
      <c r="DI133" s="97" t="s">
        <v>0</v>
      </c>
    </row>
    <row r="134" spans="1:113" s="122" customFormat="1" ht="15.75" thickBot="1" x14ac:dyDescent="0.3">
      <c r="A134" s="122">
        <v>527524</v>
      </c>
      <c r="B134" s="122" t="s">
        <v>6</v>
      </c>
      <c r="C134" s="98" t="s">
        <v>15</v>
      </c>
      <c r="D134" s="122">
        <v>60</v>
      </c>
      <c r="E134" s="122">
        <v>0</v>
      </c>
      <c r="F134" s="122">
        <v>60</v>
      </c>
      <c r="G134" s="122">
        <v>612</v>
      </c>
      <c r="H134" s="122">
        <v>0</v>
      </c>
      <c r="I134" s="122">
        <v>25</v>
      </c>
      <c r="J134" s="127" t="s">
        <v>737</v>
      </c>
      <c r="K134" s="127" t="s">
        <v>738</v>
      </c>
      <c r="L134" s="128">
        <v>45965.452037037001</v>
      </c>
      <c r="M134" s="122">
        <v>0</v>
      </c>
      <c r="N134" s="122">
        <v>0</v>
      </c>
      <c r="O134" s="122">
        <v>0</v>
      </c>
      <c r="S134" s="122" t="b">
        <v>0</v>
      </c>
      <c r="T134" s="122">
        <v>2</v>
      </c>
      <c r="U134" s="129">
        <v>4.5999999046325701</v>
      </c>
      <c r="V134" s="122">
        <v>2</v>
      </c>
      <c r="W134" s="122">
        <v>0</v>
      </c>
      <c r="X134" s="122">
        <v>500</v>
      </c>
      <c r="Z134" s="122">
        <v>10</v>
      </c>
      <c r="AB134" s="129">
        <v>50</v>
      </c>
      <c r="AD134" s="122">
        <v>80</v>
      </c>
      <c r="AF134" s="122">
        <v>2000</v>
      </c>
      <c r="AG134" s="122">
        <v>2</v>
      </c>
      <c r="AH134" s="122">
        <v>4.7600002288818404</v>
      </c>
      <c r="AI134" s="122">
        <v>385</v>
      </c>
      <c r="AJ134" s="122">
        <v>0</v>
      </c>
      <c r="AK134" s="122">
        <v>82</v>
      </c>
      <c r="AM134" s="122" t="s">
        <v>2</v>
      </c>
      <c r="AO134" s="122">
        <v>50</v>
      </c>
      <c r="AW134" s="122" t="b">
        <v>0</v>
      </c>
      <c r="BD134" s="122" t="s">
        <v>397</v>
      </c>
      <c r="BF134" s="122">
        <v>0.55000000000000004</v>
      </c>
      <c r="BG134" s="122">
        <v>0.55000000000000004</v>
      </c>
      <c r="BH134" s="122">
        <v>0</v>
      </c>
      <c r="BI134" s="122">
        <v>0</v>
      </c>
      <c r="BJ134" s="122">
        <v>0</v>
      </c>
      <c r="BK134" s="122">
        <v>0</v>
      </c>
      <c r="BL134" s="122">
        <v>0</v>
      </c>
      <c r="BM134" s="123" t="s">
        <v>1</v>
      </c>
      <c r="BN134" s="124">
        <f t="shared" ref="BN134" si="26">D134</f>
        <v>60</v>
      </c>
      <c r="BO134" s="125">
        <f t="shared" ref="BO134" si="27">U134</f>
        <v>4.5999999046325701</v>
      </c>
      <c r="BP134" s="126">
        <v>225</v>
      </c>
      <c r="BS134" s="130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3"/>
      <c r="CF134" s="47" t="s">
        <v>16</v>
      </c>
      <c r="CG134" s="132"/>
      <c r="CU134" s="122">
        <v>0</v>
      </c>
      <c r="DD134" s="122">
        <v>0</v>
      </c>
      <c r="DI134" s="122" t="s">
        <v>0</v>
      </c>
    </row>
    <row r="135" spans="1:113" s="112" customFormat="1" ht="15.75" thickBot="1" x14ac:dyDescent="0.3">
      <c r="A135" s="112">
        <v>527525</v>
      </c>
      <c r="B135" s="112" t="s">
        <v>6</v>
      </c>
      <c r="C135" s="113" t="s">
        <v>15</v>
      </c>
      <c r="D135" s="112">
        <v>60</v>
      </c>
      <c r="E135" s="112">
        <v>0</v>
      </c>
      <c r="F135" s="112">
        <v>60</v>
      </c>
      <c r="G135" s="112">
        <v>613</v>
      </c>
      <c r="H135" s="112">
        <v>0</v>
      </c>
      <c r="I135" s="112">
        <v>20</v>
      </c>
      <c r="J135" s="114" t="s">
        <v>393</v>
      </c>
      <c r="K135" s="114" t="s">
        <v>394</v>
      </c>
      <c r="L135" s="115">
        <v>45965.452129629601</v>
      </c>
      <c r="M135" s="112">
        <v>0</v>
      </c>
      <c r="N135" s="112">
        <v>0</v>
      </c>
      <c r="O135" s="112">
        <v>0</v>
      </c>
      <c r="S135" s="112" t="b">
        <v>0</v>
      </c>
      <c r="T135" s="112">
        <v>2</v>
      </c>
      <c r="U135" s="116">
        <v>4.5999999046325701</v>
      </c>
      <c r="V135" s="112">
        <v>2</v>
      </c>
      <c r="W135" s="112">
        <v>0</v>
      </c>
      <c r="X135" s="112">
        <v>500</v>
      </c>
      <c r="Z135" s="112">
        <v>10</v>
      </c>
      <c r="AB135" s="116">
        <v>40</v>
      </c>
      <c r="AD135" s="112">
        <v>80</v>
      </c>
      <c r="AF135" s="112">
        <v>2000</v>
      </c>
      <c r="AG135" s="112">
        <v>2</v>
      </c>
      <c r="AH135" s="112">
        <v>4.8099999427795401</v>
      </c>
      <c r="AI135" s="112">
        <v>393</v>
      </c>
      <c r="AJ135" s="112">
        <v>0</v>
      </c>
      <c r="AK135" s="112">
        <v>65</v>
      </c>
      <c r="AM135" s="112" t="s">
        <v>2</v>
      </c>
      <c r="AO135" s="112">
        <v>40</v>
      </c>
      <c r="AW135" s="112" t="b">
        <v>0</v>
      </c>
      <c r="BD135" s="112" t="s">
        <v>397</v>
      </c>
      <c r="BF135" s="112">
        <v>0.55000000000000004</v>
      </c>
      <c r="BG135" s="112">
        <v>0.55000000000000004</v>
      </c>
      <c r="BH135" s="112">
        <v>0</v>
      </c>
      <c r="BI135" s="112">
        <v>0</v>
      </c>
      <c r="BJ135" s="112">
        <v>0</v>
      </c>
      <c r="BK135" s="112">
        <v>0</v>
      </c>
      <c r="BL135" s="112">
        <v>0</v>
      </c>
      <c r="BM135" s="117" t="s">
        <v>1</v>
      </c>
      <c r="BN135" s="118">
        <f t="shared" si="17"/>
        <v>60</v>
      </c>
      <c r="BO135" s="119">
        <f t="shared" si="18"/>
        <v>4.5999999046325701</v>
      </c>
      <c r="BP135" s="120">
        <v>225</v>
      </c>
      <c r="BQ135" s="112">
        <v>2.74</v>
      </c>
      <c r="BR135" s="112">
        <v>2.798</v>
      </c>
      <c r="BS135" s="131">
        <f t="shared" si="25"/>
        <v>2.7690000000000001</v>
      </c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3"/>
      <c r="CF135" s="47" t="s">
        <v>16</v>
      </c>
      <c r="CG135" s="133">
        <v>2.7690000000000001</v>
      </c>
      <c r="CI135" s="112">
        <v>2.68</v>
      </c>
      <c r="CR135" s="112">
        <v>0</v>
      </c>
      <c r="CS135" s="112">
        <v>0</v>
      </c>
      <c r="CT135" s="121">
        <v>0</v>
      </c>
      <c r="CU135" s="112">
        <v>0</v>
      </c>
      <c r="CV135" s="121">
        <v>0</v>
      </c>
      <c r="CW135" s="121">
        <v>0</v>
      </c>
      <c r="CX135" s="121">
        <v>0</v>
      </c>
      <c r="CY135" s="121">
        <v>0</v>
      </c>
      <c r="CZ135" s="121">
        <v>0</v>
      </c>
      <c r="DA135" s="121">
        <v>0</v>
      </c>
      <c r="DB135" s="121">
        <v>0</v>
      </c>
      <c r="DD135" s="112">
        <v>0</v>
      </c>
      <c r="DI135" s="112" t="s">
        <v>0</v>
      </c>
    </row>
    <row r="136" spans="1:113" s="43" customFormat="1" ht="15.75" thickBot="1" x14ac:dyDescent="0.3">
      <c r="A136" s="43">
        <v>528488</v>
      </c>
      <c r="B136" s="43" t="s">
        <v>6</v>
      </c>
      <c r="C136" s="56" t="s">
        <v>15</v>
      </c>
      <c r="D136" s="43">
        <v>60</v>
      </c>
      <c r="E136" s="43">
        <v>0</v>
      </c>
      <c r="F136" s="43">
        <v>60</v>
      </c>
      <c r="G136" s="43">
        <v>4</v>
      </c>
      <c r="H136" s="43">
        <v>0</v>
      </c>
      <c r="I136" s="43">
        <v>20</v>
      </c>
      <c r="J136" s="57" t="s">
        <v>398</v>
      </c>
      <c r="K136" s="57" t="s">
        <v>399</v>
      </c>
      <c r="L136" s="59">
        <v>45966.496342592596</v>
      </c>
      <c r="M136" s="43">
        <v>0</v>
      </c>
      <c r="N136" s="43">
        <v>0</v>
      </c>
      <c r="O136" s="43">
        <v>0</v>
      </c>
      <c r="S136" s="43" t="b">
        <v>0</v>
      </c>
      <c r="T136" s="43">
        <v>2</v>
      </c>
      <c r="U136" s="55">
        <v>8.5</v>
      </c>
      <c r="V136" s="43">
        <v>2</v>
      </c>
      <c r="W136" s="43">
        <v>0</v>
      </c>
      <c r="X136" s="43">
        <v>500</v>
      </c>
      <c r="Z136" s="43">
        <v>10</v>
      </c>
      <c r="AB136" s="55">
        <v>40</v>
      </c>
      <c r="AD136" s="43">
        <v>80</v>
      </c>
      <c r="AF136" s="43">
        <v>2000</v>
      </c>
      <c r="AG136" s="43">
        <v>2</v>
      </c>
      <c r="AH136" s="43">
        <v>8.7100000381469727</v>
      </c>
      <c r="AI136" s="43">
        <v>775</v>
      </c>
      <c r="AJ136" s="43">
        <v>0</v>
      </c>
      <c r="AK136" s="43">
        <v>235</v>
      </c>
      <c r="AM136" s="43" t="s">
        <v>2</v>
      </c>
      <c r="AO136" s="43">
        <v>40</v>
      </c>
      <c r="AW136" s="43" t="b">
        <v>0</v>
      </c>
      <c r="BD136" s="43" t="s">
        <v>432</v>
      </c>
      <c r="BF136" s="43">
        <v>1.2</v>
      </c>
      <c r="BG136" s="43">
        <v>1.6</v>
      </c>
      <c r="BH136" s="43">
        <v>1.6</v>
      </c>
      <c r="BI136" s="43">
        <v>0</v>
      </c>
      <c r="BJ136" s="43">
        <v>0</v>
      </c>
      <c r="BK136" s="43">
        <v>0</v>
      </c>
      <c r="BL136" s="43">
        <v>0</v>
      </c>
      <c r="BM136" s="36" t="s">
        <v>1</v>
      </c>
      <c r="BN136" s="60">
        <v>60</v>
      </c>
      <c r="BO136" s="38">
        <f t="shared" si="18"/>
        <v>8.5</v>
      </c>
      <c r="BP136" s="96">
        <v>300</v>
      </c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3"/>
      <c r="CF136" s="47" t="s">
        <v>12</v>
      </c>
      <c r="CG136" s="43">
        <v>0</v>
      </c>
      <c r="CI136" s="43">
        <v>4.57</v>
      </c>
      <c r="CR136" s="43">
        <v>0</v>
      </c>
      <c r="CS136" s="43">
        <v>0</v>
      </c>
      <c r="CT136" s="70">
        <v>0</v>
      </c>
      <c r="CU136" s="43">
        <v>1</v>
      </c>
      <c r="CV136" s="70">
        <v>0</v>
      </c>
      <c r="CW136" s="70">
        <v>0</v>
      </c>
      <c r="CX136" s="70">
        <v>0</v>
      </c>
      <c r="CY136" s="70">
        <v>0</v>
      </c>
      <c r="CZ136" s="70">
        <v>0</v>
      </c>
      <c r="DA136" s="70">
        <v>0</v>
      </c>
      <c r="DB136" s="70">
        <v>0</v>
      </c>
      <c r="DD136" s="43">
        <v>2</v>
      </c>
      <c r="DI136" s="43" t="s">
        <v>0</v>
      </c>
    </row>
    <row r="137" spans="1:113" s="43" customFormat="1" ht="15.75" thickBot="1" x14ac:dyDescent="0.3">
      <c r="A137" s="43">
        <v>528489</v>
      </c>
      <c r="B137" s="43" t="s">
        <v>6</v>
      </c>
      <c r="C137" s="56" t="s">
        <v>15</v>
      </c>
      <c r="D137" s="43">
        <v>60</v>
      </c>
      <c r="E137" s="43">
        <v>0</v>
      </c>
      <c r="F137" s="43">
        <v>60</v>
      </c>
      <c r="G137" s="43">
        <v>5</v>
      </c>
      <c r="H137" s="43">
        <v>0</v>
      </c>
      <c r="I137" s="43">
        <v>25</v>
      </c>
      <c r="J137" s="57" t="s">
        <v>400</v>
      </c>
      <c r="K137" s="57" t="s">
        <v>401</v>
      </c>
      <c r="L137" s="59">
        <v>45966.497187499997</v>
      </c>
      <c r="M137" s="43">
        <v>0</v>
      </c>
      <c r="N137" s="43">
        <v>0</v>
      </c>
      <c r="O137" s="43">
        <v>0</v>
      </c>
      <c r="S137" s="43" t="b">
        <v>0</v>
      </c>
      <c r="T137" s="43">
        <v>2</v>
      </c>
      <c r="U137" s="55">
        <v>5.5</v>
      </c>
      <c r="V137" s="43">
        <v>2</v>
      </c>
      <c r="W137" s="43">
        <v>0</v>
      </c>
      <c r="X137" s="43">
        <v>500</v>
      </c>
      <c r="Z137" s="43">
        <v>10</v>
      </c>
      <c r="AB137" s="55">
        <v>50</v>
      </c>
      <c r="AD137" s="43">
        <v>80</v>
      </c>
      <c r="AF137" s="43">
        <v>2000</v>
      </c>
      <c r="AG137" s="43">
        <v>2</v>
      </c>
      <c r="AH137" s="43">
        <v>5.679999828338623</v>
      </c>
      <c r="AI137" s="43">
        <v>665</v>
      </c>
      <c r="AJ137" s="43">
        <v>0</v>
      </c>
      <c r="AK137" s="43">
        <v>167</v>
      </c>
      <c r="AM137" s="43" t="s">
        <v>2</v>
      </c>
      <c r="AO137" s="43">
        <v>50</v>
      </c>
      <c r="AW137" s="43" t="b">
        <v>0</v>
      </c>
      <c r="BD137" s="43" t="s">
        <v>433</v>
      </c>
      <c r="BF137" s="43">
        <v>1.6</v>
      </c>
      <c r="BG137" s="43">
        <v>1</v>
      </c>
      <c r="BH137" s="43">
        <v>0.55000000000000004</v>
      </c>
      <c r="BI137" s="43">
        <v>0</v>
      </c>
      <c r="BJ137" s="43">
        <v>0</v>
      </c>
      <c r="BK137" s="43">
        <v>0</v>
      </c>
      <c r="BL137" s="43">
        <v>0</v>
      </c>
      <c r="BM137" s="36" t="s">
        <v>1</v>
      </c>
      <c r="BN137" s="60">
        <f t="shared" si="17"/>
        <v>60</v>
      </c>
      <c r="BO137" s="38">
        <f t="shared" si="18"/>
        <v>5.5</v>
      </c>
      <c r="BP137" s="96">
        <v>250</v>
      </c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3"/>
      <c r="CF137" s="47" t="s">
        <v>12</v>
      </c>
      <c r="CG137" s="43">
        <v>0</v>
      </c>
      <c r="CI137" s="43">
        <v>2.68</v>
      </c>
      <c r="CR137" s="43">
        <v>0</v>
      </c>
      <c r="CS137" s="43">
        <v>0</v>
      </c>
      <c r="CT137" s="70">
        <v>0</v>
      </c>
      <c r="CU137" s="43">
        <v>1</v>
      </c>
      <c r="CV137" s="70">
        <v>0</v>
      </c>
      <c r="CW137" s="70">
        <v>0</v>
      </c>
      <c r="CX137" s="70">
        <v>0</v>
      </c>
      <c r="CY137" s="70">
        <v>0</v>
      </c>
      <c r="CZ137" s="70">
        <v>0</v>
      </c>
      <c r="DA137" s="70">
        <v>0</v>
      </c>
      <c r="DB137" s="70">
        <v>0</v>
      </c>
      <c r="DD137" s="43">
        <v>2</v>
      </c>
      <c r="DI137" s="43" t="s">
        <v>0</v>
      </c>
    </row>
    <row r="138" spans="1:113" s="43" customFormat="1" ht="15.75" thickBot="1" x14ac:dyDescent="0.3">
      <c r="A138" s="43">
        <v>528490</v>
      </c>
      <c r="B138" s="43" t="s">
        <v>6</v>
      </c>
      <c r="C138" s="56" t="s">
        <v>15</v>
      </c>
      <c r="D138" s="43">
        <v>60</v>
      </c>
      <c r="E138" s="43">
        <v>0</v>
      </c>
      <c r="F138" s="43">
        <v>60</v>
      </c>
      <c r="G138" s="43">
        <v>6</v>
      </c>
      <c r="H138" s="43">
        <v>0</v>
      </c>
      <c r="I138" s="43">
        <v>25</v>
      </c>
      <c r="J138" s="57" t="s">
        <v>402</v>
      </c>
      <c r="K138" s="57" t="s">
        <v>403</v>
      </c>
      <c r="L138" s="59">
        <v>45966.49728009259</v>
      </c>
      <c r="M138" s="43">
        <v>0</v>
      </c>
      <c r="N138" s="43">
        <v>0</v>
      </c>
      <c r="O138" s="43">
        <v>0</v>
      </c>
      <c r="S138" s="43" t="b">
        <v>0</v>
      </c>
      <c r="T138" s="43">
        <v>2</v>
      </c>
      <c r="U138" s="55">
        <v>5</v>
      </c>
      <c r="V138" s="43">
        <v>2</v>
      </c>
      <c r="W138" s="43">
        <v>0</v>
      </c>
      <c r="X138" s="43">
        <v>500</v>
      </c>
      <c r="Z138" s="43">
        <v>10</v>
      </c>
      <c r="AB138" s="55">
        <v>50</v>
      </c>
      <c r="AD138" s="43">
        <v>80</v>
      </c>
      <c r="AF138" s="43">
        <v>2000</v>
      </c>
      <c r="AG138" s="43">
        <v>2</v>
      </c>
      <c r="AH138" s="43">
        <v>5.1399998664855957</v>
      </c>
      <c r="AI138" s="43">
        <v>622</v>
      </c>
      <c r="AJ138" s="43">
        <v>0</v>
      </c>
      <c r="AK138" s="43">
        <v>140</v>
      </c>
      <c r="AM138" s="43" t="s">
        <v>2</v>
      </c>
      <c r="AO138" s="43">
        <v>50</v>
      </c>
      <c r="AW138" s="43" t="b">
        <v>0</v>
      </c>
      <c r="BD138" s="43" t="s">
        <v>433</v>
      </c>
      <c r="BF138" s="43">
        <v>1.6</v>
      </c>
      <c r="BG138" s="43">
        <v>1</v>
      </c>
      <c r="BH138" s="43">
        <v>0.55000000000000004</v>
      </c>
      <c r="BI138" s="43">
        <v>0</v>
      </c>
      <c r="BJ138" s="43">
        <v>0</v>
      </c>
      <c r="BK138" s="43">
        <v>0</v>
      </c>
      <c r="BL138" s="43">
        <v>0</v>
      </c>
      <c r="BM138" s="36" t="s">
        <v>1</v>
      </c>
      <c r="BN138" s="60">
        <f t="shared" si="17"/>
        <v>60</v>
      </c>
      <c r="BO138" s="38">
        <f t="shared" si="18"/>
        <v>5</v>
      </c>
      <c r="BP138" s="96">
        <v>250</v>
      </c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3"/>
      <c r="CF138" s="47" t="s">
        <v>12</v>
      </c>
      <c r="CG138" s="43">
        <v>0</v>
      </c>
      <c r="CI138" s="43">
        <v>2.68</v>
      </c>
      <c r="CR138" s="43">
        <v>0</v>
      </c>
      <c r="CS138" s="43">
        <v>0</v>
      </c>
      <c r="CT138" s="70">
        <v>0</v>
      </c>
      <c r="CU138" s="43">
        <v>1</v>
      </c>
      <c r="CV138" s="70">
        <v>0</v>
      </c>
      <c r="CW138" s="70">
        <v>0</v>
      </c>
      <c r="CX138" s="70">
        <v>0</v>
      </c>
      <c r="CY138" s="70">
        <v>0</v>
      </c>
      <c r="CZ138" s="70">
        <v>0</v>
      </c>
      <c r="DA138" s="70">
        <v>0</v>
      </c>
      <c r="DB138" s="70">
        <v>0</v>
      </c>
      <c r="DD138" s="43">
        <v>2</v>
      </c>
      <c r="DI138" s="43" t="s">
        <v>0</v>
      </c>
    </row>
    <row r="139" spans="1:113" s="43" customFormat="1" ht="15.75" thickBot="1" x14ac:dyDescent="0.3">
      <c r="A139" s="43">
        <v>528491</v>
      </c>
      <c r="B139" s="43" t="s">
        <v>6</v>
      </c>
      <c r="C139" s="56" t="s">
        <v>15</v>
      </c>
      <c r="D139" s="43">
        <v>60</v>
      </c>
      <c r="E139" s="43">
        <v>0</v>
      </c>
      <c r="F139" s="43">
        <v>60</v>
      </c>
      <c r="G139" s="43">
        <v>7</v>
      </c>
      <c r="H139" s="43">
        <v>0</v>
      </c>
      <c r="I139" s="43">
        <v>17</v>
      </c>
      <c r="J139" s="57" t="s">
        <v>404</v>
      </c>
      <c r="K139" s="57" t="s">
        <v>405</v>
      </c>
      <c r="L139" s="59">
        <v>45966.497407407405</v>
      </c>
      <c r="M139" s="43">
        <v>0</v>
      </c>
      <c r="N139" s="43">
        <v>0</v>
      </c>
      <c r="O139" s="43">
        <v>0</v>
      </c>
      <c r="S139" s="43" t="b">
        <v>0</v>
      </c>
      <c r="T139" s="43">
        <v>2</v>
      </c>
      <c r="U139" s="55">
        <v>6.5</v>
      </c>
      <c r="V139" s="43">
        <v>2</v>
      </c>
      <c r="W139" s="43">
        <v>0</v>
      </c>
      <c r="X139" s="43">
        <v>500</v>
      </c>
      <c r="Z139" s="43">
        <v>10</v>
      </c>
      <c r="AB139" s="55">
        <v>35</v>
      </c>
      <c r="AD139" s="43">
        <v>80</v>
      </c>
      <c r="AF139" s="43">
        <v>2000</v>
      </c>
      <c r="AG139" s="43">
        <v>2</v>
      </c>
      <c r="AH139" s="43">
        <v>6.7899999618530273</v>
      </c>
      <c r="AI139" s="43">
        <v>694</v>
      </c>
      <c r="AJ139" s="43">
        <v>0</v>
      </c>
      <c r="AK139" s="43">
        <v>136</v>
      </c>
      <c r="AM139" s="43" t="s">
        <v>2</v>
      </c>
      <c r="AO139" s="43">
        <v>34</v>
      </c>
      <c r="AW139" s="43" t="b">
        <v>0</v>
      </c>
      <c r="BD139" s="43" t="s">
        <v>433</v>
      </c>
      <c r="BF139" s="43">
        <v>1.6</v>
      </c>
      <c r="BG139" s="43">
        <v>1</v>
      </c>
      <c r="BH139" s="43">
        <v>0.55000000000000004</v>
      </c>
      <c r="BI139" s="43">
        <v>0</v>
      </c>
      <c r="BJ139" s="43">
        <v>0</v>
      </c>
      <c r="BK139" s="43">
        <v>0</v>
      </c>
      <c r="BL139" s="43">
        <v>0</v>
      </c>
      <c r="BM139" s="36" t="s">
        <v>1</v>
      </c>
      <c r="BN139" s="60">
        <f t="shared" si="17"/>
        <v>60</v>
      </c>
      <c r="BO139" s="38">
        <f t="shared" si="18"/>
        <v>6.5</v>
      </c>
      <c r="BP139" s="96">
        <v>250</v>
      </c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3"/>
      <c r="CF139" s="47" t="s">
        <v>12</v>
      </c>
      <c r="CG139" s="43">
        <v>0</v>
      </c>
      <c r="CI139" s="43">
        <v>2.68</v>
      </c>
      <c r="CR139" s="43">
        <v>0</v>
      </c>
      <c r="CS139" s="43">
        <v>0</v>
      </c>
      <c r="CT139" s="70">
        <v>0</v>
      </c>
      <c r="CU139" s="43">
        <v>1</v>
      </c>
      <c r="CV139" s="70">
        <v>0</v>
      </c>
      <c r="CW139" s="70">
        <v>0</v>
      </c>
      <c r="CX139" s="70">
        <v>0</v>
      </c>
      <c r="CY139" s="70">
        <v>0</v>
      </c>
      <c r="CZ139" s="70">
        <v>0</v>
      </c>
      <c r="DA139" s="70">
        <v>0</v>
      </c>
      <c r="DB139" s="70">
        <v>0</v>
      </c>
      <c r="DD139" s="43">
        <v>2</v>
      </c>
      <c r="DI139" s="43" t="s">
        <v>0</v>
      </c>
    </row>
    <row r="140" spans="1:113" s="43" customFormat="1" ht="15.75" thickBot="1" x14ac:dyDescent="0.3">
      <c r="A140" s="43">
        <v>528492</v>
      </c>
      <c r="B140" s="43" t="s">
        <v>6</v>
      </c>
      <c r="C140" s="56" t="s">
        <v>15</v>
      </c>
      <c r="D140" s="43">
        <v>60</v>
      </c>
      <c r="E140" s="43">
        <v>0</v>
      </c>
      <c r="F140" s="43">
        <v>60</v>
      </c>
      <c r="G140" s="43">
        <v>8</v>
      </c>
      <c r="H140" s="43">
        <v>0</v>
      </c>
      <c r="I140" s="43">
        <v>12</v>
      </c>
      <c r="J140" s="57" t="s">
        <v>406</v>
      </c>
      <c r="K140" s="57" t="s">
        <v>407</v>
      </c>
      <c r="L140" s="59">
        <v>45966.497511574074</v>
      </c>
      <c r="M140" s="43">
        <v>0</v>
      </c>
      <c r="N140" s="43">
        <v>0</v>
      </c>
      <c r="O140" s="43">
        <v>0</v>
      </c>
      <c r="S140" s="43" t="b">
        <v>0</v>
      </c>
      <c r="T140" s="43">
        <v>2</v>
      </c>
      <c r="U140" s="55">
        <v>6.5</v>
      </c>
      <c r="V140" s="43">
        <v>2</v>
      </c>
      <c r="W140" s="43">
        <v>0</v>
      </c>
      <c r="X140" s="43">
        <v>500</v>
      </c>
      <c r="Z140" s="43">
        <v>10</v>
      </c>
      <c r="AB140" s="55">
        <v>25</v>
      </c>
      <c r="AD140" s="43">
        <v>80</v>
      </c>
      <c r="AF140" s="43">
        <v>2000</v>
      </c>
      <c r="AG140" s="43">
        <v>2</v>
      </c>
      <c r="AH140" s="43">
        <v>6.929999828338623</v>
      </c>
      <c r="AI140" s="43">
        <v>648</v>
      </c>
      <c r="AJ140" s="43">
        <v>0</v>
      </c>
      <c r="AK140" s="43">
        <v>81</v>
      </c>
      <c r="AM140" s="43" t="s">
        <v>2</v>
      </c>
      <c r="AO140" s="43">
        <v>24</v>
      </c>
      <c r="AW140" s="43" t="b">
        <v>0</v>
      </c>
      <c r="BD140" s="43" t="s">
        <v>433</v>
      </c>
      <c r="BF140" s="43">
        <v>1.6</v>
      </c>
      <c r="BG140" s="43">
        <v>1</v>
      </c>
      <c r="BH140" s="43">
        <v>0.55000000000000004</v>
      </c>
      <c r="BI140" s="43">
        <v>0</v>
      </c>
      <c r="BJ140" s="43">
        <v>0</v>
      </c>
      <c r="BK140" s="43">
        <v>0</v>
      </c>
      <c r="BL140" s="43">
        <v>0</v>
      </c>
      <c r="BM140" s="36" t="s">
        <v>1</v>
      </c>
      <c r="BN140" s="60">
        <f t="shared" si="17"/>
        <v>60</v>
      </c>
      <c r="BO140" s="38">
        <f t="shared" si="18"/>
        <v>6.5</v>
      </c>
      <c r="BP140" s="96">
        <v>250</v>
      </c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3"/>
      <c r="CF140" s="47" t="s">
        <v>12</v>
      </c>
      <c r="CG140" s="43">
        <v>0</v>
      </c>
      <c r="CI140" s="43">
        <v>2.68</v>
      </c>
      <c r="CR140" s="43">
        <v>0</v>
      </c>
      <c r="CS140" s="43">
        <v>0</v>
      </c>
      <c r="CT140" s="70">
        <v>0</v>
      </c>
      <c r="CU140" s="43">
        <v>1</v>
      </c>
      <c r="CV140" s="70">
        <v>0</v>
      </c>
      <c r="CW140" s="70">
        <v>0</v>
      </c>
      <c r="CX140" s="70">
        <v>0</v>
      </c>
      <c r="CY140" s="70">
        <v>0</v>
      </c>
      <c r="CZ140" s="70">
        <v>0</v>
      </c>
      <c r="DA140" s="70">
        <v>0</v>
      </c>
      <c r="DB140" s="70">
        <v>0</v>
      </c>
      <c r="DD140" s="43">
        <v>2</v>
      </c>
      <c r="DI140" s="43" t="s">
        <v>0</v>
      </c>
    </row>
    <row r="141" spans="1:113" s="43" customFormat="1" ht="15.75" thickBot="1" x14ac:dyDescent="0.3">
      <c r="A141" s="43">
        <v>528495</v>
      </c>
      <c r="B141" s="43" t="s">
        <v>6</v>
      </c>
      <c r="C141" s="56" t="s">
        <v>15</v>
      </c>
      <c r="D141" s="43">
        <v>60</v>
      </c>
      <c r="E141" s="43">
        <v>0</v>
      </c>
      <c r="F141" s="43">
        <v>60</v>
      </c>
      <c r="G141" s="43">
        <v>11</v>
      </c>
      <c r="H141" s="43">
        <v>0</v>
      </c>
      <c r="I141" s="43">
        <v>17</v>
      </c>
      <c r="J141" s="57" t="s">
        <v>408</v>
      </c>
      <c r="K141" s="57" t="s">
        <v>409</v>
      </c>
      <c r="L141" s="59">
        <v>45966.498414351852</v>
      </c>
      <c r="M141" s="43">
        <v>0</v>
      </c>
      <c r="N141" s="43">
        <v>0</v>
      </c>
      <c r="O141" s="43">
        <v>0</v>
      </c>
      <c r="S141" s="43" t="b">
        <v>0</v>
      </c>
      <c r="T141" s="43">
        <v>2</v>
      </c>
      <c r="U141" s="55">
        <v>5.5</v>
      </c>
      <c r="V141" s="43">
        <v>2</v>
      </c>
      <c r="W141" s="43">
        <v>0</v>
      </c>
      <c r="X141" s="43">
        <v>500</v>
      </c>
      <c r="Z141" s="43">
        <v>10</v>
      </c>
      <c r="AB141" s="55">
        <v>35</v>
      </c>
      <c r="AD141" s="43">
        <v>80</v>
      </c>
      <c r="AF141" s="43">
        <v>2000</v>
      </c>
      <c r="AG141" s="43">
        <v>2</v>
      </c>
      <c r="AH141" s="43">
        <v>5.8499999046325684</v>
      </c>
      <c r="AI141" s="43">
        <v>631</v>
      </c>
      <c r="AJ141" s="43">
        <v>0</v>
      </c>
      <c r="AK141" s="43">
        <v>105</v>
      </c>
      <c r="AM141" s="43" t="s">
        <v>2</v>
      </c>
      <c r="AO141" s="43">
        <v>34</v>
      </c>
      <c r="AW141" s="43" t="b">
        <v>0</v>
      </c>
      <c r="BD141" s="43" t="s">
        <v>434</v>
      </c>
      <c r="BF141" s="43">
        <v>0.55000000000000004</v>
      </c>
      <c r="BG141" s="43">
        <v>0.9</v>
      </c>
      <c r="BH141" s="43">
        <v>0.55000000000000004</v>
      </c>
      <c r="BI141" s="43">
        <v>0</v>
      </c>
      <c r="BJ141" s="43">
        <v>0</v>
      </c>
      <c r="BK141" s="43">
        <v>0</v>
      </c>
      <c r="BL141" s="43">
        <v>0</v>
      </c>
      <c r="BM141" s="36" t="s">
        <v>1</v>
      </c>
      <c r="BN141" s="60">
        <f t="shared" si="17"/>
        <v>60</v>
      </c>
      <c r="BO141" s="38">
        <f t="shared" si="18"/>
        <v>5.5</v>
      </c>
      <c r="BP141" s="96">
        <v>250</v>
      </c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3"/>
      <c r="CF141" s="47" t="s">
        <v>16</v>
      </c>
      <c r="CI141" s="43">
        <v>2.68</v>
      </c>
      <c r="CR141" s="43">
        <v>0</v>
      </c>
      <c r="CS141" s="43">
        <v>0</v>
      </c>
      <c r="CT141" s="70">
        <v>0</v>
      </c>
      <c r="CU141" s="43">
        <v>0</v>
      </c>
      <c r="CV141" s="70">
        <v>0</v>
      </c>
      <c r="CW141" s="70">
        <v>0</v>
      </c>
      <c r="CX141" s="70">
        <v>0</v>
      </c>
      <c r="CY141" s="70">
        <v>0</v>
      </c>
      <c r="CZ141" s="70">
        <v>0</v>
      </c>
      <c r="DA141" s="70">
        <v>0</v>
      </c>
      <c r="DB141" s="70">
        <v>0</v>
      </c>
      <c r="DD141" s="43">
        <v>0</v>
      </c>
      <c r="DI141" s="43" t="s">
        <v>0</v>
      </c>
    </row>
    <row r="142" spans="1:113" s="43" customFormat="1" ht="15.75" thickBot="1" x14ac:dyDescent="0.3">
      <c r="A142" s="43">
        <v>528497</v>
      </c>
      <c r="B142" s="43" t="s">
        <v>6</v>
      </c>
      <c r="C142" s="56" t="s">
        <v>15</v>
      </c>
      <c r="D142" s="43">
        <v>60</v>
      </c>
      <c r="E142" s="43">
        <v>0</v>
      </c>
      <c r="F142" s="43">
        <v>60</v>
      </c>
      <c r="G142" s="43">
        <v>13</v>
      </c>
      <c r="H142" s="43">
        <v>0</v>
      </c>
      <c r="I142" s="43">
        <v>25</v>
      </c>
      <c r="J142" s="57" t="s">
        <v>410</v>
      </c>
      <c r="K142" s="57" t="s">
        <v>411</v>
      </c>
      <c r="L142" s="59">
        <v>45966.499328703707</v>
      </c>
      <c r="M142" s="43">
        <v>0</v>
      </c>
      <c r="N142" s="43">
        <v>0</v>
      </c>
      <c r="O142" s="43">
        <v>0</v>
      </c>
      <c r="S142" s="43" t="b">
        <v>0</v>
      </c>
      <c r="T142" s="43">
        <v>2</v>
      </c>
      <c r="U142" s="55">
        <v>7</v>
      </c>
      <c r="V142" s="43">
        <v>2</v>
      </c>
      <c r="W142" s="43">
        <v>0</v>
      </c>
      <c r="X142" s="43">
        <v>500</v>
      </c>
      <c r="Z142" s="43">
        <v>10</v>
      </c>
      <c r="AB142" s="55">
        <v>50</v>
      </c>
      <c r="AD142" s="43">
        <v>80</v>
      </c>
      <c r="AF142" s="43">
        <v>2000</v>
      </c>
      <c r="AG142" s="43">
        <v>2</v>
      </c>
      <c r="AH142" s="43">
        <v>7.1999998092651367</v>
      </c>
      <c r="AI142" s="43">
        <v>826</v>
      </c>
      <c r="AJ142" s="43">
        <v>0</v>
      </c>
      <c r="AK142" s="43">
        <v>267</v>
      </c>
      <c r="AM142" s="43" t="s">
        <v>2</v>
      </c>
      <c r="AO142" s="43">
        <v>50</v>
      </c>
      <c r="AW142" s="43" t="b">
        <v>0</v>
      </c>
      <c r="BD142" s="43" t="s">
        <v>435</v>
      </c>
      <c r="BF142" s="43">
        <v>1.6</v>
      </c>
      <c r="BG142" s="43">
        <v>1</v>
      </c>
      <c r="BH142" s="43">
        <v>1</v>
      </c>
      <c r="BI142" s="43">
        <v>0.55000000000000004</v>
      </c>
      <c r="BJ142" s="43">
        <v>0</v>
      </c>
      <c r="BK142" s="43">
        <v>0</v>
      </c>
      <c r="BL142" s="43">
        <v>0</v>
      </c>
      <c r="BM142" s="36" t="s">
        <v>1</v>
      </c>
      <c r="BN142" s="60">
        <f t="shared" si="17"/>
        <v>60</v>
      </c>
      <c r="BO142" s="38">
        <f t="shared" si="18"/>
        <v>7</v>
      </c>
      <c r="BP142" s="96">
        <v>250</v>
      </c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3"/>
      <c r="CF142" s="47" t="s">
        <v>12</v>
      </c>
      <c r="CG142" s="43">
        <v>0</v>
      </c>
      <c r="CI142" s="43">
        <v>5.08</v>
      </c>
      <c r="CR142" s="43">
        <v>0</v>
      </c>
      <c r="CS142" s="43">
        <v>0</v>
      </c>
      <c r="CT142" s="70">
        <v>0</v>
      </c>
      <c r="CU142" s="43">
        <v>1</v>
      </c>
      <c r="CV142" s="70">
        <v>0</v>
      </c>
      <c r="CW142" s="70">
        <v>0</v>
      </c>
      <c r="CX142" s="70">
        <v>0</v>
      </c>
      <c r="CY142" s="70">
        <v>0</v>
      </c>
      <c r="CZ142" s="70">
        <v>0</v>
      </c>
      <c r="DA142" s="70">
        <v>0</v>
      </c>
      <c r="DB142" s="70">
        <v>0</v>
      </c>
      <c r="DD142" s="43">
        <v>2</v>
      </c>
      <c r="DI142" s="43" t="s">
        <v>0</v>
      </c>
    </row>
    <row r="143" spans="1:113" s="43" customFormat="1" ht="15.75" thickBot="1" x14ac:dyDescent="0.3">
      <c r="A143" s="43">
        <v>528498</v>
      </c>
      <c r="B143" s="43" t="s">
        <v>6</v>
      </c>
      <c r="C143" s="56" t="s">
        <v>15</v>
      </c>
      <c r="D143" s="43">
        <v>60</v>
      </c>
      <c r="E143" s="43">
        <v>0</v>
      </c>
      <c r="F143" s="43">
        <v>60</v>
      </c>
      <c r="G143" s="43">
        <v>14</v>
      </c>
      <c r="H143" s="43">
        <v>0</v>
      </c>
      <c r="I143" s="43">
        <v>25</v>
      </c>
      <c r="J143" s="57" t="s">
        <v>412</v>
      </c>
      <c r="K143" s="57" t="s">
        <v>413</v>
      </c>
      <c r="L143" s="59">
        <v>45966.499409722222</v>
      </c>
      <c r="M143" s="43">
        <v>0</v>
      </c>
      <c r="N143" s="43">
        <v>0</v>
      </c>
      <c r="O143" s="43">
        <v>0</v>
      </c>
      <c r="S143" s="43" t="b">
        <v>0</v>
      </c>
      <c r="T143" s="43">
        <v>2</v>
      </c>
      <c r="U143" s="55">
        <v>6.5</v>
      </c>
      <c r="V143" s="43">
        <v>2</v>
      </c>
      <c r="W143" s="43">
        <v>0</v>
      </c>
      <c r="X143" s="43">
        <v>500</v>
      </c>
      <c r="Z143" s="43">
        <v>10</v>
      </c>
      <c r="AB143" s="55">
        <v>50</v>
      </c>
      <c r="AD143" s="43">
        <v>80</v>
      </c>
      <c r="AF143" s="43">
        <v>2000</v>
      </c>
      <c r="AG143" s="43">
        <v>2</v>
      </c>
      <c r="AH143" s="43">
        <v>6.690000057220459</v>
      </c>
      <c r="AI143" s="43">
        <v>745</v>
      </c>
      <c r="AJ143" s="43">
        <v>0</v>
      </c>
      <c r="AK143" s="43">
        <v>222</v>
      </c>
      <c r="AM143" s="43" t="s">
        <v>2</v>
      </c>
      <c r="AO143" s="43">
        <v>50</v>
      </c>
      <c r="AW143" s="43" t="b">
        <v>0</v>
      </c>
      <c r="BD143" s="43" t="s">
        <v>435</v>
      </c>
      <c r="BF143" s="43">
        <v>1.6</v>
      </c>
      <c r="BG143" s="43">
        <v>1</v>
      </c>
      <c r="BH143" s="43">
        <v>1</v>
      </c>
      <c r="BI143" s="43">
        <v>0.55000000000000004</v>
      </c>
      <c r="BJ143" s="43">
        <v>0</v>
      </c>
      <c r="BK143" s="43">
        <v>0</v>
      </c>
      <c r="BL143" s="43">
        <v>0</v>
      </c>
      <c r="BM143" s="36" t="s">
        <v>1</v>
      </c>
      <c r="BN143" s="60">
        <f t="shared" si="17"/>
        <v>60</v>
      </c>
      <c r="BO143" s="38">
        <f t="shared" si="18"/>
        <v>6.5</v>
      </c>
      <c r="BP143" s="96">
        <v>250</v>
      </c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3"/>
      <c r="CF143" s="47" t="s">
        <v>12</v>
      </c>
      <c r="CG143" s="43">
        <v>0</v>
      </c>
      <c r="CI143" s="43">
        <v>5.08</v>
      </c>
      <c r="CR143" s="43">
        <v>0</v>
      </c>
      <c r="CS143" s="43">
        <v>0</v>
      </c>
      <c r="CT143" s="70">
        <v>0</v>
      </c>
      <c r="CU143" s="43">
        <v>1</v>
      </c>
      <c r="CV143" s="70">
        <v>0</v>
      </c>
      <c r="CW143" s="70">
        <v>0</v>
      </c>
      <c r="CX143" s="70">
        <v>0</v>
      </c>
      <c r="CY143" s="70">
        <v>0</v>
      </c>
      <c r="CZ143" s="70">
        <v>0</v>
      </c>
      <c r="DA143" s="70">
        <v>0</v>
      </c>
      <c r="DB143" s="70">
        <v>0</v>
      </c>
      <c r="DD143" s="43">
        <v>2</v>
      </c>
      <c r="DI143" s="43" t="s">
        <v>0</v>
      </c>
    </row>
    <row r="144" spans="1:113" s="43" customFormat="1" ht="15.75" thickBot="1" x14ac:dyDescent="0.3">
      <c r="A144" s="43">
        <v>528499</v>
      </c>
      <c r="B144" s="43" t="s">
        <v>6</v>
      </c>
      <c r="C144" s="56" t="s">
        <v>15</v>
      </c>
      <c r="D144" s="43">
        <v>60</v>
      </c>
      <c r="E144" s="43">
        <v>0</v>
      </c>
      <c r="F144" s="43">
        <v>60</v>
      </c>
      <c r="G144" s="43">
        <v>15</v>
      </c>
      <c r="H144" s="43">
        <v>0</v>
      </c>
      <c r="I144" s="43">
        <v>17</v>
      </c>
      <c r="J144" s="57" t="s">
        <v>414</v>
      </c>
      <c r="K144" s="57" t="s">
        <v>415</v>
      </c>
      <c r="L144" s="59">
        <v>45966.499525462961</v>
      </c>
      <c r="M144" s="43">
        <v>0</v>
      </c>
      <c r="N144" s="43">
        <v>0</v>
      </c>
      <c r="O144" s="43">
        <v>0</v>
      </c>
      <c r="S144" s="43" t="b">
        <v>0</v>
      </c>
      <c r="T144" s="43">
        <v>2</v>
      </c>
      <c r="U144" s="55">
        <v>7.5</v>
      </c>
      <c r="V144" s="43">
        <v>2</v>
      </c>
      <c r="W144" s="43">
        <v>0</v>
      </c>
      <c r="X144" s="43">
        <v>500</v>
      </c>
      <c r="Z144" s="43">
        <v>10</v>
      </c>
      <c r="AB144" s="55">
        <v>35</v>
      </c>
      <c r="AD144" s="43">
        <v>80</v>
      </c>
      <c r="AF144" s="43">
        <v>2000</v>
      </c>
      <c r="AG144" s="43">
        <v>2</v>
      </c>
      <c r="AH144" s="43">
        <v>7.7899999618530273</v>
      </c>
      <c r="AI144" s="43">
        <v>775</v>
      </c>
      <c r="AJ144" s="43">
        <v>0</v>
      </c>
      <c r="AK144" s="43">
        <v>176</v>
      </c>
      <c r="AM144" s="43" t="s">
        <v>2</v>
      </c>
      <c r="AO144" s="43">
        <v>34</v>
      </c>
      <c r="AW144" s="43" t="b">
        <v>0</v>
      </c>
      <c r="BD144" s="43" t="s">
        <v>435</v>
      </c>
      <c r="BF144" s="43">
        <v>1.6</v>
      </c>
      <c r="BG144" s="43">
        <v>1</v>
      </c>
      <c r="BH144" s="43">
        <v>1</v>
      </c>
      <c r="BI144" s="43">
        <v>0.55000000000000004</v>
      </c>
      <c r="BJ144" s="43">
        <v>0</v>
      </c>
      <c r="BK144" s="43">
        <v>0</v>
      </c>
      <c r="BL144" s="43">
        <v>0</v>
      </c>
      <c r="BM144" s="36" t="s">
        <v>1</v>
      </c>
      <c r="BN144" s="60">
        <f t="shared" si="17"/>
        <v>60</v>
      </c>
      <c r="BO144" s="38">
        <f t="shared" si="18"/>
        <v>7.5</v>
      </c>
      <c r="BP144" s="96">
        <v>250</v>
      </c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3"/>
      <c r="CF144" s="47" t="s">
        <v>12</v>
      </c>
      <c r="CG144" s="43">
        <v>0</v>
      </c>
      <c r="CI144" s="43">
        <v>5.08</v>
      </c>
      <c r="CR144" s="43">
        <v>0</v>
      </c>
      <c r="CS144" s="43">
        <v>0</v>
      </c>
      <c r="CT144" s="70">
        <v>0</v>
      </c>
      <c r="CU144" s="43">
        <v>1</v>
      </c>
      <c r="CV144" s="70">
        <v>0</v>
      </c>
      <c r="CW144" s="70">
        <v>0</v>
      </c>
      <c r="CX144" s="70">
        <v>0</v>
      </c>
      <c r="CY144" s="70">
        <v>0</v>
      </c>
      <c r="CZ144" s="70">
        <v>0</v>
      </c>
      <c r="DA144" s="70">
        <v>0</v>
      </c>
      <c r="DB144" s="70">
        <v>0</v>
      </c>
      <c r="DD144" s="43">
        <v>2</v>
      </c>
      <c r="DI144" s="43" t="s">
        <v>0</v>
      </c>
    </row>
    <row r="145" spans="1:113" s="43" customFormat="1" ht="15.75" thickBot="1" x14ac:dyDescent="0.3">
      <c r="A145" s="43">
        <v>528500</v>
      </c>
      <c r="B145" s="43" t="s">
        <v>6</v>
      </c>
      <c r="C145" s="56" t="s">
        <v>15</v>
      </c>
      <c r="D145" s="43">
        <v>60</v>
      </c>
      <c r="E145" s="43">
        <v>0</v>
      </c>
      <c r="F145" s="43">
        <v>60</v>
      </c>
      <c r="G145" s="43">
        <v>16</v>
      </c>
      <c r="H145" s="43">
        <v>0</v>
      </c>
      <c r="I145" s="43">
        <v>12</v>
      </c>
      <c r="J145" s="57" t="s">
        <v>416</v>
      </c>
      <c r="K145" s="57" t="s">
        <v>417</v>
      </c>
      <c r="L145" s="59">
        <v>45966.499606481484</v>
      </c>
      <c r="M145" s="43">
        <v>0</v>
      </c>
      <c r="N145" s="43">
        <v>0</v>
      </c>
      <c r="O145" s="43">
        <v>0</v>
      </c>
      <c r="S145" s="43" t="b">
        <v>0</v>
      </c>
      <c r="T145" s="43">
        <v>2</v>
      </c>
      <c r="U145" s="55">
        <v>7.5</v>
      </c>
      <c r="V145" s="43">
        <v>2</v>
      </c>
      <c r="W145" s="43">
        <v>0</v>
      </c>
      <c r="X145" s="43">
        <v>500</v>
      </c>
      <c r="Z145" s="43">
        <v>10</v>
      </c>
      <c r="AB145" s="55">
        <v>25</v>
      </c>
      <c r="AD145" s="43">
        <v>80</v>
      </c>
      <c r="AF145" s="43">
        <v>2000</v>
      </c>
      <c r="AG145" s="43">
        <v>2</v>
      </c>
      <c r="AH145" s="43">
        <v>8</v>
      </c>
      <c r="AI145" s="43">
        <v>732</v>
      </c>
      <c r="AJ145" s="43">
        <v>0</v>
      </c>
      <c r="AK145" s="43">
        <v>107</v>
      </c>
      <c r="AM145" s="43" t="s">
        <v>2</v>
      </c>
      <c r="AO145" s="43">
        <v>24</v>
      </c>
      <c r="AW145" s="43" t="b">
        <v>0</v>
      </c>
      <c r="BD145" s="43" t="s">
        <v>435</v>
      </c>
      <c r="BF145" s="43">
        <v>1.6</v>
      </c>
      <c r="BG145" s="43">
        <v>1</v>
      </c>
      <c r="BH145" s="43">
        <v>1</v>
      </c>
      <c r="BI145" s="43">
        <v>0.55000000000000004</v>
      </c>
      <c r="BJ145" s="43">
        <v>0</v>
      </c>
      <c r="BK145" s="43">
        <v>0</v>
      </c>
      <c r="BL145" s="43">
        <v>0</v>
      </c>
      <c r="BM145" s="36" t="s">
        <v>1</v>
      </c>
      <c r="BN145" s="60">
        <f t="shared" si="17"/>
        <v>60</v>
      </c>
      <c r="BO145" s="38">
        <f t="shared" si="18"/>
        <v>7.5</v>
      </c>
      <c r="BP145" s="96">
        <v>250</v>
      </c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3"/>
      <c r="CF145" s="47" t="s">
        <v>12</v>
      </c>
      <c r="CG145" s="43">
        <v>0</v>
      </c>
      <c r="CI145" s="43">
        <v>5.08</v>
      </c>
      <c r="CR145" s="43">
        <v>0</v>
      </c>
      <c r="CS145" s="43">
        <v>0</v>
      </c>
      <c r="CT145" s="70">
        <v>0</v>
      </c>
      <c r="CU145" s="43">
        <v>1</v>
      </c>
      <c r="CV145" s="70">
        <v>0</v>
      </c>
      <c r="CW145" s="70">
        <v>0</v>
      </c>
      <c r="CX145" s="70">
        <v>0</v>
      </c>
      <c r="CY145" s="70">
        <v>0</v>
      </c>
      <c r="CZ145" s="70">
        <v>0</v>
      </c>
      <c r="DA145" s="70">
        <v>0</v>
      </c>
      <c r="DB145" s="70">
        <v>0</v>
      </c>
      <c r="DD145" s="43">
        <v>2</v>
      </c>
      <c r="DI145" s="43" t="s">
        <v>0</v>
      </c>
    </row>
    <row r="146" spans="1:113" s="43" customFormat="1" ht="15.75" thickBot="1" x14ac:dyDescent="0.3">
      <c r="A146" s="43">
        <v>528501</v>
      </c>
      <c r="B146" s="43" t="s">
        <v>6</v>
      </c>
      <c r="C146" s="56" t="s">
        <v>15</v>
      </c>
      <c r="D146" s="43">
        <v>60</v>
      </c>
      <c r="E146" s="43">
        <v>0</v>
      </c>
      <c r="F146" s="43">
        <v>60</v>
      </c>
      <c r="G146" s="43">
        <v>17</v>
      </c>
      <c r="H146" s="43">
        <v>0</v>
      </c>
      <c r="I146" s="43">
        <v>25</v>
      </c>
      <c r="J146" s="57" t="s">
        <v>418</v>
      </c>
      <c r="K146" s="57" t="s">
        <v>419</v>
      </c>
      <c r="L146" s="59">
        <v>45966.500150462962</v>
      </c>
      <c r="M146" s="43">
        <v>0</v>
      </c>
      <c r="N146" s="43">
        <v>0</v>
      </c>
      <c r="O146" s="43">
        <v>0</v>
      </c>
      <c r="S146" s="43" t="b">
        <v>0</v>
      </c>
      <c r="T146" s="43">
        <v>2</v>
      </c>
      <c r="U146" s="55">
        <v>6.5</v>
      </c>
      <c r="V146" s="43">
        <v>2</v>
      </c>
      <c r="W146" s="43">
        <v>0</v>
      </c>
      <c r="X146" s="43">
        <v>500</v>
      </c>
      <c r="Z146" s="43">
        <v>10</v>
      </c>
      <c r="AB146" s="55">
        <v>50</v>
      </c>
      <c r="AD146" s="43">
        <v>80</v>
      </c>
      <c r="AF146" s="43">
        <v>2000</v>
      </c>
      <c r="AG146" s="43">
        <v>2</v>
      </c>
      <c r="AH146" s="43">
        <v>7.320000171661377</v>
      </c>
      <c r="AI146" s="43">
        <v>847</v>
      </c>
      <c r="AJ146" s="43">
        <v>0</v>
      </c>
      <c r="AK146" s="43">
        <v>275</v>
      </c>
      <c r="AM146" s="43" t="s">
        <v>2</v>
      </c>
      <c r="AO146" s="43">
        <v>50</v>
      </c>
      <c r="AW146" s="43" t="b">
        <v>0</v>
      </c>
      <c r="BD146" s="43" t="s">
        <v>436</v>
      </c>
      <c r="BF146" s="43">
        <v>0.55000000000000004</v>
      </c>
      <c r="BG146" s="43">
        <v>1.6</v>
      </c>
      <c r="BH146" s="43">
        <v>1</v>
      </c>
      <c r="BI146" s="43">
        <v>0.55000000000000004</v>
      </c>
      <c r="BJ146" s="43">
        <v>0</v>
      </c>
      <c r="BK146" s="43">
        <v>0</v>
      </c>
      <c r="BL146" s="43">
        <v>0</v>
      </c>
      <c r="BM146" s="36" t="s">
        <v>1</v>
      </c>
      <c r="BN146" s="60">
        <f t="shared" si="17"/>
        <v>60</v>
      </c>
      <c r="BO146" s="38">
        <f t="shared" si="18"/>
        <v>6.5</v>
      </c>
      <c r="BP146" s="96">
        <v>250</v>
      </c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3"/>
      <c r="CF146" s="47" t="s">
        <v>12</v>
      </c>
      <c r="CG146" s="43">
        <v>0</v>
      </c>
      <c r="CI146" s="43">
        <v>2.68</v>
      </c>
      <c r="CR146" s="43">
        <v>0</v>
      </c>
      <c r="CS146" s="43">
        <v>0</v>
      </c>
      <c r="CT146" s="70">
        <v>0</v>
      </c>
      <c r="CU146" s="43">
        <v>1</v>
      </c>
      <c r="CV146" s="70">
        <v>0</v>
      </c>
      <c r="CW146" s="70">
        <v>0</v>
      </c>
      <c r="CX146" s="70">
        <v>0</v>
      </c>
      <c r="CY146" s="70">
        <v>0</v>
      </c>
      <c r="CZ146" s="70">
        <v>0</v>
      </c>
      <c r="DA146" s="70">
        <v>0</v>
      </c>
      <c r="DB146" s="70">
        <v>0</v>
      </c>
      <c r="DD146" s="43">
        <v>2</v>
      </c>
      <c r="DI146" s="43" t="s">
        <v>0</v>
      </c>
    </row>
    <row r="147" spans="1:113" s="43" customFormat="1" ht="15.75" thickBot="1" x14ac:dyDescent="0.3">
      <c r="A147" s="43">
        <v>528502</v>
      </c>
      <c r="B147" s="43" t="s">
        <v>6</v>
      </c>
      <c r="C147" s="56" t="s">
        <v>15</v>
      </c>
      <c r="D147" s="43">
        <v>60</v>
      </c>
      <c r="E147" s="43">
        <v>0</v>
      </c>
      <c r="F147" s="43">
        <v>60</v>
      </c>
      <c r="G147" s="43">
        <v>18</v>
      </c>
      <c r="H147" s="43">
        <v>0</v>
      </c>
      <c r="I147" s="43">
        <v>35</v>
      </c>
      <c r="J147" s="57" t="s">
        <v>420</v>
      </c>
      <c r="K147" s="57" t="s">
        <v>421</v>
      </c>
      <c r="L147" s="59">
        <v>45966.500532407408</v>
      </c>
      <c r="M147" s="43">
        <v>0</v>
      </c>
      <c r="N147" s="43">
        <v>0</v>
      </c>
      <c r="O147" s="43">
        <v>0</v>
      </c>
      <c r="S147" s="43" t="b">
        <v>0</v>
      </c>
      <c r="T147" s="43">
        <v>2</v>
      </c>
      <c r="U147" s="55">
        <v>6</v>
      </c>
      <c r="V147" s="43">
        <v>2</v>
      </c>
      <c r="W147" s="43">
        <v>0</v>
      </c>
      <c r="X147" s="43">
        <v>500</v>
      </c>
      <c r="Z147" s="43">
        <v>10</v>
      </c>
      <c r="AB147" s="55">
        <v>70</v>
      </c>
      <c r="AD147" s="43">
        <v>80</v>
      </c>
      <c r="AF147" s="43">
        <v>2000</v>
      </c>
      <c r="AG147" s="43">
        <v>2</v>
      </c>
      <c r="AH147" s="43">
        <v>6.179999828338623</v>
      </c>
      <c r="AI147" s="43">
        <v>758</v>
      </c>
      <c r="AJ147" s="43">
        <v>0</v>
      </c>
      <c r="AK147" s="43">
        <v>306</v>
      </c>
      <c r="AM147" s="43" t="s">
        <v>2</v>
      </c>
      <c r="AO147" s="43">
        <v>70</v>
      </c>
      <c r="AW147" s="43" t="b">
        <v>0</v>
      </c>
      <c r="BD147" s="43" t="s">
        <v>436</v>
      </c>
      <c r="BF147" s="43">
        <v>0.55000000000000004</v>
      </c>
      <c r="BG147" s="43">
        <v>1.6</v>
      </c>
      <c r="BH147" s="43">
        <v>1</v>
      </c>
      <c r="BI147" s="43">
        <v>0.55000000000000004</v>
      </c>
      <c r="BJ147" s="43">
        <v>0</v>
      </c>
      <c r="BK147" s="43">
        <v>0</v>
      </c>
      <c r="BL147" s="43">
        <v>0</v>
      </c>
      <c r="BM147" s="36" t="s">
        <v>1</v>
      </c>
      <c r="BN147" s="60">
        <f t="shared" si="17"/>
        <v>60</v>
      </c>
      <c r="BO147" s="38">
        <f t="shared" si="18"/>
        <v>6</v>
      </c>
      <c r="BP147" s="96">
        <v>250</v>
      </c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3"/>
      <c r="CF147" s="47" t="s">
        <v>12</v>
      </c>
      <c r="CG147" s="43">
        <v>0</v>
      </c>
      <c r="CI147" s="43">
        <v>2.68</v>
      </c>
      <c r="CR147" s="43">
        <v>0</v>
      </c>
      <c r="CS147" s="43">
        <v>0</v>
      </c>
      <c r="CT147" s="70">
        <v>0</v>
      </c>
      <c r="CU147" s="43">
        <v>1</v>
      </c>
      <c r="CV147" s="70">
        <v>0</v>
      </c>
      <c r="CW147" s="70">
        <v>0</v>
      </c>
      <c r="CX147" s="70">
        <v>0</v>
      </c>
      <c r="CY147" s="70">
        <v>0</v>
      </c>
      <c r="CZ147" s="70">
        <v>0</v>
      </c>
      <c r="DA147" s="70">
        <v>0</v>
      </c>
      <c r="DB147" s="70">
        <v>0</v>
      </c>
      <c r="DD147" s="43">
        <v>2</v>
      </c>
      <c r="DI147" s="43" t="s">
        <v>0</v>
      </c>
    </row>
    <row r="148" spans="1:113" s="43" customFormat="1" ht="15.75" thickBot="1" x14ac:dyDescent="0.3">
      <c r="A148" s="43">
        <v>528503</v>
      </c>
      <c r="B148" s="43" t="s">
        <v>6</v>
      </c>
      <c r="C148" s="56" t="s">
        <v>15</v>
      </c>
      <c r="D148" s="43">
        <v>60</v>
      </c>
      <c r="E148" s="43">
        <v>0</v>
      </c>
      <c r="F148" s="43">
        <v>60</v>
      </c>
      <c r="G148" s="43">
        <v>19</v>
      </c>
      <c r="H148" s="43">
        <v>0</v>
      </c>
      <c r="I148" s="43">
        <v>22</v>
      </c>
      <c r="J148" s="57" t="s">
        <v>422</v>
      </c>
      <c r="K148" s="57" t="s">
        <v>423</v>
      </c>
      <c r="L148" s="59">
        <v>45966.500902777778</v>
      </c>
      <c r="M148" s="43">
        <v>0</v>
      </c>
      <c r="N148" s="43">
        <v>0</v>
      </c>
      <c r="O148" s="43">
        <v>0</v>
      </c>
      <c r="S148" s="43" t="b">
        <v>0</v>
      </c>
      <c r="T148" s="43">
        <v>2</v>
      </c>
      <c r="U148" s="55">
        <v>7</v>
      </c>
      <c r="V148" s="43">
        <v>2</v>
      </c>
      <c r="W148" s="43">
        <v>0</v>
      </c>
      <c r="X148" s="43">
        <v>500</v>
      </c>
      <c r="Z148" s="43">
        <v>10</v>
      </c>
      <c r="AB148" s="55">
        <v>45</v>
      </c>
      <c r="AD148" s="43">
        <v>80</v>
      </c>
      <c r="AF148" s="43">
        <v>2000</v>
      </c>
      <c r="AG148" s="43">
        <v>2</v>
      </c>
      <c r="AH148" s="43">
        <v>7.3400001525878906</v>
      </c>
      <c r="AI148" s="43">
        <v>830</v>
      </c>
      <c r="AJ148" s="43">
        <v>0</v>
      </c>
      <c r="AK148" s="43">
        <v>237</v>
      </c>
      <c r="AM148" s="43" t="s">
        <v>2</v>
      </c>
      <c r="AO148" s="43">
        <v>44</v>
      </c>
      <c r="AW148" s="43" t="b">
        <v>0</v>
      </c>
      <c r="BD148" s="43" t="s">
        <v>436</v>
      </c>
      <c r="BF148" s="43">
        <v>0.55000000000000004</v>
      </c>
      <c r="BG148" s="43">
        <v>1.6</v>
      </c>
      <c r="BH148" s="43">
        <v>1</v>
      </c>
      <c r="BI148" s="43">
        <v>0.55000000000000004</v>
      </c>
      <c r="BJ148" s="43">
        <v>0</v>
      </c>
      <c r="BK148" s="43">
        <v>0</v>
      </c>
      <c r="BL148" s="43">
        <v>0</v>
      </c>
      <c r="BM148" s="36" t="s">
        <v>1</v>
      </c>
      <c r="BN148" s="60">
        <f t="shared" si="17"/>
        <v>60</v>
      </c>
      <c r="BO148" s="38">
        <f t="shared" si="18"/>
        <v>7</v>
      </c>
      <c r="BP148" s="96">
        <v>250</v>
      </c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3"/>
      <c r="CF148" s="47" t="s">
        <v>12</v>
      </c>
      <c r="CG148" s="43">
        <v>0</v>
      </c>
      <c r="CI148" s="43">
        <v>2.68</v>
      </c>
      <c r="CR148" s="43">
        <v>0</v>
      </c>
      <c r="CS148" s="43">
        <v>0</v>
      </c>
      <c r="CT148" s="70">
        <v>0</v>
      </c>
      <c r="CU148" s="43">
        <v>1</v>
      </c>
      <c r="CV148" s="70">
        <v>0</v>
      </c>
      <c r="CW148" s="70">
        <v>0</v>
      </c>
      <c r="CX148" s="70">
        <v>0</v>
      </c>
      <c r="CY148" s="70">
        <v>0</v>
      </c>
      <c r="CZ148" s="70">
        <v>0</v>
      </c>
      <c r="DA148" s="70">
        <v>0</v>
      </c>
      <c r="DB148" s="70">
        <v>0</v>
      </c>
      <c r="DD148" s="43">
        <v>2</v>
      </c>
      <c r="DI148" s="43" t="s">
        <v>0</v>
      </c>
    </row>
    <row r="149" spans="1:113" s="43" customFormat="1" ht="15.75" thickBot="1" x14ac:dyDescent="0.3">
      <c r="A149" s="43">
        <v>528505</v>
      </c>
      <c r="B149" s="43" t="s">
        <v>6</v>
      </c>
      <c r="C149" s="56" t="s">
        <v>15</v>
      </c>
      <c r="D149" s="43">
        <v>60</v>
      </c>
      <c r="E149" s="43">
        <v>0</v>
      </c>
      <c r="F149" s="43">
        <v>60</v>
      </c>
      <c r="G149" s="43">
        <v>21</v>
      </c>
      <c r="H149" s="43">
        <v>0</v>
      </c>
      <c r="I149" s="43">
        <v>32</v>
      </c>
      <c r="J149" s="57" t="s">
        <v>424</v>
      </c>
      <c r="K149" s="57" t="s">
        <v>425</v>
      </c>
      <c r="L149" s="59">
        <v>45966.502025462964</v>
      </c>
      <c r="M149" s="43">
        <v>0</v>
      </c>
      <c r="N149" s="43">
        <v>0</v>
      </c>
      <c r="O149" s="43">
        <v>0</v>
      </c>
      <c r="S149" s="43" t="b">
        <v>0</v>
      </c>
      <c r="T149" s="43">
        <v>2</v>
      </c>
      <c r="U149" s="55">
        <v>6.3000001907348633</v>
      </c>
      <c r="V149" s="43">
        <v>2</v>
      </c>
      <c r="W149" s="43">
        <v>0</v>
      </c>
      <c r="X149" s="43">
        <v>500</v>
      </c>
      <c r="Z149" s="43">
        <v>10</v>
      </c>
      <c r="AB149" s="55">
        <v>65</v>
      </c>
      <c r="AD149" s="43">
        <v>80</v>
      </c>
      <c r="AF149" s="43">
        <v>2000</v>
      </c>
      <c r="AG149" s="43">
        <v>2</v>
      </c>
      <c r="AH149" s="43">
        <v>6.5500001907348633</v>
      </c>
      <c r="AI149" s="43">
        <v>741</v>
      </c>
      <c r="AJ149" s="43">
        <v>0</v>
      </c>
      <c r="AK149" s="43">
        <v>291</v>
      </c>
      <c r="AM149" s="43" t="s">
        <v>2</v>
      </c>
      <c r="AO149" s="43">
        <v>64</v>
      </c>
      <c r="AW149" s="43" t="b">
        <v>0</v>
      </c>
      <c r="BD149" s="43" t="s">
        <v>437</v>
      </c>
      <c r="BF149" s="43">
        <v>0.9</v>
      </c>
      <c r="BG149" s="43">
        <v>0.55000000000000004</v>
      </c>
      <c r="BH149" s="43">
        <v>0.9</v>
      </c>
      <c r="BI149" s="43">
        <v>0.55000000000000004</v>
      </c>
      <c r="BJ149" s="43">
        <v>0</v>
      </c>
      <c r="BK149" s="43">
        <v>0</v>
      </c>
      <c r="BL149" s="43">
        <v>0</v>
      </c>
      <c r="BM149" s="36" t="s">
        <v>1</v>
      </c>
      <c r="BN149" s="60">
        <f t="shared" si="17"/>
        <v>60</v>
      </c>
      <c r="BO149" s="38">
        <f t="shared" si="18"/>
        <v>6.3000001907348633</v>
      </c>
      <c r="BP149" s="96">
        <v>250</v>
      </c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3"/>
      <c r="CF149" s="47" t="s">
        <v>16</v>
      </c>
      <c r="CI149" s="43">
        <v>2.68</v>
      </c>
      <c r="CR149" s="43">
        <v>0</v>
      </c>
      <c r="CS149" s="43">
        <v>0</v>
      </c>
      <c r="CT149" s="70">
        <v>0</v>
      </c>
      <c r="CU149" s="43">
        <v>0</v>
      </c>
      <c r="CV149" s="70">
        <v>0</v>
      </c>
      <c r="CW149" s="70">
        <v>0</v>
      </c>
      <c r="CX149" s="70">
        <v>0</v>
      </c>
      <c r="CY149" s="70">
        <v>0</v>
      </c>
      <c r="CZ149" s="70">
        <v>0</v>
      </c>
      <c r="DA149" s="70">
        <v>0</v>
      </c>
      <c r="DB149" s="70">
        <v>0</v>
      </c>
      <c r="DD149" s="43">
        <v>0</v>
      </c>
      <c r="DI149" s="43" t="s">
        <v>0</v>
      </c>
    </row>
    <row r="150" spans="1:113" s="43" customFormat="1" ht="15.75" thickBot="1" x14ac:dyDescent="0.3">
      <c r="A150" s="43">
        <v>528506</v>
      </c>
      <c r="B150" s="43" t="s">
        <v>6</v>
      </c>
      <c r="C150" s="56" t="s">
        <v>15</v>
      </c>
      <c r="D150" s="43">
        <v>60</v>
      </c>
      <c r="E150" s="43">
        <v>0</v>
      </c>
      <c r="F150" s="43">
        <v>60</v>
      </c>
      <c r="G150" s="43">
        <v>22</v>
      </c>
      <c r="H150" s="43">
        <v>0</v>
      </c>
      <c r="I150" s="43">
        <v>31</v>
      </c>
      <c r="J150" s="57" t="s">
        <v>426</v>
      </c>
      <c r="K150" s="57" t="s">
        <v>427</v>
      </c>
      <c r="L150" s="59">
        <v>45966.502222222225</v>
      </c>
      <c r="M150" s="43">
        <v>0</v>
      </c>
      <c r="N150" s="43">
        <v>0</v>
      </c>
      <c r="O150" s="43">
        <v>0</v>
      </c>
      <c r="S150" s="43" t="b">
        <v>0</v>
      </c>
      <c r="T150" s="43">
        <v>2</v>
      </c>
      <c r="U150" s="55">
        <v>6</v>
      </c>
      <c r="V150" s="43">
        <v>2</v>
      </c>
      <c r="W150" s="43">
        <v>0</v>
      </c>
      <c r="X150" s="43">
        <v>500</v>
      </c>
      <c r="Z150" s="43">
        <v>10</v>
      </c>
      <c r="AB150" s="55">
        <v>62</v>
      </c>
      <c r="AD150" s="43">
        <v>80</v>
      </c>
      <c r="AF150" s="43">
        <v>2000</v>
      </c>
      <c r="AG150" s="43">
        <v>2</v>
      </c>
      <c r="AH150" s="43">
        <v>6.2100000381469727</v>
      </c>
      <c r="AI150" s="43">
        <v>707</v>
      </c>
      <c r="AJ150" s="43">
        <v>0</v>
      </c>
      <c r="AK150" s="43">
        <v>251</v>
      </c>
      <c r="AM150" s="43" t="s">
        <v>2</v>
      </c>
      <c r="AO150" s="43">
        <v>62</v>
      </c>
      <c r="AW150" s="43" t="b">
        <v>0</v>
      </c>
      <c r="BD150" s="43" t="s">
        <v>437</v>
      </c>
      <c r="BF150" s="43">
        <v>0.9</v>
      </c>
      <c r="BG150" s="43">
        <v>0.55000000000000004</v>
      </c>
      <c r="BH150" s="43">
        <v>0.9</v>
      </c>
      <c r="BI150" s="43">
        <v>0.55000000000000004</v>
      </c>
      <c r="BJ150" s="43">
        <v>0</v>
      </c>
      <c r="BK150" s="43">
        <v>0</v>
      </c>
      <c r="BL150" s="43">
        <v>0</v>
      </c>
      <c r="BM150" s="36" t="s">
        <v>1</v>
      </c>
      <c r="BN150" s="60">
        <f t="shared" si="17"/>
        <v>60</v>
      </c>
      <c r="BO150" s="38">
        <f t="shared" si="18"/>
        <v>6</v>
      </c>
      <c r="BP150" s="96">
        <v>250</v>
      </c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3"/>
      <c r="CF150" s="47" t="s">
        <v>16</v>
      </c>
      <c r="CI150" s="43">
        <v>2.68</v>
      </c>
      <c r="CR150" s="43">
        <v>0</v>
      </c>
      <c r="CS150" s="43">
        <v>0</v>
      </c>
      <c r="CT150" s="70">
        <v>0</v>
      </c>
      <c r="CU150" s="43">
        <v>0</v>
      </c>
      <c r="CV150" s="70">
        <v>0</v>
      </c>
      <c r="CW150" s="70">
        <v>0</v>
      </c>
      <c r="CX150" s="70">
        <v>0</v>
      </c>
      <c r="CY150" s="70">
        <v>0</v>
      </c>
      <c r="CZ150" s="70">
        <v>0</v>
      </c>
      <c r="DA150" s="70">
        <v>0</v>
      </c>
      <c r="DB150" s="70">
        <v>0</v>
      </c>
      <c r="DD150" s="43">
        <v>0</v>
      </c>
      <c r="DI150" s="43" t="s">
        <v>0</v>
      </c>
    </row>
    <row r="151" spans="1:113" s="43" customFormat="1" ht="15.75" thickBot="1" x14ac:dyDescent="0.3">
      <c r="A151" s="43">
        <v>528507</v>
      </c>
      <c r="B151" s="43" t="s">
        <v>6</v>
      </c>
      <c r="C151" s="56" t="s">
        <v>15</v>
      </c>
      <c r="D151" s="43">
        <v>60</v>
      </c>
      <c r="E151" s="43">
        <v>0</v>
      </c>
      <c r="F151" s="43">
        <v>60</v>
      </c>
      <c r="G151" s="43">
        <v>23</v>
      </c>
      <c r="H151" s="43">
        <v>0</v>
      </c>
      <c r="I151" s="43">
        <v>25</v>
      </c>
      <c r="J151" s="57" t="s">
        <v>428</v>
      </c>
      <c r="K151" s="57" t="s">
        <v>429</v>
      </c>
      <c r="L151" s="59">
        <v>45966.502314814818</v>
      </c>
      <c r="M151" s="43">
        <v>0</v>
      </c>
      <c r="N151" s="43">
        <v>0</v>
      </c>
      <c r="O151" s="43">
        <v>0</v>
      </c>
      <c r="S151" s="43" t="b">
        <v>0</v>
      </c>
      <c r="T151" s="43">
        <v>2</v>
      </c>
      <c r="U151" s="55">
        <v>7</v>
      </c>
      <c r="V151" s="43">
        <v>2</v>
      </c>
      <c r="W151" s="43">
        <v>0</v>
      </c>
      <c r="X151" s="43">
        <v>500</v>
      </c>
      <c r="Z151" s="43">
        <v>10</v>
      </c>
      <c r="AB151" s="55">
        <v>50</v>
      </c>
      <c r="AD151" s="43">
        <v>80</v>
      </c>
      <c r="AF151" s="43">
        <v>2000</v>
      </c>
      <c r="AG151" s="43">
        <v>2</v>
      </c>
      <c r="AH151" s="43">
        <v>7.320000171661377</v>
      </c>
      <c r="AI151" s="43">
        <v>754</v>
      </c>
      <c r="AJ151" s="43">
        <v>0</v>
      </c>
      <c r="AK151" s="43">
        <v>246</v>
      </c>
      <c r="AM151" s="43" t="s">
        <v>2</v>
      </c>
      <c r="AO151" s="43">
        <v>50</v>
      </c>
      <c r="AW151" s="43" t="b">
        <v>0</v>
      </c>
      <c r="BD151" s="43" t="s">
        <v>437</v>
      </c>
      <c r="BF151" s="43">
        <v>0.9</v>
      </c>
      <c r="BG151" s="43">
        <v>0.55000000000000004</v>
      </c>
      <c r="BH151" s="43">
        <v>0.9</v>
      </c>
      <c r="BI151" s="43">
        <v>0.55000000000000004</v>
      </c>
      <c r="BJ151" s="43">
        <v>0</v>
      </c>
      <c r="BK151" s="43">
        <v>0</v>
      </c>
      <c r="BL151" s="43">
        <v>0</v>
      </c>
      <c r="BM151" s="36" t="s">
        <v>1</v>
      </c>
      <c r="BN151" s="60">
        <f t="shared" si="17"/>
        <v>60</v>
      </c>
      <c r="BO151" s="38">
        <f t="shared" si="18"/>
        <v>7</v>
      </c>
      <c r="BP151" s="96">
        <v>250</v>
      </c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3"/>
      <c r="CF151" s="47" t="s">
        <v>16</v>
      </c>
      <c r="CI151" s="43">
        <v>2.68</v>
      </c>
      <c r="CR151" s="43">
        <v>0</v>
      </c>
      <c r="CS151" s="43">
        <v>0</v>
      </c>
      <c r="CT151" s="70">
        <v>0</v>
      </c>
      <c r="CU151" s="43">
        <v>0</v>
      </c>
      <c r="CV151" s="70">
        <v>0</v>
      </c>
      <c r="CW151" s="70">
        <v>0</v>
      </c>
      <c r="CX151" s="70">
        <v>0</v>
      </c>
      <c r="CY151" s="70">
        <v>0</v>
      </c>
      <c r="CZ151" s="70">
        <v>0</v>
      </c>
      <c r="DA151" s="70">
        <v>0</v>
      </c>
      <c r="DB151" s="70">
        <v>0</v>
      </c>
      <c r="DD151" s="43">
        <v>0</v>
      </c>
      <c r="DI151" s="43" t="s">
        <v>0</v>
      </c>
    </row>
    <row r="152" spans="1:113" s="43" customFormat="1" ht="15.75" thickBot="1" x14ac:dyDescent="0.3">
      <c r="A152" s="43">
        <v>528508</v>
      </c>
      <c r="B152" s="43" t="s">
        <v>6</v>
      </c>
      <c r="C152" s="56" t="s">
        <v>15</v>
      </c>
      <c r="D152" s="43">
        <v>60</v>
      </c>
      <c r="E152" s="43">
        <v>0</v>
      </c>
      <c r="F152" s="43">
        <v>60</v>
      </c>
      <c r="G152" s="43">
        <v>24</v>
      </c>
      <c r="H152" s="43">
        <v>0</v>
      </c>
      <c r="I152" s="43">
        <v>15</v>
      </c>
      <c r="J152" s="57" t="s">
        <v>430</v>
      </c>
      <c r="K152" s="57" t="s">
        <v>431</v>
      </c>
      <c r="L152" s="59">
        <v>45966.502395833333</v>
      </c>
      <c r="M152" s="43">
        <v>0</v>
      </c>
      <c r="N152" s="43">
        <v>0</v>
      </c>
      <c r="O152" s="43">
        <v>0</v>
      </c>
      <c r="S152" s="43" t="b">
        <v>0</v>
      </c>
      <c r="T152" s="43">
        <v>2</v>
      </c>
      <c r="U152" s="55">
        <v>7</v>
      </c>
      <c r="V152" s="43">
        <v>2</v>
      </c>
      <c r="W152" s="43">
        <v>0</v>
      </c>
      <c r="X152" s="43">
        <v>500</v>
      </c>
      <c r="Z152" s="43">
        <v>10</v>
      </c>
      <c r="AB152" s="55">
        <v>30</v>
      </c>
      <c r="AD152" s="43">
        <v>80</v>
      </c>
      <c r="AF152" s="43">
        <v>2000</v>
      </c>
      <c r="AG152" s="43">
        <v>2</v>
      </c>
      <c r="AH152" s="43">
        <v>7.4899997711181641</v>
      </c>
      <c r="AI152" s="43">
        <v>762</v>
      </c>
      <c r="AJ152" s="43">
        <v>0</v>
      </c>
      <c r="AK152" s="43">
        <v>133</v>
      </c>
      <c r="AM152" s="43" t="s">
        <v>2</v>
      </c>
      <c r="AO152" s="43">
        <v>30</v>
      </c>
      <c r="AW152" s="43" t="b">
        <v>0</v>
      </c>
      <c r="BD152" s="43" t="s">
        <v>437</v>
      </c>
      <c r="BF152" s="43">
        <v>0.9</v>
      </c>
      <c r="BG152" s="43">
        <v>0.55000000000000004</v>
      </c>
      <c r="BH152" s="43">
        <v>0.9</v>
      </c>
      <c r="BI152" s="43">
        <v>0.55000000000000004</v>
      </c>
      <c r="BJ152" s="43">
        <v>0</v>
      </c>
      <c r="BK152" s="43">
        <v>0</v>
      </c>
      <c r="BL152" s="43">
        <v>0</v>
      </c>
      <c r="BM152" s="36" t="s">
        <v>1</v>
      </c>
      <c r="BN152" s="60">
        <f t="shared" ref="BN152" si="28">D152</f>
        <v>60</v>
      </c>
      <c r="BO152" s="38">
        <f t="shared" ref="BO152:BO215" si="29">U152</f>
        <v>7</v>
      </c>
      <c r="BP152" s="96">
        <v>250</v>
      </c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3"/>
      <c r="CF152" s="47" t="s">
        <v>16</v>
      </c>
      <c r="CI152" s="43">
        <v>2.68</v>
      </c>
      <c r="CR152" s="43">
        <v>0</v>
      </c>
      <c r="CS152" s="43">
        <v>0</v>
      </c>
      <c r="CT152" s="70">
        <v>0</v>
      </c>
      <c r="CU152" s="43">
        <v>0</v>
      </c>
      <c r="CV152" s="70">
        <v>0</v>
      </c>
      <c r="CW152" s="70">
        <v>0</v>
      </c>
      <c r="CX152" s="70">
        <v>0</v>
      </c>
      <c r="CY152" s="70">
        <v>0</v>
      </c>
      <c r="CZ152" s="70">
        <v>0</v>
      </c>
      <c r="DA152" s="70">
        <v>0</v>
      </c>
      <c r="DB152" s="70">
        <v>0</v>
      </c>
      <c r="DD152" s="43">
        <v>0</v>
      </c>
      <c r="DI152" s="43" t="s">
        <v>0</v>
      </c>
    </row>
    <row r="153" spans="1:113" s="43" customFormat="1" ht="15.75" thickBot="1" x14ac:dyDescent="0.3">
      <c r="A153" s="43">
        <v>504348</v>
      </c>
      <c r="B153" s="43" t="s">
        <v>6</v>
      </c>
      <c r="C153" s="56" t="s">
        <v>438</v>
      </c>
      <c r="D153" s="43">
        <v>8</v>
      </c>
      <c r="E153" s="43">
        <v>0</v>
      </c>
      <c r="F153" s="43">
        <v>8</v>
      </c>
      <c r="G153" s="43">
        <v>1</v>
      </c>
      <c r="H153" s="43">
        <v>0</v>
      </c>
      <c r="I153" s="43">
        <v>25</v>
      </c>
      <c r="J153" s="57" t="s">
        <v>439</v>
      </c>
      <c r="K153" s="57" t="s">
        <v>440</v>
      </c>
      <c r="L153" s="59">
        <v>45936</v>
      </c>
      <c r="M153" s="43">
        <v>0</v>
      </c>
      <c r="N153" s="43">
        <v>0</v>
      </c>
      <c r="O153" s="43">
        <v>0</v>
      </c>
      <c r="S153" s="43" t="b">
        <v>0</v>
      </c>
      <c r="T153" s="43">
        <v>3.5</v>
      </c>
      <c r="U153" s="55">
        <v>6.5</v>
      </c>
      <c r="V153" s="43">
        <v>0.01</v>
      </c>
      <c r="W153" s="43">
        <v>0</v>
      </c>
      <c r="X153" s="43">
        <v>1000</v>
      </c>
      <c r="Z153" s="43">
        <v>20</v>
      </c>
      <c r="AB153" s="55">
        <v>50</v>
      </c>
      <c r="AD153" s="43">
        <v>10</v>
      </c>
      <c r="AF153" s="43">
        <v>2000</v>
      </c>
      <c r="AG153" s="43">
        <v>2</v>
      </c>
      <c r="AH153" s="43">
        <v>6.7300000190000002</v>
      </c>
      <c r="AI153" s="43">
        <v>597</v>
      </c>
      <c r="AJ153" s="43">
        <v>0</v>
      </c>
      <c r="AK153" s="43">
        <v>181</v>
      </c>
      <c r="AM153" s="43" t="s">
        <v>2</v>
      </c>
      <c r="AO153" s="43">
        <v>50</v>
      </c>
      <c r="AW153" s="43" t="b">
        <v>0</v>
      </c>
      <c r="BM153" s="36" t="s">
        <v>1</v>
      </c>
      <c r="BN153" s="61">
        <v>8</v>
      </c>
      <c r="BO153" s="38">
        <f t="shared" si="29"/>
        <v>6.5</v>
      </c>
      <c r="BP153" s="61">
        <v>250</v>
      </c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3"/>
      <c r="CF153" s="47" t="s">
        <v>16</v>
      </c>
      <c r="CI153" s="43">
        <v>2.68</v>
      </c>
      <c r="CR153" s="43">
        <v>0</v>
      </c>
      <c r="CS153" s="70">
        <v>0</v>
      </c>
      <c r="CT153" s="70">
        <v>0</v>
      </c>
      <c r="CU153" s="43">
        <v>0</v>
      </c>
      <c r="CV153" s="70">
        <v>0</v>
      </c>
      <c r="CW153" s="70">
        <v>0</v>
      </c>
      <c r="CX153" s="70">
        <v>0</v>
      </c>
      <c r="CY153" s="70">
        <v>0</v>
      </c>
      <c r="CZ153" s="70">
        <v>0</v>
      </c>
      <c r="DA153" s="70">
        <v>0</v>
      </c>
      <c r="DB153" s="70">
        <v>0</v>
      </c>
      <c r="DD153" s="43">
        <v>0</v>
      </c>
      <c r="DI153" s="43" t="s">
        <v>0</v>
      </c>
    </row>
    <row r="154" spans="1:113" s="43" customFormat="1" ht="15.75" thickBot="1" x14ac:dyDescent="0.3">
      <c r="A154" s="43">
        <v>504349</v>
      </c>
      <c r="B154" s="43" t="s">
        <v>6</v>
      </c>
      <c r="C154" s="56" t="s">
        <v>438</v>
      </c>
      <c r="D154" s="43">
        <v>8</v>
      </c>
      <c r="E154" s="43">
        <v>0</v>
      </c>
      <c r="F154" s="43">
        <v>8</v>
      </c>
      <c r="G154" s="43">
        <v>2</v>
      </c>
      <c r="H154" s="43">
        <v>0</v>
      </c>
      <c r="I154" s="43">
        <v>25</v>
      </c>
      <c r="J154" s="57" t="s">
        <v>441</v>
      </c>
      <c r="K154" s="57" t="s">
        <v>442</v>
      </c>
      <c r="L154" s="59">
        <v>45936</v>
      </c>
      <c r="M154" s="43">
        <v>0</v>
      </c>
      <c r="N154" s="43">
        <v>0</v>
      </c>
      <c r="O154" s="43">
        <v>0</v>
      </c>
      <c r="S154" s="43" t="b">
        <v>0</v>
      </c>
      <c r="T154" s="43">
        <v>3.5</v>
      </c>
      <c r="U154" s="55">
        <v>6.5</v>
      </c>
      <c r="V154" s="43">
        <v>0.01</v>
      </c>
      <c r="W154" s="43">
        <v>0</v>
      </c>
      <c r="X154" s="43">
        <v>1000</v>
      </c>
      <c r="Z154" s="43">
        <v>20</v>
      </c>
      <c r="AB154" s="55">
        <v>50</v>
      </c>
      <c r="AD154" s="43">
        <v>10</v>
      </c>
      <c r="AF154" s="43">
        <v>2000</v>
      </c>
      <c r="AG154" s="43">
        <v>2</v>
      </c>
      <c r="AH154" s="43">
        <v>6.6799998279999997</v>
      </c>
      <c r="AI154" s="43">
        <v>487</v>
      </c>
      <c r="AJ154" s="43">
        <v>0</v>
      </c>
      <c r="AK154" s="43">
        <v>149</v>
      </c>
      <c r="AM154" s="43" t="s">
        <v>2</v>
      </c>
      <c r="AO154" s="43">
        <v>50</v>
      </c>
      <c r="AW154" s="43" t="b">
        <v>0</v>
      </c>
      <c r="BM154" s="36" t="s">
        <v>1</v>
      </c>
      <c r="BN154" s="61">
        <v>8</v>
      </c>
      <c r="BO154" s="38">
        <f t="shared" si="29"/>
        <v>6.5</v>
      </c>
      <c r="BP154" s="61">
        <v>250</v>
      </c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3"/>
      <c r="CF154" s="47" t="s">
        <v>16</v>
      </c>
      <c r="CI154" s="43">
        <v>2.68</v>
      </c>
      <c r="CR154" s="43">
        <v>0</v>
      </c>
      <c r="CS154" s="70">
        <v>0</v>
      </c>
      <c r="CT154" s="70">
        <v>0</v>
      </c>
      <c r="CU154" s="43">
        <v>0</v>
      </c>
      <c r="CV154" s="70">
        <v>0</v>
      </c>
      <c r="CW154" s="70">
        <v>0</v>
      </c>
      <c r="CX154" s="70">
        <v>0</v>
      </c>
      <c r="CY154" s="70">
        <v>0</v>
      </c>
      <c r="CZ154" s="70">
        <v>0</v>
      </c>
      <c r="DA154" s="70">
        <v>0</v>
      </c>
      <c r="DB154" s="70">
        <v>0</v>
      </c>
      <c r="DD154" s="43">
        <v>0</v>
      </c>
      <c r="DI154" s="43" t="s">
        <v>0</v>
      </c>
    </row>
    <row r="155" spans="1:113" s="43" customFormat="1" ht="15.75" thickBot="1" x14ac:dyDescent="0.3">
      <c r="A155" s="43">
        <v>504350</v>
      </c>
      <c r="B155" s="43" t="s">
        <v>6</v>
      </c>
      <c r="C155" s="56" t="s">
        <v>438</v>
      </c>
      <c r="D155" s="43">
        <v>8</v>
      </c>
      <c r="E155" s="43">
        <v>0</v>
      </c>
      <c r="F155" s="43">
        <v>8</v>
      </c>
      <c r="G155" s="43">
        <v>3</v>
      </c>
      <c r="H155" s="43">
        <v>0</v>
      </c>
      <c r="I155" s="43">
        <v>25</v>
      </c>
      <c r="J155" s="57" t="s">
        <v>443</v>
      </c>
      <c r="K155" s="57" t="s">
        <v>444</v>
      </c>
      <c r="L155" s="59">
        <v>45936</v>
      </c>
      <c r="M155" s="43">
        <v>0</v>
      </c>
      <c r="N155" s="43">
        <v>0</v>
      </c>
      <c r="O155" s="43">
        <v>0</v>
      </c>
      <c r="S155" s="43" t="b">
        <v>0</v>
      </c>
      <c r="T155" s="43">
        <v>3.5</v>
      </c>
      <c r="U155" s="55">
        <v>6.5</v>
      </c>
      <c r="V155" s="43">
        <v>0.01</v>
      </c>
      <c r="W155" s="43">
        <v>0</v>
      </c>
      <c r="X155" s="43">
        <v>1000</v>
      </c>
      <c r="Z155" s="43">
        <v>20</v>
      </c>
      <c r="AB155" s="55">
        <v>50</v>
      </c>
      <c r="AD155" s="43">
        <v>10</v>
      </c>
      <c r="AF155" s="43">
        <v>2000</v>
      </c>
      <c r="AG155" s="43">
        <v>2</v>
      </c>
      <c r="AH155" s="43">
        <v>6.670000076</v>
      </c>
      <c r="AI155" s="43">
        <v>487</v>
      </c>
      <c r="AJ155" s="43">
        <v>0</v>
      </c>
      <c r="AK155" s="43">
        <v>147</v>
      </c>
      <c r="AM155" s="43" t="s">
        <v>2</v>
      </c>
      <c r="AO155" s="43">
        <v>50</v>
      </c>
      <c r="AW155" s="43" t="b">
        <v>0</v>
      </c>
      <c r="BM155" s="36" t="s">
        <v>1</v>
      </c>
      <c r="BN155" s="61">
        <v>8</v>
      </c>
      <c r="BO155" s="38">
        <f t="shared" si="29"/>
        <v>6.5</v>
      </c>
      <c r="BP155" s="61">
        <v>250</v>
      </c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3"/>
      <c r="CF155" s="47" t="s">
        <v>16</v>
      </c>
      <c r="CI155" s="43">
        <v>2.68</v>
      </c>
      <c r="CR155" s="43">
        <v>0</v>
      </c>
      <c r="CS155" s="70">
        <v>0</v>
      </c>
      <c r="CT155" s="70">
        <v>0</v>
      </c>
      <c r="CU155" s="43">
        <v>0</v>
      </c>
      <c r="CV155" s="70">
        <v>0</v>
      </c>
      <c r="CW155" s="70">
        <v>0</v>
      </c>
      <c r="CX155" s="70">
        <v>0</v>
      </c>
      <c r="CY155" s="70">
        <v>0</v>
      </c>
      <c r="CZ155" s="70">
        <v>0</v>
      </c>
      <c r="DA155" s="70">
        <v>0</v>
      </c>
      <c r="DB155" s="70">
        <v>0</v>
      </c>
      <c r="DD155" s="43">
        <v>0</v>
      </c>
      <c r="DI155" s="43" t="s">
        <v>0</v>
      </c>
    </row>
    <row r="156" spans="1:113" s="43" customFormat="1" ht="15.75" thickBot="1" x14ac:dyDescent="0.3">
      <c r="A156" s="43">
        <v>504351</v>
      </c>
      <c r="B156" s="43" t="s">
        <v>6</v>
      </c>
      <c r="C156" s="56" t="s">
        <v>438</v>
      </c>
      <c r="D156" s="43">
        <v>8</v>
      </c>
      <c r="E156" s="43">
        <v>0</v>
      </c>
      <c r="F156" s="43">
        <v>8</v>
      </c>
      <c r="G156" s="43">
        <v>4</v>
      </c>
      <c r="H156" s="43">
        <v>0</v>
      </c>
      <c r="I156" s="43">
        <v>25</v>
      </c>
      <c r="J156" s="57" t="s">
        <v>445</v>
      </c>
      <c r="K156" s="57" t="s">
        <v>446</v>
      </c>
      <c r="L156" s="59">
        <v>45936</v>
      </c>
      <c r="M156" s="43">
        <v>0</v>
      </c>
      <c r="N156" s="43">
        <v>0</v>
      </c>
      <c r="O156" s="43">
        <v>0</v>
      </c>
      <c r="S156" s="43" t="b">
        <v>0</v>
      </c>
      <c r="T156" s="43">
        <v>3.5</v>
      </c>
      <c r="U156" s="55">
        <v>6.5</v>
      </c>
      <c r="V156" s="43">
        <v>0.01</v>
      </c>
      <c r="W156" s="43">
        <v>0</v>
      </c>
      <c r="X156" s="43">
        <v>1000</v>
      </c>
      <c r="Z156" s="43">
        <v>20</v>
      </c>
      <c r="AB156" s="55">
        <v>50</v>
      </c>
      <c r="AD156" s="43">
        <v>10</v>
      </c>
      <c r="AF156" s="43">
        <v>2000</v>
      </c>
      <c r="AG156" s="43">
        <v>2</v>
      </c>
      <c r="AH156" s="43">
        <v>6.6799998279999997</v>
      </c>
      <c r="AI156" s="43">
        <v>487</v>
      </c>
      <c r="AJ156" s="43">
        <v>0</v>
      </c>
      <c r="AK156" s="43">
        <v>147</v>
      </c>
      <c r="AM156" s="43" t="s">
        <v>2</v>
      </c>
      <c r="AO156" s="43">
        <v>50</v>
      </c>
      <c r="AW156" s="43" t="b">
        <v>0</v>
      </c>
      <c r="BM156" s="36" t="s">
        <v>1</v>
      </c>
      <c r="BN156" s="61">
        <v>8</v>
      </c>
      <c r="BO156" s="38">
        <f t="shared" si="29"/>
        <v>6.5</v>
      </c>
      <c r="BP156" s="61">
        <v>250</v>
      </c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3"/>
      <c r="CF156" s="47" t="s">
        <v>12</v>
      </c>
      <c r="CG156" s="43">
        <v>0</v>
      </c>
      <c r="CI156" s="43">
        <v>2.68</v>
      </c>
      <c r="CR156" s="43">
        <v>0</v>
      </c>
      <c r="CS156" s="70">
        <v>0</v>
      </c>
      <c r="CT156" s="70">
        <v>0</v>
      </c>
      <c r="CU156" s="43">
        <v>0</v>
      </c>
      <c r="CV156" s="70">
        <v>0</v>
      </c>
      <c r="CW156" s="70">
        <v>0</v>
      </c>
      <c r="CX156" s="70">
        <v>0</v>
      </c>
      <c r="CY156" s="70">
        <v>0</v>
      </c>
      <c r="CZ156" s="70">
        <v>0</v>
      </c>
      <c r="DA156" s="70">
        <v>0</v>
      </c>
      <c r="DB156" s="70">
        <v>0</v>
      </c>
      <c r="DD156" s="43">
        <v>0</v>
      </c>
      <c r="DI156" s="43" t="s">
        <v>0</v>
      </c>
    </row>
    <row r="157" spans="1:113" s="43" customFormat="1" ht="15.75" thickBot="1" x14ac:dyDescent="0.3">
      <c r="A157" s="43">
        <v>504352</v>
      </c>
      <c r="B157" s="43" t="s">
        <v>6</v>
      </c>
      <c r="C157" s="56" t="s">
        <v>447</v>
      </c>
      <c r="D157" s="43">
        <v>12</v>
      </c>
      <c r="E157" s="43">
        <v>0</v>
      </c>
      <c r="F157" s="43">
        <v>12</v>
      </c>
      <c r="G157" s="43">
        <v>5</v>
      </c>
      <c r="H157" s="43">
        <v>0</v>
      </c>
      <c r="I157" s="43">
        <v>25</v>
      </c>
      <c r="J157" s="57" t="s">
        <v>448</v>
      </c>
      <c r="K157" s="57" t="s">
        <v>449</v>
      </c>
      <c r="L157" s="59">
        <v>45936</v>
      </c>
      <c r="M157" s="43">
        <v>0</v>
      </c>
      <c r="N157" s="43">
        <v>0</v>
      </c>
      <c r="O157" s="43">
        <v>0</v>
      </c>
      <c r="S157" s="43" t="b">
        <v>0</v>
      </c>
      <c r="T157" s="43">
        <v>0.01</v>
      </c>
      <c r="U157" s="55">
        <v>6.5</v>
      </c>
      <c r="V157" s="43">
        <v>0.01</v>
      </c>
      <c r="W157" s="43">
        <v>0</v>
      </c>
      <c r="X157" s="43">
        <v>1000</v>
      </c>
      <c r="Z157" s="43">
        <v>10</v>
      </c>
      <c r="AB157" s="55">
        <v>50</v>
      </c>
      <c r="AD157" s="43">
        <v>10</v>
      </c>
      <c r="AF157" s="43">
        <v>2000</v>
      </c>
      <c r="AG157" s="43">
        <v>2</v>
      </c>
      <c r="AH157" s="43">
        <v>6.6599998469999999</v>
      </c>
      <c r="AI157" s="43">
        <v>639</v>
      </c>
      <c r="AJ157" s="43">
        <v>0</v>
      </c>
      <c r="AK157" s="43">
        <v>191</v>
      </c>
      <c r="AM157" s="43" t="s">
        <v>2</v>
      </c>
      <c r="AO157" s="43">
        <v>50</v>
      </c>
      <c r="AW157" s="43" t="b">
        <v>0</v>
      </c>
      <c r="BM157" s="36" t="s">
        <v>1</v>
      </c>
      <c r="BN157" s="61">
        <v>12</v>
      </c>
      <c r="BO157" s="38">
        <f t="shared" si="29"/>
        <v>6.5</v>
      </c>
      <c r="BP157" s="61">
        <v>250</v>
      </c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3"/>
      <c r="CF157" s="47" t="s">
        <v>12</v>
      </c>
      <c r="CG157" s="43">
        <v>0</v>
      </c>
      <c r="CI157" s="43">
        <v>2.68</v>
      </c>
      <c r="CR157" s="43">
        <v>0</v>
      </c>
      <c r="CS157" s="70">
        <v>0</v>
      </c>
      <c r="CT157" s="70">
        <v>0</v>
      </c>
      <c r="CU157" s="43">
        <v>1</v>
      </c>
      <c r="CV157" s="70">
        <v>0</v>
      </c>
      <c r="CW157" s="70">
        <v>0</v>
      </c>
      <c r="CX157" s="70">
        <v>0</v>
      </c>
      <c r="CY157" s="70">
        <v>0</v>
      </c>
      <c r="CZ157" s="70">
        <v>0</v>
      </c>
      <c r="DA157" s="70">
        <v>0</v>
      </c>
      <c r="DB157" s="70">
        <v>0</v>
      </c>
      <c r="DD157" s="43">
        <v>2</v>
      </c>
      <c r="DI157" s="43" t="s">
        <v>0</v>
      </c>
    </row>
    <row r="158" spans="1:113" s="43" customFormat="1" ht="15.75" thickBot="1" x14ac:dyDescent="0.3">
      <c r="A158" s="43">
        <v>504353</v>
      </c>
      <c r="B158" s="43" t="s">
        <v>6</v>
      </c>
      <c r="C158" s="56" t="s">
        <v>447</v>
      </c>
      <c r="D158" s="43">
        <v>12</v>
      </c>
      <c r="E158" s="43">
        <v>0</v>
      </c>
      <c r="F158" s="43">
        <v>12</v>
      </c>
      <c r="G158" s="43">
        <v>6</v>
      </c>
      <c r="H158" s="43">
        <v>0</v>
      </c>
      <c r="I158" s="43">
        <v>25</v>
      </c>
      <c r="J158" s="57" t="s">
        <v>450</v>
      </c>
      <c r="K158" s="57" t="s">
        <v>451</v>
      </c>
      <c r="L158" s="59">
        <v>45936</v>
      </c>
      <c r="M158" s="43">
        <v>0</v>
      </c>
      <c r="N158" s="43">
        <v>0</v>
      </c>
      <c r="O158" s="43">
        <v>0</v>
      </c>
      <c r="S158" s="43" t="b">
        <v>0</v>
      </c>
      <c r="T158" s="43">
        <v>0.01</v>
      </c>
      <c r="U158" s="55">
        <v>6.5</v>
      </c>
      <c r="V158" s="43">
        <v>0.01</v>
      </c>
      <c r="W158" s="43">
        <v>0</v>
      </c>
      <c r="X158" s="43">
        <v>1000</v>
      </c>
      <c r="Z158" s="43">
        <v>10</v>
      </c>
      <c r="AB158" s="55">
        <v>50</v>
      </c>
      <c r="AD158" s="43">
        <v>10</v>
      </c>
      <c r="AF158" s="43">
        <v>2000</v>
      </c>
      <c r="AG158" s="43">
        <v>2</v>
      </c>
      <c r="AH158" s="43">
        <v>6.6599998469999999</v>
      </c>
      <c r="AI158" s="43">
        <v>614</v>
      </c>
      <c r="AJ158" s="43">
        <v>0</v>
      </c>
      <c r="AK158" s="43">
        <v>184</v>
      </c>
      <c r="AM158" s="43" t="s">
        <v>2</v>
      </c>
      <c r="AO158" s="43">
        <v>50</v>
      </c>
      <c r="AW158" s="43" t="b">
        <v>0</v>
      </c>
      <c r="BM158" s="36" t="s">
        <v>1</v>
      </c>
      <c r="BN158" s="61">
        <v>12</v>
      </c>
      <c r="BO158" s="38">
        <f t="shared" si="29"/>
        <v>6.5</v>
      </c>
      <c r="BP158" s="61">
        <v>250</v>
      </c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3"/>
      <c r="CF158" s="47" t="s">
        <v>16</v>
      </c>
      <c r="CI158" s="43">
        <v>2.68</v>
      </c>
      <c r="CR158" s="43">
        <v>0</v>
      </c>
      <c r="CS158" s="70">
        <v>0</v>
      </c>
      <c r="CT158" s="70">
        <v>0</v>
      </c>
      <c r="CU158" s="43">
        <v>1</v>
      </c>
      <c r="CV158" s="70">
        <v>0</v>
      </c>
      <c r="CW158" s="70">
        <v>0</v>
      </c>
      <c r="CX158" s="70">
        <v>0</v>
      </c>
      <c r="CY158" s="70">
        <v>0</v>
      </c>
      <c r="CZ158" s="70">
        <v>0</v>
      </c>
      <c r="DA158" s="70">
        <v>0</v>
      </c>
      <c r="DB158" s="70">
        <v>0</v>
      </c>
      <c r="DD158" s="43">
        <v>2</v>
      </c>
      <c r="DI158" s="43" t="s">
        <v>0</v>
      </c>
    </row>
    <row r="159" spans="1:113" s="43" customFormat="1" ht="15.75" thickBot="1" x14ac:dyDescent="0.3">
      <c r="A159" s="43">
        <v>504354</v>
      </c>
      <c r="B159" s="43" t="s">
        <v>6</v>
      </c>
      <c r="C159" s="56" t="s">
        <v>452</v>
      </c>
      <c r="D159" s="43">
        <v>13</v>
      </c>
      <c r="E159" s="43">
        <v>0</v>
      </c>
      <c r="F159" s="43">
        <v>13</v>
      </c>
      <c r="G159" s="43">
        <v>7</v>
      </c>
      <c r="H159" s="43">
        <v>0</v>
      </c>
      <c r="I159" s="43">
        <v>25</v>
      </c>
      <c r="J159" s="57" t="s">
        <v>453</v>
      </c>
      <c r="K159" s="57" t="s">
        <v>454</v>
      </c>
      <c r="L159" s="59">
        <v>45936</v>
      </c>
      <c r="M159" s="43">
        <v>0</v>
      </c>
      <c r="N159" s="43">
        <v>0</v>
      </c>
      <c r="O159" s="43">
        <v>0</v>
      </c>
      <c r="S159" s="43" t="b">
        <v>0</v>
      </c>
      <c r="T159" s="43">
        <v>0.01</v>
      </c>
      <c r="U159" s="55">
        <v>7.5</v>
      </c>
      <c r="V159" s="43">
        <v>0.01</v>
      </c>
      <c r="W159" s="43">
        <v>0</v>
      </c>
      <c r="X159" s="43">
        <v>1000</v>
      </c>
      <c r="Z159" s="43">
        <v>10</v>
      </c>
      <c r="AB159" s="55">
        <v>50</v>
      </c>
      <c r="AD159" s="43">
        <v>10</v>
      </c>
      <c r="AF159" s="43">
        <v>2000</v>
      </c>
      <c r="AG159" s="43">
        <v>2</v>
      </c>
      <c r="AH159" s="43">
        <v>7.6300001139999996</v>
      </c>
      <c r="AI159" s="43">
        <v>766</v>
      </c>
      <c r="AJ159" s="43">
        <v>0</v>
      </c>
      <c r="AK159" s="43">
        <v>264</v>
      </c>
      <c r="AM159" s="43" t="s">
        <v>2</v>
      </c>
      <c r="AO159" s="43">
        <v>50</v>
      </c>
      <c r="AW159" s="43" t="b">
        <v>0</v>
      </c>
      <c r="BM159" s="36" t="s">
        <v>1</v>
      </c>
      <c r="BN159" s="61">
        <v>13</v>
      </c>
      <c r="BO159" s="38">
        <f t="shared" si="29"/>
        <v>7.5</v>
      </c>
      <c r="BP159" s="61">
        <v>250</v>
      </c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3"/>
      <c r="CF159" s="47" t="s">
        <v>16</v>
      </c>
      <c r="CI159" s="43">
        <v>2.68</v>
      </c>
      <c r="CR159" s="43">
        <v>0</v>
      </c>
      <c r="CS159" s="70">
        <v>0</v>
      </c>
      <c r="CT159" s="70">
        <v>0</v>
      </c>
      <c r="CU159" s="43">
        <v>0</v>
      </c>
      <c r="CV159" s="70">
        <v>0</v>
      </c>
      <c r="CW159" s="70">
        <v>0</v>
      </c>
      <c r="CX159" s="70">
        <v>0</v>
      </c>
      <c r="CY159" s="70">
        <v>0</v>
      </c>
      <c r="CZ159" s="70">
        <v>0</v>
      </c>
      <c r="DA159" s="70">
        <v>0</v>
      </c>
      <c r="DB159" s="70">
        <v>0</v>
      </c>
      <c r="DD159" s="43">
        <v>0</v>
      </c>
      <c r="DI159" s="43" t="s">
        <v>0</v>
      </c>
    </row>
    <row r="160" spans="1:113" s="43" customFormat="1" ht="15.75" thickBot="1" x14ac:dyDescent="0.3">
      <c r="A160" s="43">
        <v>504355</v>
      </c>
      <c r="B160" s="43" t="s">
        <v>6</v>
      </c>
      <c r="C160" s="56" t="s">
        <v>452</v>
      </c>
      <c r="D160" s="43">
        <v>13</v>
      </c>
      <c r="E160" s="43">
        <v>0</v>
      </c>
      <c r="F160" s="43">
        <v>13</v>
      </c>
      <c r="G160" s="43">
        <v>8</v>
      </c>
      <c r="H160" s="43">
        <v>0</v>
      </c>
      <c r="I160" s="43">
        <v>25</v>
      </c>
      <c r="J160" s="57" t="s">
        <v>455</v>
      </c>
      <c r="K160" s="57" t="s">
        <v>456</v>
      </c>
      <c r="L160" s="59">
        <v>45936</v>
      </c>
      <c r="M160" s="43">
        <v>0</v>
      </c>
      <c r="N160" s="43">
        <v>0</v>
      </c>
      <c r="O160" s="43">
        <v>0</v>
      </c>
      <c r="S160" s="43" t="b">
        <v>0</v>
      </c>
      <c r="T160" s="43">
        <v>0.01</v>
      </c>
      <c r="U160" s="55">
        <v>7.5</v>
      </c>
      <c r="V160" s="43">
        <v>0.01</v>
      </c>
      <c r="W160" s="43">
        <v>0</v>
      </c>
      <c r="X160" s="43">
        <v>1000</v>
      </c>
      <c r="Z160" s="43">
        <v>10</v>
      </c>
      <c r="AB160" s="55">
        <v>50</v>
      </c>
      <c r="AD160" s="43">
        <v>10</v>
      </c>
      <c r="AF160" s="43">
        <v>2000</v>
      </c>
      <c r="AG160" s="43">
        <v>2</v>
      </c>
      <c r="AH160" s="43">
        <v>7.6599998469999999</v>
      </c>
      <c r="AI160" s="43">
        <v>724</v>
      </c>
      <c r="AJ160" s="43">
        <v>0</v>
      </c>
      <c r="AK160" s="43">
        <v>251</v>
      </c>
      <c r="AM160" s="43" t="s">
        <v>2</v>
      </c>
      <c r="AO160" s="43">
        <v>50</v>
      </c>
      <c r="AW160" s="43" t="b">
        <v>0</v>
      </c>
      <c r="BM160" s="36" t="s">
        <v>1</v>
      </c>
      <c r="BN160" s="61">
        <v>13</v>
      </c>
      <c r="BO160" s="38">
        <f t="shared" si="29"/>
        <v>7.5</v>
      </c>
      <c r="BP160" s="61">
        <v>250</v>
      </c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3"/>
      <c r="CF160" s="47" t="s">
        <v>16</v>
      </c>
      <c r="CI160" s="43">
        <v>2.68</v>
      </c>
      <c r="CR160" s="43">
        <v>0</v>
      </c>
      <c r="CS160" s="70">
        <v>0</v>
      </c>
      <c r="CT160" s="70">
        <v>0</v>
      </c>
      <c r="CU160" s="43">
        <v>0</v>
      </c>
      <c r="CV160" s="70">
        <v>0</v>
      </c>
      <c r="CW160" s="70">
        <v>0</v>
      </c>
      <c r="CX160" s="70">
        <v>0</v>
      </c>
      <c r="CY160" s="70">
        <v>0</v>
      </c>
      <c r="CZ160" s="70">
        <v>0</v>
      </c>
      <c r="DA160" s="70">
        <v>0</v>
      </c>
      <c r="DB160" s="70">
        <v>0</v>
      </c>
      <c r="DD160" s="43">
        <v>0</v>
      </c>
      <c r="DI160" s="43" t="s">
        <v>0</v>
      </c>
    </row>
    <row r="161" spans="1:113" s="43" customFormat="1" ht="15.75" thickBot="1" x14ac:dyDescent="0.3">
      <c r="A161" s="43">
        <v>504745</v>
      </c>
      <c r="B161" s="43" t="s">
        <v>6</v>
      </c>
      <c r="C161" s="56" t="s">
        <v>452</v>
      </c>
      <c r="D161" s="43">
        <v>13</v>
      </c>
      <c r="E161" s="43">
        <v>0</v>
      </c>
      <c r="F161" s="43">
        <v>13</v>
      </c>
      <c r="G161" s="43">
        <v>198</v>
      </c>
      <c r="H161" s="43">
        <v>0</v>
      </c>
      <c r="I161" s="43">
        <v>25</v>
      </c>
      <c r="J161" s="57" t="s">
        <v>457</v>
      </c>
      <c r="K161" s="57" t="s">
        <v>458</v>
      </c>
      <c r="L161" s="59">
        <v>45936</v>
      </c>
      <c r="M161" s="43">
        <v>0</v>
      </c>
      <c r="N161" s="43">
        <v>0</v>
      </c>
      <c r="O161" s="43">
        <v>0</v>
      </c>
      <c r="S161" s="43" t="b">
        <v>0</v>
      </c>
      <c r="T161" s="43">
        <v>0.01</v>
      </c>
      <c r="U161" s="55">
        <v>7.5</v>
      </c>
      <c r="V161" s="43">
        <v>0.01</v>
      </c>
      <c r="W161" s="43">
        <v>0</v>
      </c>
      <c r="X161" s="43">
        <v>1000</v>
      </c>
      <c r="Z161" s="43">
        <v>10</v>
      </c>
      <c r="AB161" s="55">
        <v>50</v>
      </c>
      <c r="AD161" s="43">
        <v>10</v>
      </c>
      <c r="AF161" s="43">
        <v>2000</v>
      </c>
      <c r="AG161" s="43">
        <v>2</v>
      </c>
      <c r="AH161" s="43">
        <v>7.7399997709999999</v>
      </c>
      <c r="AI161" s="43">
        <v>813</v>
      </c>
      <c r="AJ161" s="43">
        <v>0</v>
      </c>
      <c r="AK161" s="43">
        <v>283</v>
      </c>
      <c r="AM161" s="43" t="s">
        <v>2</v>
      </c>
      <c r="AO161" s="43">
        <v>50</v>
      </c>
      <c r="AW161" s="43" t="b">
        <v>0</v>
      </c>
      <c r="BM161" s="36" t="s">
        <v>1</v>
      </c>
      <c r="BN161" s="61">
        <v>13</v>
      </c>
      <c r="BO161" s="38">
        <f t="shared" si="29"/>
        <v>7.5</v>
      </c>
      <c r="BP161" s="61">
        <v>250</v>
      </c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3"/>
      <c r="CF161" s="47" t="s">
        <v>16</v>
      </c>
      <c r="CI161" s="43">
        <v>2.68</v>
      </c>
      <c r="CR161" s="43">
        <v>0</v>
      </c>
      <c r="CS161" s="70">
        <v>0</v>
      </c>
      <c r="CT161" s="70">
        <v>0</v>
      </c>
      <c r="CU161" s="43">
        <v>0</v>
      </c>
      <c r="CV161" s="70">
        <v>0</v>
      </c>
      <c r="CW161" s="70">
        <v>0</v>
      </c>
      <c r="CX161" s="70">
        <v>0</v>
      </c>
      <c r="CY161" s="70">
        <v>0</v>
      </c>
      <c r="CZ161" s="70">
        <v>0</v>
      </c>
      <c r="DA161" s="70">
        <v>0</v>
      </c>
      <c r="DB161" s="70">
        <v>0</v>
      </c>
      <c r="DD161" s="43">
        <v>0</v>
      </c>
      <c r="DI161" s="43" t="s">
        <v>0</v>
      </c>
    </row>
    <row r="162" spans="1:113" s="43" customFormat="1" ht="15.75" thickBot="1" x14ac:dyDescent="0.3">
      <c r="A162" s="43">
        <v>504746</v>
      </c>
      <c r="B162" s="43" t="s">
        <v>6</v>
      </c>
      <c r="C162" s="56" t="s">
        <v>452</v>
      </c>
      <c r="D162" s="43">
        <v>13</v>
      </c>
      <c r="E162" s="43">
        <v>0</v>
      </c>
      <c r="F162" s="43">
        <v>13</v>
      </c>
      <c r="G162" s="43">
        <v>199</v>
      </c>
      <c r="H162" s="43">
        <v>0</v>
      </c>
      <c r="I162" s="43">
        <v>25</v>
      </c>
      <c r="J162" s="57" t="s">
        <v>459</v>
      </c>
      <c r="K162" s="57" t="s">
        <v>460</v>
      </c>
      <c r="L162" s="59">
        <v>45936</v>
      </c>
      <c r="M162" s="43">
        <v>0</v>
      </c>
      <c r="N162" s="43">
        <v>0</v>
      </c>
      <c r="O162" s="43">
        <v>0</v>
      </c>
      <c r="S162" s="43" t="b">
        <v>0</v>
      </c>
      <c r="T162" s="43">
        <v>0.01</v>
      </c>
      <c r="U162" s="55">
        <v>7.5</v>
      </c>
      <c r="V162" s="43">
        <v>0.01</v>
      </c>
      <c r="W162" s="43">
        <v>0</v>
      </c>
      <c r="X162" s="43">
        <v>1000</v>
      </c>
      <c r="Z162" s="43">
        <v>10</v>
      </c>
      <c r="AB162" s="55">
        <v>50</v>
      </c>
      <c r="AD162" s="43">
        <v>10</v>
      </c>
      <c r="AF162" s="43">
        <v>2000</v>
      </c>
      <c r="AG162" s="43">
        <v>2</v>
      </c>
      <c r="AH162" s="43">
        <v>7.7399997709999999</v>
      </c>
      <c r="AI162" s="43">
        <v>821</v>
      </c>
      <c r="AJ162" s="43">
        <v>0</v>
      </c>
      <c r="AK162" s="43">
        <v>285</v>
      </c>
      <c r="AM162" s="43" t="s">
        <v>2</v>
      </c>
      <c r="AO162" s="43">
        <v>50</v>
      </c>
      <c r="AW162" s="43" t="b">
        <v>0</v>
      </c>
      <c r="BM162" s="36" t="s">
        <v>1</v>
      </c>
      <c r="BN162" s="61">
        <v>13</v>
      </c>
      <c r="BO162" s="38">
        <f t="shared" si="29"/>
        <v>7.5</v>
      </c>
      <c r="BP162" s="61">
        <v>250</v>
      </c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3"/>
      <c r="CF162" s="47" t="s">
        <v>16</v>
      </c>
      <c r="CI162" s="43">
        <v>2.68</v>
      </c>
      <c r="CR162" s="43">
        <v>0</v>
      </c>
      <c r="CS162" s="70">
        <v>0</v>
      </c>
      <c r="CT162" s="70">
        <v>0</v>
      </c>
      <c r="CU162" s="43">
        <v>0</v>
      </c>
      <c r="CV162" s="70">
        <v>0</v>
      </c>
      <c r="CW162" s="70">
        <v>0</v>
      </c>
      <c r="CX162" s="70">
        <v>0</v>
      </c>
      <c r="CY162" s="70">
        <v>0</v>
      </c>
      <c r="CZ162" s="70">
        <v>0</v>
      </c>
      <c r="DA162" s="70">
        <v>0</v>
      </c>
      <c r="DB162" s="70">
        <v>0</v>
      </c>
      <c r="DD162" s="43">
        <v>0</v>
      </c>
      <c r="DI162" s="43" t="s">
        <v>0</v>
      </c>
    </row>
    <row r="163" spans="1:113" s="43" customFormat="1" ht="15.75" thickBot="1" x14ac:dyDescent="0.3">
      <c r="A163" s="43">
        <v>504747</v>
      </c>
      <c r="B163" s="43" t="s">
        <v>6</v>
      </c>
      <c r="C163" s="56" t="s">
        <v>452</v>
      </c>
      <c r="D163" s="43">
        <v>13</v>
      </c>
      <c r="E163" s="43">
        <v>0</v>
      </c>
      <c r="F163" s="43">
        <v>13</v>
      </c>
      <c r="G163" s="43">
        <v>200</v>
      </c>
      <c r="H163" s="43">
        <v>0</v>
      </c>
      <c r="I163" s="43">
        <v>25</v>
      </c>
      <c r="J163" s="57" t="s">
        <v>461</v>
      </c>
      <c r="K163" s="57" t="s">
        <v>462</v>
      </c>
      <c r="L163" s="59">
        <v>45936</v>
      </c>
      <c r="M163" s="43">
        <v>0</v>
      </c>
      <c r="N163" s="43">
        <v>0</v>
      </c>
      <c r="O163" s="43">
        <v>0</v>
      </c>
      <c r="S163" s="43" t="b">
        <v>0</v>
      </c>
      <c r="T163" s="43">
        <v>0.01</v>
      </c>
      <c r="U163" s="55">
        <v>7.5</v>
      </c>
      <c r="V163" s="43">
        <v>0.01</v>
      </c>
      <c r="W163" s="43">
        <v>0</v>
      </c>
      <c r="X163" s="43">
        <v>1000</v>
      </c>
      <c r="Z163" s="43">
        <v>10</v>
      </c>
      <c r="AB163" s="55">
        <v>50</v>
      </c>
      <c r="AD163" s="43">
        <v>10</v>
      </c>
      <c r="AF163" s="43">
        <v>2000</v>
      </c>
      <c r="AG163" s="43">
        <v>2</v>
      </c>
      <c r="AH163" s="43">
        <v>7.6599998469999999</v>
      </c>
      <c r="AI163" s="43">
        <v>783</v>
      </c>
      <c r="AJ163" s="43">
        <v>0</v>
      </c>
      <c r="AK163" s="43">
        <v>271</v>
      </c>
      <c r="AM163" s="43" t="s">
        <v>2</v>
      </c>
      <c r="AO163" s="43">
        <v>50</v>
      </c>
      <c r="AW163" s="43" t="b">
        <v>0</v>
      </c>
      <c r="BM163" s="36" t="s">
        <v>1</v>
      </c>
      <c r="BN163" s="61">
        <v>13</v>
      </c>
      <c r="BO163" s="38">
        <f t="shared" si="29"/>
        <v>7.5</v>
      </c>
      <c r="BP163" s="61">
        <v>250</v>
      </c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3"/>
      <c r="CF163" s="47" t="s">
        <v>16</v>
      </c>
      <c r="CI163" s="43">
        <v>2.68</v>
      </c>
      <c r="CR163" s="43">
        <v>0</v>
      </c>
      <c r="CS163" s="70">
        <v>0</v>
      </c>
      <c r="CT163" s="70">
        <v>0</v>
      </c>
      <c r="CU163" s="43">
        <v>0</v>
      </c>
      <c r="CV163" s="70">
        <v>0</v>
      </c>
      <c r="CW163" s="70">
        <v>0</v>
      </c>
      <c r="CX163" s="70">
        <v>0</v>
      </c>
      <c r="CY163" s="70">
        <v>0</v>
      </c>
      <c r="CZ163" s="70">
        <v>0</v>
      </c>
      <c r="DA163" s="70">
        <v>0</v>
      </c>
      <c r="DB163" s="70">
        <v>0</v>
      </c>
      <c r="DD163" s="43">
        <v>0</v>
      </c>
      <c r="DI163" s="43" t="s">
        <v>0</v>
      </c>
    </row>
    <row r="164" spans="1:113" s="43" customFormat="1" ht="15.75" thickBot="1" x14ac:dyDescent="0.3">
      <c r="A164" s="43">
        <v>504748</v>
      </c>
      <c r="B164" s="43" t="s">
        <v>6</v>
      </c>
      <c r="C164" s="56" t="s">
        <v>452</v>
      </c>
      <c r="D164" s="43">
        <v>13</v>
      </c>
      <c r="E164" s="43">
        <v>0</v>
      </c>
      <c r="F164" s="43">
        <v>13</v>
      </c>
      <c r="G164" s="43">
        <v>201</v>
      </c>
      <c r="H164" s="43">
        <v>0</v>
      </c>
      <c r="I164" s="43">
        <v>25</v>
      </c>
      <c r="J164" s="57" t="s">
        <v>463</v>
      </c>
      <c r="K164" s="57" t="s">
        <v>464</v>
      </c>
      <c r="L164" s="59">
        <v>45936</v>
      </c>
      <c r="M164" s="43">
        <v>0</v>
      </c>
      <c r="N164" s="43">
        <v>0</v>
      </c>
      <c r="O164" s="43">
        <v>0</v>
      </c>
      <c r="S164" s="43" t="b">
        <v>0</v>
      </c>
      <c r="T164" s="43">
        <v>0.01</v>
      </c>
      <c r="U164" s="55">
        <v>7.5</v>
      </c>
      <c r="V164" s="43">
        <v>0.01</v>
      </c>
      <c r="W164" s="43">
        <v>0</v>
      </c>
      <c r="X164" s="43">
        <v>1000</v>
      </c>
      <c r="Z164" s="43">
        <v>10</v>
      </c>
      <c r="AB164" s="55">
        <v>50</v>
      </c>
      <c r="AD164" s="43">
        <v>10</v>
      </c>
      <c r="AF164" s="43">
        <v>2000</v>
      </c>
      <c r="AG164" s="43">
        <v>2</v>
      </c>
      <c r="AH164" s="43">
        <v>7.670000076</v>
      </c>
      <c r="AI164" s="43">
        <v>724</v>
      </c>
      <c r="AJ164" s="43">
        <v>0</v>
      </c>
      <c r="AK164" s="43">
        <v>250</v>
      </c>
      <c r="AM164" s="43" t="s">
        <v>2</v>
      </c>
      <c r="AO164" s="43">
        <v>50</v>
      </c>
      <c r="AW164" s="43" t="b">
        <v>0</v>
      </c>
      <c r="BM164" s="36" t="s">
        <v>1</v>
      </c>
      <c r="BN164" s="61">
        <v>13</v>
      </c>
      <c r="BO164" s="38">
        <f t="shared" si="29"/>
        <v>7.5</v>
      </c>
      <c r="BP164" s="61">
        <v>250</v>
      </c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3"/>
      <c r="CF164" s="47" t="s">
        <v>16</v>
      </c>
      <c r="CI164" s="43">
        <v>2.68</v>
      </c>
      <c r="CR164" s="43">
        <v>0</v>
      </c>
      <c r="CS164" s="70">
        <v>0</v>
      </c>
      <c r="CT164" s="70">
        <v>0</v>
      </c>
      <c r="CU164" s="43">
        <v>0</v>
      </c>
      <c r="CV164" s="70">
        <v>0</v>
      </c>
      <c r="CW164" s="70">
        <v>0</v>
      </c>
      <c r="CX164" s="70">
        <v>0</v>
      </c>
      <c r="CY164" s="70">
        <v>0</v>
      </c>
      <c r="CZ164" s="70">
        <v>0</v>
      </c>
      <c r="DA164" s="70">
        <v>0</v>
      </c>
      <c r="DB164" s="70">
        <v>0</v>
      </c>
      <c r="DD164" s="43">
        <v>0</v>
      </c>
      <c r="DI164" s="43" t="s">
        <v>0</v>
      </c>
    </row>
    <row r="165" spans="1:113" s="43" customFormat="1" ht="15.75" thickBot="1" x14ac:dyDescent="0.3">
      <c r="A165" s="43">
        <v>504749</v>
      </c>
      <c r="B165" s="43" t="s">
        <v>6</v>
      </c>
      <c r="C165" s="56" t="s">
        <v>447</v>
      </c>
      <c r="D165" s="43">
        <v>12</v>
      </c>
      <c r="E165" s="43">
        <v>0</v>
      </c>
      <c r="F165" s="43">
        <v>12</v>
      </c>
      <c r="G165" s="43">
        <v>202</v>
      </c>
      <c r="H165" s="43">
        <v>0</v>
      </c>
      <c r="I165" s="43">
        <v>25</v>
      </c>
      <c r="J165" s="57" t="s">
        <v>465</v>
      </c>
      <c r="K165" s="57" t="s">
        <v>466</v>
      </c>
      <c r="L165" s="59">
        <v>45936</v>
      </c>
      <c r="M165" s="43">
        <v>0</v>
      </c>
      <c r="N165" s="43">
        <v>0</v>
      </c>
      <c r="O165" s="43">
        <v>0</v>
      </c>
      <c r="S165" s="43" t="b">
        <v>0</v>
      </c>
      <c r="T165" s="43">
        <v>0.01</v>
      </c>
      <c r="U165" s="55">
        <v>6.5</v>
      </c>
      <c r="V165" s="43">
        <v>0.01</v>
      </c>
      <c r="W165" s="43">
        <v>0</v>
      </c>
      <c r="X165" s="43">
        <v>1000</v>
      </c>
      <c r="Z165" s="43">
        <v>10</v>
      </c>
      <c r="AB165" s="55">
        <v>50</v>
      </c>
      <c r="AD165" s="43">
        <v>10</v>
      </c>
      <c r="AF165" s="43">
        <v>2000</v>
      </c>
      <c r="AG165" s="43">
        <v>2</v>
      </c>
      <c r="AH165" s="43">
        <v>6.6599998469999999</v>
      </c>
      <c r="AI165" s="43">
        <v>656</v>
      </c>
      <c r="AJ165" s="43">
        <v>0</v>
      </c>
      <c r="AK165" s="43">
        <v>196</v>
      </c>
      <c r="AM165" s="43" t="s">
        <v>2</v>
      </c>
      <c r="AO165" s="43">
        <v>50</v>
      </c>
      <c r="AW165" s="43" t="b">
        <v>0</v>
      </c>
      <c r="BM165" s="36" t="s">
        <v>1</v>
      </c>
      <c r="BN165" s="61">
        <v>12</v>
      </c>
      <c r="BO165" s="38">
        <f t="shared" si="29"/>
        <v>6.5</v>
      </c>
      <c r="BP165" s="61">
        <v>250</v>
      </c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3"/>
      <c r="CF165" s="47" t="s">
        <v>12</v>
      </c>
      <c r="CI165" s="43">
        <v>2.68</v>
      </c>
      <c r="CR165" s="43">
        <v>0</v>
      </c>
      <c r="CS165" s="70">
        <v>0</v>
      </c>
      <c r="CT165" s="70">
        <v>0</v>
      </c>
      <c r="CU165" s="43">
        <v>1</v>
      </c>
      <c r="CV165" s="70">
        <v>0</v>
      </c>
      <c r="CW165" s="70">
        <v>0</v>
      </c>
      <c r="CX165" s="70">
        <v>0</v>
      </c>
      <c r="CY165" s="70">
        <v>0</v>
      </c>
      <c r="CZ165" s="70">
        <v>0</v>
      </c>
      <c r="DA165" s="70">
        <v>0</v>
      </c>
      <c r="DB165" s="70">
        <v>0</v>
      </c>
      <c r="DD165" s="43">
        <v>2</v>
      </c>
      <c r="DI165" s="43" t="s">
        <v>0</v>
      </c>
    </row>
    <row r="166" spans="1:113" s="43" customFormat="1" ht="15.75" thickBot="1" x14ac:dyDescent="0.3">
      <c r="A166" s="43">
        <v>504750</v>
      </c>
      <c r="B166" s="43" t="s">
        <v>6</v>
      </c>
      <c r="C166" s="56" t="s">
        <v>447</v>
      </c>
      <c r="D166" s="43">
        <v>12</v>
      </c>
      <c r="E166" s="43">
        <v>0</v>
      </c>
      <c r="F166" s="43">
        <v>12</v>
      </c>
      <c r="G166" s="43">
        <v>203</v>
      </c>
      <c r="H166" s="43">
        <v>0</v>
      </c>
      <c r="I166" s="43">
        <v>25</v>
      </c>
      <c r="J166" s="57" t="s">
        <v>467</v>
      </c>
      <c r="K166" s="57" t="s">
        <v>468</v>
      </c>
      <c r="L166" s="59">
        <v>45936</v>
      </c>
      <c r="M166" s="43">
        <v>0</v>
      </c>
      <c r="N166" s="43">
        <v>0</v>
      </c>
      <c r="O166" s="43">
        <v>0</v>
      </c>
      <c r="S166" s="43" t="b">
        <v>0</v>
      </c>
      <c r="T166" s="43">
        <v>0.01</v>
      </c>
      <c r="U166" s="55">
        <v>6.5</v>
      </c>
      <c r="V166" s="43">
        <v>0.01</v>
      </c>
      <c r="W166" s="43">
        <v>0</v>
      </c>
      <c r="X166" s="43">
        <v>1000</v>
      </c>
      <c r="Z166" s="43">
        <v>10</v>
      </c>
      <c r="AB166" s="55">
        <v>50</v>
      </c>
      <c r="AD166" s="43">
        <v>10</v>
      </c>
      <c r="AF166" s="43">
        <v>2000</v>
      </c>
      <c r="AG166" s="43">
        <v>2</v>
      </c>
      <c r="AH166" s="43">
        <v>6.6599998469999999</v>
      </c>
      <c r="AI166" s="43">
        <v>601</v>
      </c>
      <c r="AJ166" s="43">
        <v>0</v>
      </c>
      <c r="AK166" s="43">
        <v>180</v>
      </c>
      <c r="AM166" s="43" t="s">
        <v>2</v>
      </c>
      <c r="AO166" s="43">
        <v>50</v>
      </c>
      <c r="AW166" s="43" t="b">
        <v>0</v>
      </c>
      <c r="BM166" s="36" t="s">
        <v>1</v>
      </c>
      <c r="BN166" s="61">
        <v>12</v>
      </c>
      <c r="BO166" s="38">
        <f t="shared" si="29"/>
        <v>6.5</v>
      </c>
      <c r="BP166" s="61">
        <v>250</v>
      </c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3"/>
      <c r="CF166" s="47" t="s">
        <v>12</v>
      </c>
      <c r="CI166" s="43">
        <v>2.68</v>
      </c>
      <c r="CR166" s="43">
        <v>0</v>
      </c>
      <c r="CS166" s="70">
        <v>0</v>
      </c>
      <c r="CT166" s="70">
        <v>0</v>
      </c>
      <c r="CU166" s="43">
        <v>1</v>
      </c>
      <c r="CV166" s="70">
        <v>0</v>
      </c>
      <c r="CW166" s="70">
        <v>0</v>
      </c>
      <c r="CX166" s="70">
        <v>0</v>
      </c>
      <c r="CY166" s="70">
        <v>0</v>
      </c>
      <c r="CZ166" s="70">
        <v>0</v>
      </c>
      <c r="DA166" s="70">
        <v>0</v>
      </c>
      <c r="DB166" s="70">
        <v>0</v>
      </c>
      <c r="DD166" s="43">
        <v>2</v>
      </c>
      <c r="DI166" s="43" t="s">
        <v>0</v>
      </c>
    </row>
    <row r="167" spans="1:113" s="43" customFormat="1" ht="15.75" thickBot="1" x14ac:dyDescent="0.3">
      <c r="A167" s="43">
        <v>504751</v>
      </c>
      <c r="B167" s="43" t="s">
        <v>6</v>
      </c>
      <c r="C167" s="56" t="s">
        <v>438</v>
      </c>
      <c r="D167" s="43">
        <v>8</v>
      </c>
      <c r="E167" s="43">
        <v>0</v>
      </c>
      <c r="F167" s="43">
        <v>8</v>
      </c>
      <c r="G167" s="43">
        <v>204</v>
      </c>
      <c r="H167" s="43">
        <v>0</v>
      </c>
      <c r="I167" s="43">
        <v>25</v>
      </c>
      <c r="J167" s="57" t="s">
        <v>469</v>
      </c>
      <c r="K167" s="57" t="s">
        <v>470</v>
      </c>
      <c r="L167" s="59">
        <v>45936</v>
      </c>
      <c r="M167" s="43">
        <v>0</v>
      </c>
      <c r="N167" s="43">
        <v>0</v>
      </c>
      <c r="O167" s="43">
        <v>0</v>
      </c>
      <c r="S167" s="43" t="b">
        <v>0</v>
      </c>
      <c r="T167" s="43">
        <v>3.5</v>
      </c>
      <c r="U167" s="55">
        <v>6.5</v>
      </c>
      <c r="V167" s="43">
        <v>0.01</v>
      </c>
      <c r="W167" s="43">
        <v>0</v>
      </c>
      <c r="X167" s="43">
        <v>1000</v>
      </c>
      <c r="Z167" s="43">
        <v>20</v>
      </c>
      <c r="AB167" s="55">
        <v>50</v>
      </c>
      <c r="AD167" s="43">
        <v>10</v>
      </c>
      <c r="AF167" s="43">
        <v>2000</v>
      </c>
      <c r="AG167" s="43">
        <v>2</v>
      </c>
      <c r="AH167" s="43">
        <v>6.7399997709999999</v>
      </c>
      <c r="AI167" s="43">
        <v>554</v>
      </c>
      <c r="AJ167" s="43">
        <v>0</v>
      </c>
      <c r="AK167" s="43">
        <v>169</v>
      </c>
      <c r="AM167" s="43" t="s">
        <v>2</v>
      </c>
      <c r="AO167" s="43">
        <v>50</v>
      </c>
      <c r="AW167" s="43" t="b">
        <v>0</v>
      </c>
      <c r="BM167" s="36" t="s">
        <v>1</v>
      </c>
      <c r="BN167" s="61">
        <v>8</v>
      </c>
      <c r="BO167" s="38">
        <f t="shared" si="29"/>
        <v>6.5</v>
      </c>
      <c r="BP167" s="61">
        <v>250</v>
      </c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3"/>
      <c r="CF167" s="47" t="s">
        <v>16</v>
      </c>
      <c r="CI167" s="43">
        <v>2.68</v>
      </c>
      <c r="CR167" s="43">
        <v>0</v>
      </c>
      <c r="CS167" s="70">
        <v>0</v>
      </c>
      <c r="CT167" s="70">
        <v>0</v>
      </c>
      <c r="CU167" s="43">
        <v>0</v>
      </c>
      <c r="CV167" s="70">
        <v>0</v>
      </c>
      <c r="CW167" s="70">
        <v>0</v>
      </c>
      <c r="CX167" s="70">
        <v>0</v>
      </c>
      <c r="CY167" s="70">
        <v>0</v>
      </c>
      <c r="CZ167" s="70">
        <v>0</v>
      </c>
      <c r="DA167" s="70">
        <v>0</v>
      </c>
      <c r="DB167" s="70">
        <v>0</v>
      </c>
      <c r="DD167" s="43">
        <v>0</v>
      </c>
      <c r="DI167" s="43" t="s">
        <v>0</v>
      </c>
    </row>
    <row r="168" spans="1:113" s="43" customFormat="1" ht="15.75" thickBot="1" x14ac:dyDescent="0.3">
      <c r="A168" s="43">
        <v>504752</v>
      </c>
      <c r="B168" s="43" t="s">
        <v>6</v>
      </c>
      <c r="C168" s="56" t="s">
        <v>438</v>
      </c>
      <c r="D168" s="43">
        <v>8</v>
      </c>
      <c r="E168" s="43">
        <v>0</v>
      </c>
      <c r="F168" s="43">
        <v>8</v>
      </c>
      <c r="G168" s="43">
        <v>205</v>
      </c>
      <c r="H168" s="43">
        <v>0</v>
      </c>
      <c r="I168" s="43">
        <v>25</v>
      </c>
      <c r="J168" s="57" t="s">
        <v>471</v>
      </c>
      <c r="K168" s="57" t="s">
        <v>472</v>
      </c>
      <c r="L168" s="59">
        <v>45936</v>
      </c>
      <c r="M168" s="43">
        <v>0</v>
      </c>
      <c r="N168" s="43">
        <v>0</v>
      </c>
      <c r="O168" s="43">
        <v>0</v>
      </c>
      <c r="S168" s="43" t="b">
        <v>0</v>
      </c>
      <c r="T168" s="43">
        <v>3.5</v>
      </c>
      <c r="U168" s="55">
        <v>6.5</v>
      </c>
      <c r="V168" s="43">
        <v>0.01</v>
      </c>
      <c r="W168" s="43">
        <v>0</v>
      </c>
      <c r="X168" s="43">
        <v>1000</v>
      </c>
      <c r="Z168" s="43">
        <v>20</v>
      </c>
      <c r="AB168" s="55">
        <v>50</v>
      </c>
      <c r="AD168" s="43">
        <v>10</v>
      </c>
      <c r="AF168" s="43">
        <v>2000</v>
      </c>
      <c r="AG168" s="43">
        <v>2</v>
      </c>
      <c r="AH168" s="43">
        <v>6.7300000190000002</v>
      </c>
      <c r="AI168" s="43">
        <v>529</v>
      </c>
      <c r="AJ168" s="43">
        <v>0</v>
      </c>
      <c r="AK168" s="43">
        <v>160</v>
      </c>
      <c r="AM168" s="43" t="s">
        <v>2</v>
      </c>
      <c r="AO168" s="43">
        <v>50</v>
      </c>
      <c r="AW168" s="43" t="b">
        <v>0</v>
      </c>
      <c r="BM168" s="36" t="s">
        <v>1</v>
      </c>
      <c r="BN168" s="61">
        <v>8</v>
      </c>
      <c r="BO168" s="38">
        <f t="shared" si="29"/>
        <v>6.5</v>
      </c>
      <c r="BP168" s="61">
        <v>250</v>
      </c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3"/>
      <c r="CF168" s="47" t="s">
        <v>16</v>
      </c>
      <c r="CI168" s="43">
        <v>2.68</v>
      </c>
      <c r="CR168" s="43">
        <v>0</v>
      </c>
      <c r="CS168" s="70">
        <v>0</v>
      </c>
      <c r="CT168" s="70">
        <v>0</v>
      </c>
      <c r="CU168" s="43">
        <v>0</v>
      </c>
      <c r="CV168" s="70">
        <v>0</v>
      </c>
      <c r="CW168" s="70">
        <v>0</v>
      </c>
      <c r="CX168" s="70">
        <v>0</v>
      </c>
      <c r="CY168" s="70">
        <v>0</v>
      </c>
      <c r="CZ168" s="70">
        <v>0</v>
      </c>
      <c r="DA168" s="70">
        <v>0</v>
      </c>
      <c r="DB168" s="70">
        <v>0</v>
      </c>
      <c r="DD168" s="43">
        <v>0</v>
      </c>
      <c r="DI168" s="43" t="s">
        <v>0</v>
      </c>
    </row>
    <row r="169" spans="1:113" s="43" customFormat="1" ht="15.75" thickBot="1" x14ac:dyDescent="0.3">
      <c r="A169" s="43">
        <v>504753</v>
      </c>
      <c r="B169" s="43" t="s">
        <v>6</v>
      </c>
      <c r="C169" s="56" t="s">
        <v>438</v>
      </c>
      <c r="D169" s="43">
        <v>8</v>
      </c>
      <c r="E169" s="43">
        <v>0</v>
      </c>
      <c r="F169" s="43">
        <v>8</v>
      </c>
      <c r="G169" s="43">
        <v>206</v>
      </c>
      <c r="H169" s="43">
        <v>0</v>
      </c>
      <c r="I169" s="43">
        <v>25</v>
      </c>
      <c r="J169" s="57" t="s">
        <v>473</v>
      </c>
      <c r="K169" s="57" t="s">
        <v>474</v>
      </c>
      <c r="L169" s="59">
        <v>45936</v>
      </c>
      <c r="M169" s="43">
        <v>0</v>
      </c>
      <c r="N169" s="43">
        <v>0</v>
      </c>
      <c r="O169" s="43">
        <v>0</v>
      </c>
      <c r="S169" s="43" t="b">
        <v>0</v>
      </c>
      <c r="T169" s="43">
        <v>3.5</v>
      </c>
      <c r="U169" s="55">
        <v>6.5</v>
      </c>
      <c r="V169" s="43">
        <v>0.01</v>
      </c>
      <c r="W169" s="43">
        <v>0</v>
      </c>
      <c r="X169" s="43">
        <v>1000</v>
      </c>
      <c r="Z169" s="43">
        <v>20</v>
      </c>
      <c r="AB169" s="55">
        <v>50</v>
      </c>
      <c r="AD169" s="43">
        <v>10</v>
      </c>
      <c r="AF169" s="43">
        <v>2000</v>
      </c>
      <c r="AG169" s="43">
        <v>2</v>
      </c>
      <c r="AH169" s="43">
        <v>6.7199997900000001</v>
      </c>
      <c r="AI169" s="43">
        <v>525</v>
      </c>
      <c r="AJ169" s="43">
        <v>0</v>
      </c>
      <c r="AK169" s="43">
        <v>160</v>
      </c>
      <c r="AM169" s="43" t="s">
        <v>2</v>
      </c>
      <c r="AO169" s="43">
        <v>50</v>
      </c>
      <c r="AW169" s="43" t="b">
        <v>0</v>
      </c>
      <c r="BM169" s="36" t="s">
        <v>1</v>
      </c>
      <c r="BN169" s="61">
        <v>8</v>
      </c>
      <c r="BO169" s="38">
        <f t="shared" si="29"/>
        <v>6.5</v>
      </c>
      <c r="BP169" s="61">
        <v>250</v>
      </c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3"/>
      <c r="CF169" s="47" t="s">
        <v>16</v>
      </c>
      <c r="CI169" s="43">
        <v>2.68</v>
      </c>
      <c r="CR169" s="43">
        <v>0</v>
      </c>
      <c r="CS169" s="70">
        <v>0</v>
      </c>
      <c r="CT169" s="70">
        <v>0</v>
      </c>
      <c r="CU169" s="43">
        <v>0</v>
      </c>
      <c r="CV169" s="70">
        <v>0</v>
      </c>
      <c r="CW169" s="70">
        <v>0</v>
      </c>
      <c r="CX169" s="70">
        <v>0</v>
      </c>
      <c r="CY169" s="70">
        <v>0</v>
      </c>
      <c r="CZ169" s="70">
        <v>0</v>
      </c>
      <c r="DA169" s="70">
        <v>0</v>
      </c>
      <c r="DB169" s="70">
        <v>0</v>
      </c>
      <c r="DD169" s="43">
        <v>0</v>
      </c>
      <c r="DI169" s="43" t="s">
        <v>0</v>
      </c>
    </row>
    <row r="170" spans="1:113" s="43" customFormat="1" ht="15.75" thickBot="1" x14ac:dyDescent="0.3">
      <c r="A170" s="43">
        <v>504754</v>
      </c>
      <c r="B170" s="43" t="s">
        <v>6</v>
      </c>
      <c r="C170" s="56" t="s">
        <v>438</v>
      </c>
      <c r="D170" s="43">
        <v>8</v>
      </c>
      <c r="E170" s="43">
        <v>0</v>
      </c>
      <c r="F170" s="43">
        <v>8</v>
      </c>
      <c r="G170" s="43">
        <v>207</v>
      </c>
      <c r="H170" s="43">
        <v>0</v>
      </c>
      <c r="I170" s="43">
        <v>25</v>
      </c>
      <c r="J170" s="57" t="s">
        <v>475</v>
      </c>
      <c r="K170" s="57" t="s">
        <v>476</v>
      </c>
      <c r="L170" s="59">
        <v>45936</v>
      </c>
      <c r="M170" s="43">
        <v>0</v>
      </c>
      <c r="N170" s="43">
        <v>0</v>
      </c>
      <c r="O170" s="43">
        <v>0</v>
      </c>
      <c r="S170" s="43" t="b">
        <v>0</v>
      </c>
      <c r="T170" s="43">
        <v>3.5</v>
      </c>
      <c r="U170" s="55">
        <v>6.5</v>
      </c>
      <c r="V170" s="43">
        <v>0.01</v>
      </c>
      <c r="W170" s="43">
        <v>0</v>
      </c>
      <c r="X170" s="43">
        <v>1000</v>
      </c>
      <c r="Z170" s="43">
        <v>20</v>
      </c>
      <c r="AB170" s="55">
        <v>50</v>
      </c>
      <c r="AD170" s="43">
        <v>10</v>
      </c>
      <c r="AF170" s="43">
        <v>2000</v>
      </c>
      <c r="AG170" s="43">
        <v>2</v>
      </c>
      <c r="AH170" s="43">
        <v>6.7300000190000002</v>
      </c>
      <c r="AI170" s="43">
        <v>529</v>
      </c>
      <c r="AJ170" s="43">
        <v>0</v>
      </c>
      <c r="AK170" s="43">
        <v>160</v>
      </c>
      <c r="AM170" s="43" t="s">
        <v>2</v>
      </c>
      <c r="AO170" s="43">
        <v>50</v>
      </c>
      <c r="AW170" s="43" t="b">
        <v>0</v>
      </c>
      <c r="BM170" s="36" t="s">
        <v>1</v>
      </c>
      <c r="BN170" s="61">
        <v>8</v>
      </c>
      <c r="BO170" s="38">
        <f t="shared" si="29"/>
        <v>6.5</v>
      </c>
      <c r="BP170" s="61">
        <v>250</v>
      </c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3"/>
      <c r="CF170" s="47" t="s">
        <v>16</v>
      </c>
      <c r="CI170" s="43">
        <v>2.68</v>
      </c>
      <c r="CR170" s="43">
        <v>0</v>
      </c>
      <c r="CS170" s="70">
        <v>0</v>
      </c>
      <c r="CT170" s="70">
        <v>0</v>
      </c>
      <c r="CU170" s="43">
        <v>0</v>
      </c>
      <c r="CV170" s="70">
        <v>0</v>
      </c>
      <c r="CW170" s="70">
        <v>0</v>
      </c>
      <c r="CX170" s="70">
        <v>0</v>
      </c>
      <c r="CY170" s="70">
        <v>0</v>
      </c>
      <c r="CZ170" s="70">
        <v>0</v>
      </c>
      <c r="DA170" s="70">
        <v>0</v>
      </c>
      <c r="DB170" s="70">
        <v>0</v>
      </c>
      <c r="DD170" s="43">
        <v>0</v>
      </c>
      <c r="DI170" s="43" t="s">
        <v>0</v>
      </c>
    </row>
    <row r="171" spans="1:113" s="43" customFormat="1" ht="15.75" thickBot="1" x14ac:dyDescent="0.3">
      <c r="A171" s="43">
        <v>504755</v>
      </c>
      <c r="B171" s="43" t="s">
        <v>6</v>
      </c>
      <c r="C171" s="56" t="s">
        <v>447</v>
      </c>
      <c r="D171" s="43">
        <v>12</v>
      </c>
      <c r="E171" s="43">
        <v>0</v>
      </c>
      <c r="F171" s="43">
        <v>12</v>
      </c>
      <c r="G171" s="43">
        <v>208</v>
      </c>
      <c r="H171" s="43">
        <v>0</v>
      </c>
      <c r="I171" s="43">
        <v>25</v>
      </c>
      <c r="J171" s="57" t="s">
        <v>477</v>
      </c>
      <c r="K171" s="57" t="s">
        <v>478</v>
      </c>
      <c r="L171" s="59">
        <v>45936</v>
      </c>
      <c r="M171" s="43">
        <v>0</v>
      </c>
      <c r="N171" s="43">
        <v>0</v>
      </c>
      <c r="O171" s="43">
        <v>0</v>
      </c>
      <c r="S171" s="43" t="b">
        <v>0</v>
      </c>
      <c r="T171" s="43">
        <v>0.01</v>
      </c>
      <c r="U171" s="55">
        <v>6.5</v>
      </c>
      <c r="V171" s="43">
        <v>0.01</v>
      </c>
      <c r="W171" s="43">
        <v>0</v>
      </c>
      <c r="X171" s="43">
        <v>1000</v>
      </c>
      <c r="Z171" s="43">
        <v>10</v>
      </c>
      <c r="AB171" s="55">
        <v>50</v>
      </c>
      <c r="AD171" s="43">
        <v>10</v>
      </c>
      <c r="AF171" s="43">
        <v>2000</v>
      </c>
      <c r="AG171" s="43">
        <v>2</v>
      </c>
      <c r="AH171" s="43">
        <v>6.7300000190000002</v>
      </c>
      <c r="AI171" s="43">
        <v>728</v>
      </c>
      <c r="AJ171" s="43">
        <v>0</v>
      </c>
      <c r="AK171" s="43">
        <v>218</v>
      </c>
      <c r="AM171" s="43" t="s">
        <v>2</v>
      </c>
      <c r="AO171" s="43">
        <v>50</v>
      </c>
      <c r="AW171" s="43" t="b">
        <v>0</v>
      </c>
      <c r="BM171" s="36" t="s">
        <v>1</v>
      </c>
      <c r="BN171" s="61">
        <v>12</v>
      </c>
      <c r="BO171" s="38">
        <f t="shared" si="29"/>
        <v>6.5</v>
      </c>
      <c r="BP171" s="61">
        <v>250</v>
      </c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3"/>
      <c r="CF171" s="47" t="s">
        <v>16</v>
      </c>
      <c r="CI171" s="43">
        <v>2.68</v>
      </c>
      <c r="CR171" s="43">
        <v>0</v>
      </c>
      <c r="CS171" s="70">
        <v>0</v>
      </c>
      <c r="CT171" s="70">
        <v>0</v>
      </c>
      <c r="CU171" s="43">
        <v>0</v>
      </c>
      <c r="CV171" s="70">
        <v>0</v>
      </c>
      <c r="CW171" s="70">
        <v>0</v>
      </c>
      <c r="CX171" s="70">
        <v>0</v>
      </c>
      <c r="CY171" s="70">
        <v>0</v>
      </c>
      <c r="CZ171" s="70">
        <v>0</v>
      </c>
      <c r="DA171" s="70">
        <v>0</v>
      </c>
      <c r="DB171" s="70">
        <v>0</v>
      </c>
      <c r="DD171" s="43">
        <v>0</v>
      </c>
      <c r="DI171" s="43" t="s">
        <v>0</v>
      </c>
    </row>
    <row r="172" spans="1:113" s="43" customFormat="1" ht="15.75" thickBot="1" x14ac:dyDescent="0.3">
      <c r="A172" s="43">
        <v>504756</v>
      </c>
      <c r="B172" s="43" t="s">
        <v>6</v>
      </c>
      <c r="C172" s="56" t="s">
        <v>447</v>
      </c>
      <c r="D172" s="43">
        <v>12</v>
      </c>
      <c r="E172" s="43">
        <v>0</v>
      </c>
      <c r="F172" s="43">
        <v>12</v>
      </c>
      <c r="G172" s="43">
        <v>209</v>
      </c>
      <c r="H172" s="43">
        <v>0</v>
      </c>
      <c r="I172" s="43">
        <v>25</v>
      </c>
      <c r="J172" s="57" t="s">
        <v>479</v>
      </c>
      <c r="K172" s="57" t="s">
        <v>480</v>
      </c>
      <c r="L172" s="59">
        <v>45936</v>
      </c>
      <c r="M172" s="43">
        <v>0</v>
      </c>
      <c r="N172" s="43">
        <v>0</v>
      </c>
      <c r="O172" s="43">
        <v>0</v>
      </c>
      <c r="S172" s="43" t="b">
        <v>0</v>
      </c>
      <c r="T172" s="43">
        <v>0.01</v>
      </c>
      <c r="U172" s="55">
        <v>6.5</v>
      </c>
      <c r="V172" s="43">
        <v>0.01</v>
      </c>
      <c r="W172" s="43">
        <v>0</v>
      </c>
      <c r="X172" s="43">
        <v>1000</v>
      </c>
      <c r="Z172" s="43">
        <v>10</v>
      </c>
      <c r="AB172" s="55">
        <v>50</v>
      </c>
      <c r="AD172" s="43">
        <v>10</v>
      </c>
      <c r="AF172" s="43">
        <v>2000</v>
      </c>
      <c r="AG172" s="43">
        <v>2</v>
      </c>
      <c r="AH172" s="43">
        <v>6.6900000569999998</v>
      </c>
      <c r="AI172" s="43">
        <v>665</v>
      </c>
      <c r="AJ172" s="43">
        <v>0</v>
      </c>
      <c r="AK172" s="43">
        <v>198</v>
      </c>
      <c r="AM172" s="43" t="s">
        <v>2</v>
      </c>
      <c r="AO172" s="43">
        <v>50</v>
      </c>
      <c r="AW172" s="43" t="b">
        <v>0</v>
      </c>
      <c r="BM172" s="36" t="s">
        <v>1</v>
      </c>
      <c r="BN172" s="61">
        <v>12</v>
      </c>
      <c r="BO172" s="38">
        <f t="shared" si="29"/>
        <v>6.5</v>
      </c>
      <c r="BP172" s="61">
        <v>250</v>
      </c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3"/>
      <c r="CF172" s="47" t="s">
        <v>16</v>
      </c>
      <c r="CI172" s="43">
        <v>2.68</v>
      </c>
      <c r="CR172" s="43">
        <v>0</v>
      </c>
      <c r="CS172" s="70">
        <v>0</v>
      </c>
      <c r="CT172" s="70">
        <v>0</v>
      </c>
      <c r="CU172" s="43">
        <v>0</v>
      </c>
      <c r="CV172" s="70">
        <v>0</v>
      </c>
      <c r="CW172" s="70">
        <v>0</v>
      </c>
      <c r="CX172" s="70">
        <v>0</v>
      </c>
      <c r="CY172" s="70">
        <v>0</v>
      </c>
      <c r="CZ172" s="70">
        <v>0</v>
      </c>
      <c r="DA172" s="70">
        <v>0</v>
      </c>
      <c r="DB172" s="70">
        <v>0</v>
      </c>
      <c r="DD172" s="43">
        <v>0</v>
      </c>
      <c r="DI172" s="43" t="s">
        <v>0</v>
      </c>
    </row>
    <row r="173" spans="1:113" s="43" customFormat="1" ht="15.75" thickBot="1" x14ac:dyDescent="0.3">
      <c r="A173" s="43">
        <v>504757</v>
      </c>
      <c r="B173" s="43" t="s">
        <v>6</v>
      </c>
      <c r="C173" s="56" t="s">
        <v>447</v>
      </c>
      <c r="D173" s="43">
        <v>12</v>
      </c>
      <c r="E173" s="43">
        <v>0</v>
      </c>
      <c r="F173" s="43">
        <v>12</v>
      </c>
      <c r="G173" s="43">
        <v>210</v>
      </c>
      <c r="H173" s="43">
        <v>0</v>
      </c>
      <c r="I173" s="43">
        <v>25</v>
      </c>
      <c r="J173" s="57" t="s">
        <v>481</v>
      </c>
      <c r="K173" s="57" t="s">
        <v>482</v>
      </c>
      <c r="L173" s="59">
        <v>45936</v>
      </c>
      <c r="M173" s="43">
        <v>0</v>
      </c>
      <c r="N173" s="43">
        <v>0</v>
      </c>
      <c r="O173" s="43">
        <v>0</v>
      </c>
      <c r="S173" s="43" t="b">
        <v>0</v>
      </c>
      <c r="T173" s="43">
        <v>0.01</v>
      </c>
      <c r="U173" s="55">
        <v>6.5</v>
      </c>
      <c r="V173" s="43">
        <v>0.01</v>
      </c>
      <c r="W173" s="43">
        <v>0</v>
      </c>
      <c r="X173" s="43">
        <v>1000</v>
      </c>
      <c r="Z173" s="43">
        <v>10</v>
      </c>
      <c r="AB173" s="55">
        <v>50</v>
      </c>
      <c r="AD173" s="43">
        <v>10</v>
      </c>
      <c r="AF173" s="43">
        <v>2000</v>
      </c>
      <c r="AG173" s="43">
        <v>2</v>
      </c>
      <c r="AH173" s="43">
        <v>6.6799998279999997</v>
      </c>
      <c r="AI173" s="43">
        <v>643</v>
      </c>
      <c r="AJ173" s="43">
        <v>0</v>
      </c>
      <c r="AK173" s="43">
        <v>193</v>
      </c>
      <c r="AM173" s="43" t="s">
        <v>2</v>
      </c>
      <c r="AO173" s="43">
        <v>50</v>
      </c>
      <c r="AW173" s="43" t="b">
        <v>0</v>
      </c>
      <c r="BM173" s="36" t="s">
        <v>1</v>
      </c>
      <c r="BN173" s="61">
        <v>12</v>
      </c>
      <c r="BO173" s="38">
        <f t="shared" si="29"/>
        <v>6.5</v>
      </c>
      <c r="BP173" s="61">
        <v>250</v>
      </c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3"/>
      <c r="CF173" s="47" t="s">
        <v>16</v>
      </c>
      <c r="CI173" s="43">
        <v>2.68</v>
      </c>
      <c r="CR173" s="43">
        <v>0</v>
      </c>
      <c r="CS173" s="70">
        <v>0</v>
      </c>
      <c r="CT173" s="70">
        <v>0</v>
      </c>
      <c r="CU173" s="43">
        <v>0</v>
      </c>
      <c r="CV173" s="70">
        <v>0</v>
      </c>
      <c r="CW173" s="70">
        <v>0</v>
      </c>
      <c r="CX173" s="70">
        <v>0</v>
      </c>
      <c r="CY173" s="70">
        <v>0</v>
      </c>
      <c r="CZ173" s="70">
        <v>0</v>
      </c>
      <c r="DA173" s="70">
        <v>0</v>
      </c>
      <c r="DB173" s="70">
        <v>0</v>
      </c>
      <c r="DD173" s="43">
        <v>0</v>
      </c>
      <c r="DI173" s="43" t="s">
        <v>0</v>
      </c>
    </row>
    <row r="174" spans="1:113" s="43" customFormat="1" ht="15.75" thickBot="1" x14ac:dyDescent="0.3">
      <c r="A174" s="43">
        <v>504758</v>
      </c>
      <c r="B174" s="43" t="s">
        <v>6</v>
      </c>
      <c r="C174" s="56" t="s">
        <v>447</v>
      </c>
      <c r="D174" s="43">
        <v>12</v>
      </c>
      <c r="E174" s="43">
        <v>0</v>
      </c>
      <c r="F174" s="43">
        <v>12</v>
      </c>
      <c r="G174" s="43">
        <v>211</v>
      </c>
      <c r="H174" s="43">
        <v>0</v>
      </c>
      <c r="I174" s="43">
        <v>25</v>
      </c>
      <c r="J174" s="57" t="s">
        <v>483</v>
      </c>
      <c r="K174" s="57" t="s">
        <v>484</v>
      </c>
      <c r="L174" s="59">
        <v>45936</v>
      </c>
      <c r="M174" s="43">
        <v>0</v>
      </c>
      <c r="N174" s="43">
        <v>0</v>
      </c>
      <c r="O174" s="43">
        <v>0</v>
      </c>
      <c r="S174" s="43" t="b">
        <v>0</v>
      </c>
      <c r="T174" s="43">
        <v>0.01</v>
      </c>
      <c r="U174" s="55">
        <v>6.5</v>
      </c>
      <c r="V174" s="43">
        <v>0.01</v>
      </c>
      <c r="W174" s="43">
        <v>0</v>
      </c>
      <c r="X174" s="43">
        <v>1000</v>
      </c>
      <c r="Z174" s="43">
        <v>10</v>
      </c>
      <c r="AB174" s="55">
        <v>50</v>
      </c>
      <c r="AD174" s="43">
        <v>10</v>
      </c>
      <c r="AF174" s="43">
        <v>2000</v>
      </c>
      <c r="AG174" s="43">
        <v>2</v>
      </c>
      <c r="AH174" s="43">
        <v>6.6799998279999997</v>
      </c>
      <c r="AI174" s="43">
        <v>639</v>
      </c>
      <c r="AJ174" s="43">
        <v>0</v>
      </c>
      <c r="AK174" s="43">
        <v>192</v>
      </c>
      <c r="AM174" s="43" t="s">
        <v>2</v>
      </c>
      <c r="AO174" s="43">
        <v>50</v>
      </c>
      <c r="AW174" s="43" t="b">
        <v>0</v>
      </c>
      <c r="BM174" s="36" t="s">
        <v>1</v>
      </c>
      <c r="BN174" s="61">
        <v>12</v>
      </c>
      <c r="BO174" s="38">
        <f t="shared" si="29"/>
        <v>6.5</v>
      </c>
      <c r="BP174" s="61">
        <v>250</v>
      </c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3"/>
      <c r="CF174" s="47" t="s">
        <v>16</v>
      </c>
      <c r="CI174" s="43">
        <v>2.68</v>
      </c>
      <c r="CR174" s="43">
        <v>0</v>
      </c>
      <c r="CS174" s="70">
        <v>0</v>
      </c>
      <c r="CT174" s="70">
        <v>0</v>
      </c>
      <c r="CU174" s="43">
        <v>0</v>
      </c>
      <c r="CV174" s="70">
        <v>0</v>
      </c>
      <c r="CW174" s="70">
        <v>0</v>
      </c>
      <c r="CX174" s="70">
        <v>0</v>
      </c>
      <c r="CY174" s="70">
        <v>0</v>
      </c>
      <c r="CZ174" s="70">
        <v>0</v>
      </c>
      <c r="DA174" s="70">
        <v>0</v>
      </c>
      <c r="DB174" s="70">
        <v>0</v>
      </c>
      <c r="DD174" s="43">
        <v>0</v>
      </c>
      <c r="DI174" s="43" t="s">
        <v>0</v>
      </c>
    </row>
    <row r="175" spans="1:113" s="43" customFormat="1" ht="15.75" thickBot="1" x14ac:dyDescent="0.3">
      <c r="A175" s="43">
        <v>504759</v>
      </c>
      <c r="B175" s="43" t="s">
        <v>6</v>
      </c>
      <c r="C175" s="56" t="s">
        <v>447</v>
      </c>
      <c r="D175" s="43">
        <v>12</v>
      </c>
      <c r="E175" s="43">
        <v>0</v>
      </c>
      <c r="F175" s="43">
        <v>12</v>
      </c>
      <c r="G175" s="43">
        <v>212</v>
      </c>
      <c r="H175" s="43">
        <v>0</v>
      </c>
      <c r="I175" s="43">
        <v>25</v>
      </c>
      <c r="J175" s="57" t="s">
        <v>485</v>
      </c>
      <c r="K175" s="57" t="s">
        <v>486</v>
      </c>
      <c r="L175" s="59">
        <v>45936</v>
      </c>
      <c r="M175" s="43">
        <v>0</v>
      </c>
      <c r="N175" s="43">
        <v>0</v>
      </c>
      <c r="O175" s="43">
        <v>0</v>
      </c>
      <c r="S175" s="43" t="b">
        <v>0</v>
      </c>
      <c r="T175" s="43">
        <v>0.01</v>
      </c>
      <c r="U175" s="55">
        <v>6.5</v>
      </c>
      <c r="V175" s="43">
        <v>0.01</v>
      </c>
      <c r="W175" s="43">
        <v>0</v>
      </c>
      <c r="X175" s="43">
        <v>1000</v>
      </c>
      <c r="Z175" s="43">
        <v>10</v>
      </c>
      <c r="AB175" s="55">
        <v>50</v>
      </c>
      <c r="AD175" s="43">
        <v>10</v>
      </c>
      <c r="AF175" s="43">
        <v>2000</v>
      </c>
      <c r="AG175" s="43">
        <v>2</v>
      </c>
      <c r="AH175" s="43">
        <v>6.7199997900000001</v>
      </c>
      <c r="AI175" s="43">
        <v>711</v>
      </c>
      <c r="AJ175" s="43">
        <v>0</v>
      </c>
      <c r="AK175" s="43">
        <v>213</v>
      </c>
      <c r="AM175" s="43" t="s">
        <v>2</v>
      </c>
      <c r="AO175" s="43">
        <v>50</v>
      </c>
      <c r="AW175" s="43" t="b">
        <v>0</v>
      </c>
      <c r="BM175" s="36" t="s">
        <v>1</v>
      </c>
      <c r="BN175" s="61">
        <v>12</v>
      </c>
      <c r="BO175" s="38">
        <f t="shared" si="29"/>
        <v>6.5</v>
      </c>
      <c r="BP175" s="61">
        <v>250</v>
      </c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3"/>
      <c r="CF175" s="47" t="s">
        <v>16</v>
      </c>
      <c r="CI175" s="43">
        <v>2.68</v>
      </c>
      <c r="CR175" s="43">
        <v>0</v>
      </c>
      <c r="CS175" s="70">
        <v>0</v>
      </c>
      <c r="CT175" s="70">
        <v>0</v>
      </c>
      <c r="CU175" s="43">
        <v>0</v>
      </c>
      <c r="CV175" s="70">
        <v>0</v>
      </c>
      <c r="CW175" s="70">
        <v>0</v>
      </c>
      <c r="CX175" s="70">
        <v>0</v>
      </c>
      <c r="CY175" s="70">
        <v>0</v>
      </c>
      <c r="CZ175" s="70">
        <v>0</v>
      </c>
      <c r="DA175" s="70">
        <v>0</v>
      </c>
      <c r="DB175" s="70">
        <v>0</v>
      </c>
      <c r="DD175" s="43">
        <v>0</v>
      </c>
      <c r="DI175" s="43" t="s">
        <v>0</v>
      </c>
    </row>
    <row r="176" spans="1:113" s="43" customFormat="1" ht="15.75" thickBot="1" x14ac:dyDescent="0.3">
      <c r="A176" s="43">
        <v>504760</v>
      </c>
      <c r="B176" s="43" t="s">
        <v>6</v>
      </c>
      <c r="C176" s="56" t="s">
        <v>447</v>
      </c>
      <c r="D176" s="43">
        <v>12</v>
      </c>
      <c r="E176" s="43">
        <v>0</v>
      </c>
      <c r="F176" s="43">
        <v>12</v>
      </c>
      <c r="G176" s="43">
        <v>213</v>
      </c>
      <c r="H176" s="43">
        <v>0</v>
      </c>
      <c r="I176" s="43">
        <v>25</v>
      </c>
      <c r="J176" s="57" t="s">
        <v>487</v>
      </c>
      <c r="K176" s="57" t="s">
        <v>488</v>
      </c>
      <c r="L176" s="59">
        <v>45936</v>
      </c>
      <c r="M176" s="43">
        <v>0</v>
      </c>
      <c r="N176" s="43">
        <v>0</v>
      </c>
      <c r="O176" s="43">
        <v>0</v>
      </c>
      <c r="S176" s="43" t="b">
        <v>0</v>
      </c>
      <c r="T176" s="43">
        <v>0.01</v>
      </c>
      <c r="U176" s="55">
        <v>6.5</v>
      </c>
      <c r="V176" s="43">
        <v>0.01</v>
      </c>
      <c r="W176" s="43">
        <v>0</v>
      </c>
      <c r="X176" s="43">
        <v>1000</v>
      </c>
      <c r="Z176" s="43">
        <v>10</v>
      </c>
      <c r="AB176" s="55">
        <v>50</v>
      </c>
      <c r="AD176" s="43">
        <v>10</v>
      </c>
      <c r="AF176" s="43">
        <v>2000</v>
      </c>
      <c r="AG176" s="43">
        <v>2</v>
      </c>
      <c r="AH176" s="43">
        <v>6.6799998279999997</v>
      </c>
      <c r="AI176" s="43">
        <v>643</v>
      </c>
      <c r="AJ176" s="43">
        <v>0</v>
      </c>
      <c r="AK176" s="43">
        <v>193</v>
      </c>
      <c r="AM176" s="43" t="s">
        <v>2</v>
      </c>
      <c r="AO176" s="43">
        <v>50</v>
      </c>
      <c r="AW176" s="43" t="b">
        <v>0</v>
      </c>
      <c r="BM176" s="36" t="s">
        <v>1</v>
      </c>
      <c r="BN176" s="61">
        <v>12</v>
      </c>
      <c r="BO176" s="38">
        <f t="shared" si="29"/>
        <v>6.5</v>
      </c>
      <c r="BP176" s="61">
        <v>250</v>
      </c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3"/>
      <c r="CF176" s="47" t="s">
        <v>16</v>
      </c>
      <c r="CI176" s="43">
        <v>2.68</v>
      </c>
      <c r="CR176" s="43">
        <v>0</v>
      </c>
      <c r="CS176" s="70">
        <v>0</v>
      </c>
      <c r="CT176" s="70">
        <v>0</v>
      </c>
      <c r="CU176" s="43">
        <v>0</v>
      </c>
      <c r="CV176" s="70">
        <v>0</v>
      </c>
      <c r="CW176" s="70">
        <v>0</v>
      </c>
      <c r="CX176" s="70">
        <v>0</v>
      </c>
      <c r="CY176" s="70">
        <v>0</v>
      </c>
      <c r="CZ176" s="70">
        <v>0</v>
      </c>
      <c r="DA176" s="70">
        <v>0</v>
      </c>
      <c r="DB176" s="70">
        <v>0</v>
      </c>
      <c r="DD176" s="43">
        <v>0</v>
      </c>
      <c r="DI176" s="43" t="s">
        <v>0</v>
      </c>
    </row>
    <row r="177" spans="1:113" s="43" customFormat="1" ht="15.75" thickBot="1" x14ac:dyDescent="0.3">
      <c r="A177" s="43">
        <v>504761</v>
      </c>
      <c r="B177" s="43" t="s">
        <v>6</v>
      </c>
      <c r="C177" s="56" t="s">
        <v>447</v>
      </c>
      <c r="D177" s="43">
        <v>12</v>
      </c>
      <c r="E177" s="43">
        <v>0</v>
      </c>
      <c r="F177" s="43">
        <v>12</v>
      </c>
      <c r="G177" s="43">
        <v>214</v>
      </c>
      <c r="H177" s="43">
        <v>0</v>
      </c>
      <c r="I177" s="43">
        <v>25</v>
      </c>
      <c r="J177" s="57" t="s">
        <v>489</v>
      </c>
      <c r="K177" s="57" t="s">
        <v>490</v>
      </c>
      <c r="L177" s="59">
        <v>45936</v>
      </c>
      <c r="M177" s="43">
        <v>0</v>
      </c>
      <c r="N177" s="43">
        <v>0</v>
      </c>
      <c r="O177" s="43">
        <v>0</v>
      </c>
      <c r="S177" s="43" t="b">
        <v>0</v>
      </c>
      <c r="T177" s="43">
        <v>0.01</v>
      </c>
      <c r="U177" s="55">
        <v>6.5</v>
      </c>
      <c r="V177" s="43">
        <v>0.01</v>
      </c>
      <c r="W177" s="43">
        <v>0</v>
      </c>
      <c r="X177" s="43">
        <v>1000</v>
      </c>
      <c r="Z177" s="43">
        <v>10</v>
      </c>
      <c r="AB177" s="55">
        <v>50</v>
      </c>
      <c r="AD177" s="43">
        <v>10</v>
      </c>
      <c r="AF177" s="43">
        <v>2000</v>
      </c>
      <c r="AG177" s="43">
        <v>2</v>
      </c>
      <c r="AH177" s="43">
        <v>6.6799998279999997</v>
      </c>
      <c r="AI177" s="43">
        <v>639</v>
      </c>
      <c r="AJ177" s="43">
        <v>0</v>
      </c>
      <c r="AK177" s="43">
        <v>191</v>
      </c>
      <c r="AM177" s="43" t="s">
        <v>2</v>
      </c>
      <c r="AO177" s="43">
        <v>50</v>
      </c>
      <c r="AW177" s="43" t="b">
        <v>0</v>
      </c>
      <c r="BM177" s="36" t="s">
        <v>1</v>
      </c>
      <c r="BN177" s="61">
        <v>12</v>
      </c>
      <c r="BO177" s="38">
        <f t="shared" si="29"/>
        <v>6.5</v>
      </c>
      <c r="BP177" s="61">
        <v>250</v>
      </c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3"/>
      <c r="CF177" s="47" t="s">
        <v>16</v>
      </c>
      <c r="CI177" s="43">
        <v>2.68</v>
      </c>
      <c r="CR177" s="43">
        <v>0</v>
      </c>
      <c r="CS177" s="70">
        <v>0</v>
      </c>
      <c r="CT177" s="70">
        <v>0</v>
      </c>
      <c r="CU177" s="43">
        <v>0</v>
      </c>
      <c r="CV177" s="70">
        <v>0</v>
      </c>
      <c r="CW177" s="70">
        <v>0</v>
      </c>
      <c r="CX177" s="70">
        <v>0</v>
      </c>
      <c r="CY177" s="70">
        <v>0</v>
      </c>
      <c r="CZ177" s="70">
        <v>0</v>
      </c>
      <c r="DA177" s="70">
        <v>0</v>
      </c>
      <c r="DB177" s="70">
        <v>0</v>
      </c>
      <c r="DD177" s="43">
        <v>0</v>
      </c>
      <c r="DI177" s="43" t="s">
        <v>0</v>
      </c>
    </row>
    <row r="178" spans="1:113" s="43" customFormat="1" ht="15.75" thickBot="1" x14ac:dyDescent="0.3">
      <c r="A178" s="43">
        <v>504762</v>
      </c>
      <c r="B178" s="43" t="s">
        <v>6</v>
      </c>
      <c r="C178" s="56" t="s">
        <v>447</v>
      </c>
      <c r="D178" s="43">
        <v>12</v>
      </c>
      <c r="E178" s="43">
        <v>0</v>
      </c>
      <c r="F178" s="43">
        <v>12</v>
      </c>
      <c r="G178" s="43">
        <v>215</v>
      </c>
      <c r="H178" s="43">
        <v>0</v>
      </c>
      <c r="I178" s="43">
        <v>25</v>
      </c>
      <c r="J178" s="57" t="s">
        <v>491</v>
      </c>
      <c r="K178" s="57" t="s">
        <v>492</v>
      </c>
      <c r="L178" s="59">
        <v>45936</v>
      </c>
      <c r="M178" s="43">
        <v>0</v>
      </c>
      <c r="N178" s="43">
        <v>0</v>
      </c>
      <c r="O178" s="43">
        <v>0</v>
      </c>
      <c r="S178" s="43" t="b">
        <v>0</v>
      </c>
      <c r="T178" s="43">
        <v>0.01</v>
      </c>
      <c r="U178" s="55">
        <v>6.5</v>
      </c>
      <c r="V178" s="43">
        <v>0.01</v>
      </c>
      <c r="W178" s="43">
        <v>0</v>
      </c>
      <c r="X178" s="43">
        <v>1000</v>
      </c>
      <c r="Z178" s="43">
        <v>10</v>
      </c>
      <c r="AB178" s="55">
        <v>50</v>
      </c>
      <c r="AD178" s="43">
        <v>10</v>
      </c>
      <c r="AF178" s="43">
        <v>2000</v>
      </c>
      <c r="AG178" s="43">
        <v>2</v>
      </c>
      <c r="AH178" s="43">
        <v>6.670000076</v>
      </c>
      <c r="AI178" s="43">
        <v>626</v>
      </c>
      <c r="AJ178" s="43">
        <v>0</v>
      </c>
      <c r="AK178" s="43">
        <v>189</v>
      </c>
      <c r="AM178" s="43" t="s">
        <v>2</v>
      </c>
      <c r="AO178" s="43">
        <v>50</v>
      </c>
      <c r="AW178" s="43" t="b">
        <v>0</v>
      </c>
      <c r="BM178" s="36" t="s">
        <v>1</v>
      </c>
      <c r="BN178" s="61">
        <v>12</v>
      </c>
      <c r="BO178" s="38">
        <f t="shared" si="29"/>
        <v>6.5</v>
      </c>
      <c r="BP178" s="61">
        <v>250</v>
      </c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3"/>
      <c r="CF178" s="47" t="s">
        <v>16</v>
      </c>
      <c r="CI178" s="43">
        <v>2.68</v>
      </c>
      <c r="CR178" s="43">
        <v>0</v>
      </c>
      <c r="CS178" s="70">
        <v>0</v>
      </c>
      <c r="CT178" s="70">
        <v>0</v>
      </c>
      <c r="CU178" s="43">
        <v>0</v>
      </c>
      <c r="CV178" s="70">
        <v>0</v>
      </c>
      <c r="CW178" s="70">
        <v>0</v>
      </c>
      <c r="CX178" s="70">
        <v>0</v>
      </c>
      <c r="CY178" s="70">
        <v>0</v>
      </c>
      <c r="CZ178" s="70">
        <v>0</v>
      </c>
      <c r="DA178" s="70">
        <v>0</v>
      </c>
      <c r="DB178" s="70">
        <v>0</v>
      </c>
      <c r="DD178" s="43">
        <v>0</v>
      </c>
      <c r="DI178" s="43" t="s">
        <v>0</v>
      </c>
    </row>
    <row r="179" spans="1:113" s="43" customFormat="1" ht="15.75" thickBot="1" x14ac:dyDescent="0.3">
      <c r="A179" s="43">
        <v>504763</v>
      </c>
      <c r="B179" s="43" t="s">
        <v>6</v>
      </c>
      <c r="C179" s="56" t="s">
        <v>447</v>
      </c>
      <c r="D179" s="43">
        <v>12</v>
      </c>
      <c r="E179" s="43">
        <v>0</v>
      </c>
      <c r="F179" s="43">
        <v>12</v>
      </c>
      <c r="G179" s="43">
        <v>216</v>
      </c>
      <c r="H179" s="43">
        <v>0</v>
      </c>
      <c r="I179" s="43">
        <v>25</v>
      </c>
      <c r="J179" s="57" t="s">
        <v>493</v>
      </c>
      <c r="K179" s="57" t="s">
        <v>494</v>
      </c>
      <c r="L179" s="59">
        <v>45936</v>
      </c>
      <c r="M179" s="43">
        <v>0</v>
      </c>
      <c r="N179" s="43">
        <v>0</v>
      </c>
      <c r="O179" s="43">
        <v>0</v>
      </c>
      <c r="S179" s="43" t="b">
        <v>0</v>
      </c>
      <c r="T179" s="43">
        <v>0.01</v>
      </c>
      <c r="U179" s="55">
        <v>6.5</v>
      </c>
      <c r="V179" s="43">
        <v>0.01</v>
      </c>
      <c r="W179" s="43">
        <v>0</v>
      </c>
      <c r="X179" s="43">
        <v>1000</v>
      </c>
      <c r="Z179" s="43">
        <v>10</v>
      </c>
      <c r="AB179" s="55">
        <v>50</v>
      </c>
      <c r="AD179" s="43">
        <v>10</v>
      </c>
      <c r="AF179" s="43">
        <v>2000</v>
      </c>
      <c r="AG179" s="43">
        <v>2</v>
      </c>
      <c r="AH179" s="43">
        <v>6.7300000190000002</v>
      </c>
      <c r="AI179" s="43">
        <v>707</v>
      </c>
      <c r="AJ179" s="43">
        <v>0</v>
      </c>
      <c r="AK179" s="43">
        <v>211</v>
      </c>
      <c r="AM179" s="43" t="s">
        <v>2</v>
      </c>
      <c r="AO179" s="43">
        <v>50</v>
      </c>
      <c r="AW179" s="43" t="b">
        <v>0</v>
      </c>
      <c r="BM179" s="36" t="s">
        <v>1</v>
      </c>
      <c r="BN179" s="61">
        <v>12</v>
      </c>
      <c r="BO179" s="38">
        <f t="shared" si="29"/>
        <v>6.5</v>
      </c>
      <c r="BP179" s="61">
        <v>250</v>
      </c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3"/>
      <c r="CF179" s="47" t="s">
        <v>16</v>
      </c>
      <c r="CI179" s="43">
        <v>2.68</v>
      </c>
      <c r="CR179" s="43">
        <v>0</v>
      </c>
      <c r="CS179" s="70">
        <v>0</v>
      </c>
      <c r="CT179" s="70">
        <v>0</v>
      </c>
      <c r="CU179" s="43">
        <v>0</v>
      </c>
      <c r="CV179" s="70">
        <v>0</v>
      </c>
      <c r="CW179" s="70">
        <v>0</v>
      </c>
      <c r="CX179" s="70">
        <v>0</v>
      </c>
      <c r="CY179" s="70">
        <v>0</v>
      </c>
      <c r="CZ179" s="70">
        <v>0</v>
      </c>
      <c r="DA179" s="70">
        <v>0</v>
      </c>
      <c r="DB179" s="70">
        <v>0</v>
      </c>
      <c r="DD179" s="43">
        <v>0</v>
      </c>
      <c r="DI179" s="43" t="s">
        <v>0</v>
      </c>
    </row>
    <row r="180" spans="1:113" s="43" customFormat="1" ht="15.75" thickBot="1" x14ac:dyDescent="0.3">
      <c r="A180" s="43">
        <v>504764</v>
      </c>
      <c r="B180" s="43" t="s">
        <v>6</v>
      </c>
      <c r="C180" s="56" t="s">
        <v>447</v>
      </c>
      <c r="D180" s="43">
        <v>12</v>
      </c>
      <c r="E180" s="43">
        <v>0</v>
      </c>
      <c r="F180" s="43">
        <v>12</v>
      </c>
      <c r="G180" s="43">
        <v>217</v>
      </c>
      <c r="H180" s="43">
        <v>0</v>
      </c>
      <c r="I180" s="43">
        <v>25</v>
      </c>
      <c r="J180" s="57" t="s">
        <v>495</v>
      </c>
      <c r="K180" s="57" t="s">
        <v>496</v>
      </c>
      <c r="L180" s="59">
        <v>45936</v>
      </c>
      <c r="M180" s="43">
        <v>0</v>
      </c>
      <c r="N180" s="43">
        <v>0</v>
      </c>
      <c r="O180" s="43">
        <v>0</v>
      </c>
      <c r="S180" s="43" t="b">
        <v>0</v>
      </c>
      <c r="T180" s="43">
        <v>0.01</v>
      </c>
      <c r="U180" s="55">
        <v>6.5</v>
      </c>
      <c r="V180" s="43">
        <v>0.01</v>
      </c>
      <c r="W180" s="43">
        <v>0</v>
      </c>
      <c r="X180" s="43">
        <v>1000</v>
      </c>
      <c r="Z180" s="43">
        <v>10</v>
      </c>
      <c r="AB180" s="55">
        <v>50</v>
      </c>
      <c r="AD180" s="43">
        <v>10</v>
      </c>
      <c r="AF180" s="43">
        <v>2000</v>
      </c>
      <c r="AG180" s="43">
        <v>2</v>
      </c>
      <c r="AH180" s="43">
        <v>6.6900000569999998</v>
      </c>
      <c r="AI180" s="43">
        <v>652</v>
      </c>
      <c r="AJ180" s="43">
        <v>0</v>
      </c>
      <c r="AK180" s="43">
        <v>195</v>
      </c>
      <c r="AM180" s="43" t="s">
        <v>2</v>
      </c>
      <c r="AO180" s="43">
        <v>50</v>
      </c>
      <c r="AW180" s="43" t="b">
        <v>0</v>
      </c>
      <c r="BM180" s="36" t="s">
        <v>1</v>
      </c>
      <c r="BN180" s="61">
        <v>12</v>
      </c>
      <c r="BO180" s="38">
        <f t="shared" si="29"/>
        <v>6.5</v>
      </c>
      <c r="BP180" s="61">
        <v>250</v>
      </c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3"/>
      <c r="CF180" s="47" t="s">
        <v>16</v>
      </c>
      <c r="CI180" s="43">
        <v>2.68</v>
      </c>
      <c r="CR180" s="43">
        <v>0</v>
      </c>
      <c r="CS180" s="70">
        <v>0</v>
      </c>
      <c r="CT180" s="70">
        <v>0</v>
      </c>
      <c r="CU180" s="43">
        <v>0</v>
      </c>
      <c r="CV180" s="70">
        <v>0</v>
      </c>
      <c r="CW180" s="70">
        <v>0</v>
      </c>
      <c r="CX180" s="70">
        <v>0</v>
      </c>
      <c r="CY180" s="70">
        <v>0</v>
      </c>
      <c r="CZ180" s="70">
        <v>0</v>
      </c>
      <c r="DA180" s="70">
        <v>0</v>
      </c>
      <c r="DB180" s="70">
        <v>0</v>
      </c>
      <c r="DD180" s="43">
        <v>0</v>
      </c>
      <c r="DI180" s="43" t="s">
        <v>0</v>
      </c>
    </row>
    <row r="181" spans="1:113" s="43" customFormat="1" ht="15.75" thickBot="1" x14ac:dyDescent="0.3">
      <c r="A181" s="43">
        <v>504765</v>
      </c>
      <c r="B181" s="43" t="s">
        <v>6</v>
      </c>
      <c r="C181" s="56" t="s">
        <v>447</v>
      </c>
      <c r="D181" s="43">
        <v>12</v>
      </c>
      <c r="E181" s="43">
        <v>0</v>
      </c>
      <c r="F181" s="43">
        <v>12</v>
      </c>
      <c r="G181" s="43">
        <v>218</v>
      </c>
      <c r="H181" s="43">
        <v>0</v>
      </c>
      <c r="I181" s="43">
        <v>25</v>
      </c>
      <c r="J181" s="57" t="s">
        <v>497</v>
      </c>
      <c r="K181" s="57" t="s">
        <v>498</v>
      </c>
      <c r="L181" s="59">
        <v>45936</v>
      </c>
      <c r="M181" s="43">
        <v>0</v>
      </c>
      <c r="N181" s="43">
        <v>0</v>
      </c>
      <c r="O181" s="43">
        <v>0</v>
      </c>
      <c r="S181" s="43" t="b">
        <v>0</v>
      </c>
      <c r="T181" s="43">
        <v>0.01</v>
      </c>
      <c r="U181" s="55">
        <v>6.5</v>
      </c>
      <c r="V181" s="43">
        <v>0.01</v>
      </c>
      <c r="W181" s="43">
        <v>0</v>
      </c>
      <c r="X181" s="43">
        <v>1000</v>
      </c>
      <c r="Z181" s="43">
        <v>10</v>
      </c>
      <c r="AB181" s="55">
        <v>50</v>
      </c>
      <c r="AD181" s="43">
        <v>10</v>
      </c>
      <c r="AF181" s="43">
        <v>2000</v>
      </c>
      <c r="AG181" s="43">
        <v>2</v>
      </c>
      <c r="AH181" s="43">
        <v>6.6799998279999997</v>
      </c>
      <c r="AI181" s="43">
        <v>648</v>
      </c>
      <c r="AJ181" s="43">
        <v>0</v>
      </c>
      <c r="AK181" s="43">
        <v>193</v>
      </c>
      <c r="AM181" s="43" t="s">
        <v>2</v>
      </c>
      <c r="AO181" s="43">
        <v>50</v>
      </c>
      <c r="AW181" s="43" t="b">
        <v>0</v>
      </c>
      <c r="BM181" s="36" t="s">
        <v>1</v>
      </c>
      <c r="BN181" s="61">
        <v>12</v>
      </c>
      <c r="BO181" s="38">
        <f t="shared" si="29"/>
        <v>6.5</v>
      </c>
      <c r="BP181" s="61">
        <v>250</v>
      </c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3"/>
      <c r="CF181" s="47" t="s">
        <v>16</v>
      </c>
      <c r="CI181" s="43">
        <v>2.68</v>
      </c>
      <c r="CR181" s="43">
        <v>0</v>
      </c>
      <c r="CS181" s="70">
        <v>0</v>
      </c>
      <c r="CT181" s="70">
        <v>0</v>
      </c>
      <c r="CU181" s="43">
        <v>0</v>
      </c>
      <c r="CV181" s="70">
        <v>0</v>
      </c>
      <c r="CW181" s="70">
        <v>0</v>
      </c>
      <c r="CX181" s="70">
        <v>0</v>
      </c>
      <c r="CY181" s="70">
        <v>0</v>
      </c>
      <c r="CZ181" s="70">
        <v>0</v>
      </c>
      <c r="DA181" s="70">
        <v>0</v>
      </c>
      <c r="DB181" s="70">
        <v>0</v>
      </c>
      <c r="DD181" s="43">
        <v>0</v>
      </c>
      <c r="DI181" s="43" t="s">
        <v>0</v>
      </c>
    </row>
    <row r="182" spans="1:113" s="43" customFormat="1" ht="15.75" thickBot="1" x14ac:dyDescent="0.3">
      <c r="A182" s="43">
        <v>5815</v>
      </c>
      <c r="B182" s="43" t="s">
        <v>499</v>
      </c>
      <c r="C182" s="56" t="s">
        <v>452</v>
      </c>
      <c r="D182" s="43">
        <v>13</v>
      </c>
      <c r="E182" s="43">
        <v>0</v>
      </c>
      <c r="F182" s="43">
        <v>13</v>
      </c>
      <c r="G182" s="43">
        <v>518</v>
      </c>
      <c r="H182" s="43">
        <v>0</v>
      </c>
      <c r="I182" s="43">
        <v>25</v>
      </c>
      <c r="J182" s="57" t="s">
        <v>500</v>
      </c>
      <c r="K182" s="57" t="s">
        <v>501</v>
      </c>
      <c r="L182" s="59">
        <v>45947</v>
      </c>
      <c r="M182" s="43">
        <v>0</v>
      </c>
      <c r="N182" s="43">
        <v>0</v>
      </c>
      <c r="O182" s="43">
        <v>0</v>
      </c>
      <c r="S182" s="43" t="b">
        <v>0</v>
      </c>
      <c r="T182" s="43">
        <v>0.01</v>
      </c>
      <c r="U182" s="55">
        <v>7.5</v>
      </c>
      <c r="V182" s="43">
        <v>0.01</v>
      </c>
      <c r="W182" s="43">
        <v>0</v>
      </c>
      <c r="X182" s="43">
        <v>250</v>
      </c>
      <c r="Z182" s="43">
        <v>10</v>
      </c>
      <c r="AB182" s="55">
        <v>50</v>
      </c>
      <c r="AD182" s="43">
        <v>10</v>
      </c>
      <c r="AF182" s="43">
        <v>2000</v>
      </c>
      <c r="AG182" s="43">
        <v>2</v>
      </c>
      <c r="AH182" s="43">
        <v>7.6799998279999997</v>
      </c>
      <c r="AI182" s="43">
        <v>25</v>
      </c>
      <c r="AJ182" s="43">
        <v>0</v>
      </c>
      <c r="AK182" s="43">
        <v>0</v>
      </c>
      <c r="AM182" s="43" t="s">
        <v>2</v>
      </c>
      <c r="AO182" s="43">
        <v>50</v>
      </c>
      <c r="AW182" s="43" t="b">
        <v>0</v>
      </c>
      <c r="BM182" s="36" t="s">
        <v>1</v>
      </c>
      <c r="BN182" s="61">
        <v>13</v>
      </c>
      <c r="BO182" s="38">
        <f t="shared" si="29"/>
        <v>7.5</v>
      </c>
      <c r="BP182" s="61">
        <v>250</v>
      </c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3"/>
      <c r="CF182" s="47" t="s">
        <v>12</v>
      </c>
      <c r="CG182" s="43">
        <v>0</v>
      </c>
      <c r="CI182" s="43">
        <v>2.68</v>
      </c>
      <c r="CR182" s="43">
        <v>0</v>
      </c>
      <c r="CS182" s="70">
        <v>0</v>
      </c>
      <c r="CT182" s="70">
        <v>0</v>
      </c>
      <c r="CU182" s="43">
        <v>1</v>
      </c>
      <c r="CV182" s="70">
        <v>0</v>
      </c>
      <c r="CW182" s="70">
        <v>0</v>
      </c>
      <c r="CX182" s="70">
        <v>0</v>
      </c>
      <c r="CY182" s="70">
        <v>0</v>
      </c>
      <c r="CZ182" s="70">
        <v>0</v>
      </c>
      <c r="DA182" s="70">
        <v>0</v>
      </c>
      <c r="DB182" s="70">
        <v>0</v>
      </c>
      <c r="DD182" s="43">
        <v>2</v>
      </c>
      <c r="DI182" s="43" t="s">
        <v>0</v>
      </c>
    </row>
    <row r="183" spans="1:113" s="43" customFormat="1" ht="15.75" thickBot="1" x14ac:dyDescent="0.3">
      <c r="A183" s="43">
        <v>5816</v>
      </c>
      <c r="B183" s="43" t="s">
        <v>499</v>
      </c>
      <c r="C183" s="56" t="s">
        <v>452</v>
      </c>
      <c r="D183" s="43">
        <v>13</v>
      </c>
      <c r="E183" s="43">
        <v>0</v>
      </c>
      <c r="F183" s="43">
        <v>13</v>
      </c>
      <c r="G183" s="43">
        <v>519</v>
      </c>
      <c r="H183" s="43">
        <v>0</v>
      </c>
      <c r="I183" s="43">
        <v>25</v>
      </c>
      <c r="J183" s="57" t="s">
        <v>502</v>
      </c>
      <c r="K183" s="57" t="s">
        <v>503</v>
      </c>
      <c r="L183" s="59">
        <v>45947</v>
      </c>
      <c r="M183" s="43">
        <v>0</v>
      </c>
      <c r="N183" s="43">
        <v>0</v>
      </c>
      <c r="O183" s="43">
        <v>0</v>
      </c>
      <c r="S183" s="43" t="b">
        <v>0</v>
      </c>
      <c r="T183" s="43">
        <v>0.01</v>
      </c>
      <c r="U183" s="55">
        <v>7.5</v>
      </c>
      <c r="V183" s="43">
        <v>0.01</v>
      </c>
      <c r="W183" s="43">
        <v>0</v>
      </c>
      <c r="X183" s="43">
        <v>250</v>
      </c>
      <c r="Z183" s="43">
        <v>10</v>
      </c>
      <c r="AB183" s="55">
        <v>50</v>
      </c>
      <c r="AD183" s="43">
        <v>10</v>
      </c>
      <c r="AF183" s="43">
        <v>2000</v>
      </c>
      <c r="AG183" s="43">
        <v>2</v>
      </c>
      <c r="AH183" s="43">
        <v>7.6500000950000002</v>
      </c>
      <c r="AI183" s="43">
        <v>25</v>
      </c>
      <c r="AJ183" s="43">
        <v>0</v>
      </c>
      <c r="AK183" s="43">
        <v>0</v>
      </c>
      <c r="AM183" s="43" t="s">
        <v>2</v>
      </c>
      <c r="AO183" s="43">
        <v>50</v>
      </c>
      <c r="AW183" s="43" t="b">
        <v>0</v>
      </c>
      <c r="BM183" s="36" t="s">
        <v>1</v>
      </c>
      <c r="BN183" s="61">
        <v>13</v>
      </c>
      <c r="BO183" s="38">
        <f t="shared" si="29"/>
        <v>7.5</v>
      </c>
      <c r="BP183" s="61">
        <v>250</v>
      </c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3"/>
      <c r="CF183" s="47" t="s">
        <v>12</v>
      </c>
      <c r="CG183" s="43">
        <v>0</v>
      </c>
      <c r="CI183" s="43">
        <v>2.68</v>
      </c>
      <c r="CR183" s="43">
        <v>0</v>
      </c>
      <c r="CS183" s="70">
        <v>0</v>
      </c>
      <c r="CT183" s="70">
        <v>0</v>
      </c>
      <c r="CU183" s="43">
        <v>1</v>
      </c>
      <c r="CV183" s="70">
        <v>0</v>
      </c>
      <c r="CW183" s="70">
        <v>0</v>
      </c>
      <c r="CX183" s="70">
        <v>0</v>
      </c>
      <c r="CY183" s="70">
        <v>0</v>
      </c>
      <c r="CZ183" s="70">
        <v>0</v>
      </c>
      <c r="DA183" s="70">
        <v>0</v>
      </c>
      <c r="DB183" s="70">
        <v>0</v>
      </c>
      <c r="DD183" s="43">
        <v>2</v>
      </c>
      <c r="DI183" s="43" t="s">
        <v>0</v>
      </c>
    </row>
    <row r="184" spans="1:113" s="43" customFormat="1" ht="15.75" thickBot="1" x14ac:dyDescent="0.3">
      <c r="A184" s="43">
        <v>5817</v>
      </c>
      <c r="B184" s="43" t="s">
        <v>499</v>
      </c>
      <c r="C184" s="56" t="s">
        <v>452</v>
      </c>
      <c r="D184" s="43">
        <v>13</v>
      </c>
      <c r="E184" s="43">
        <v>0</v>
      </c>
      <c r="F184" s="43">
        <v>13</v>
      </c>
      <c r="G184" s="43">
        <v>520</v>
      </c>
      <c r="H184" s="43">
        <v>0</v>
      </c>
      <c r="I184" s="43">
        <v>25</v>
      </c>
      <c r="J184" s="57" t="s">
        <v>504</v>
      </c>
      <c r="K184" s="57" t="s">
        <v>505</v>
      </c>
      <c r="L184" s="59">
        <v>45947</v>
      </c>
      <c r="M184" s="43">
        <v>0</v>
      </c>
      <c r="N184" s="43">
        <v>0</v>
      </c>
      <c r="O184" s="43">
        <v>0</v>
      </c>
      <c r="S184" s="43" t="b">
        <v>0</v>
      </c>
      <c r="T184" s="43">
        <v>0.01</v>
      </c>
      <c r="U184" s="55">
        <v>7.5</v>
      </c>
      <c r="V184" s="43">
        <v>0.01</v>
      </c>
      <c r="W184" s="43">
        <v>0</v>
      </c>
      <c r="X184" s="43">
        <v>250</v>
      </c>
      <c r="Z184" s="43">
        <v>10</v>
      </c>
      <c r="AB184" s="55">
        <v>50</v>
      </c>
      <c r="AD184" s="43">
        <v>10</v>
      </c>
      <c r="AF184" s="43">
        <v>2000</v>
      </c>
      <c r="AG184" s="43">
        <v>2</v>
      </c>
      <c r="AH184" s="43">
        <v>7.6599998469999999</v>
      </c>
      <c r="AI184" s="43">
        <v>25</v>
      </c>
      <c r="AJ184" s="43">
        <v>0</v>
      </c>
      <c r="AK184" s="43">
        <v>0</v>
      </c>
      <c r="AM184" s="43" t="s">
        <v>2</v>
      </c>
      <c r="AO184" s="43">
        <v>50</v>
      </c>
      <c r="AW184" s="43" t="b">
        <v>0</v>
      </c>
      <c r="BM184" s="36" t="s">
        <v>1</v>
      </c>
      <c r="BN184" s="61">
        <v>13</v>
      </c>
      <c r="BO184" s="38">
        <f t="shared" si="29"/>
        <v>7.5</v>
      </c>
      <c r="BP184" s="61">
        <v>250</v>
      </c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3"/>
      <c r="CF184" s="47" t="s">
        <v>12</v>
      </c>
      <c r="CG184" s="43">
        <v>0</v>
      </c>
      <c r="CI184" s="43">
        <v>2.68</v>
      </c>
      <c r="CR184" s="43">
        <v>0</v>
      </c>
      <c r="CS184" s="70">
        <v>0</v>
      </c>
      <c r="CT184" s="70">
        <v>0</v>
      </c>
      <c r="CU184" s="43">
        <v>1</v>
      </c>
      <c r="CV184" s="70">
        <v>0</v>
      </c>
      <c r="CW184" s="70">
        <v>0</v>
      </c>
      <c r="CX184" s="70">
        <v>0</v>
      </c>
      <c r="CY184" s="70">
        <v>0</v>
      </c>
      <c r="CZ184" s="70">
        <v>0</v>
      </c>
      <c r="DA184" s="70">
        <v>0</v>
      </c>
      <c r="DB184" s="70">
        <v>0</v>
      </c>
      <c r="DD184" s="43">
        <v>2</v>
      </c>
      <c r="DI184" s="43" t="s">
        <v>0</v>
      </c>
    </row>
    <row r="185" spans="1:113" s="43" customFormat="1" ht="15.75" thickBot="1" x14ac:dyDescent="0.3">
      <c r="A185" s="43">
        <v>5818</v>
      </c>
      <c r="B185" s="43" t="s">
        <v>499</v>
      </c>
      <c r="C185" s="56" t="s">
        <v>452</v>
      </c>
      <c r="D185" s="43">
        <v>13</v>
      </c>
      <c r="E185" s="43">
        <v>0</v>
      </c>
      <c r="F185" s="43">
        <v>13</v>
      </c>
      <c r="G185" s="43">
        <v>521</v>
      </c>
      <c r="H185" s="43">
        <v>0</v>
      </c>
      <c r="I185" s="43">
        <v>25</v>
      </c>
      <c r="J185" s="57" t="s">
        <v>506</v>
      </c>
      <c r="K185" s="57" t="s">
        <v>507</v>
      </c>
      <c r="L185" s="59">
        <v>45947</v>
      </c>
      <c r="M185" s="43">
        <v>0</v>
      </c>
      <c r="N185" s="43">
        <v>0</v>
      </c>
      <c r="O185" s="43">
        <v>0</v>
      </c>
      <c r="S185" s="43" t="b">
        <v>0</v>
      </c>
      <c r="T185" s="43">
        <v>0.01</v>
      </c>
      <c r="U185" s="55">
        <v>7.5</v>
      </c>
      <c r="V185" s="43">
        <v>0.01</v>
      </c>
      <c r="W185" s="43">
        <v>0</v>
      </c>
      <c r="X185" s="43">
        <v>250</v>
      </c>
      <c r="Z185" s="43">
        <v>10</v>
      </c>
      <c r="AB185" s="55">
        <v>50</v>
      </c>
      <c r="AD185" s="43">
        <v>10</v>
      </c>
      <c r="AF185" s="43">
        <v>2000</v>
      </c>
      <c r="AG185" s="43">
        <v>2</v>
      </c>
      <c r="AH185" s="43">
        <v>7.670000076</v>
      </c>
      <c r="AI185" s="43">
        <v>25</v>
      </c>
      <c r="AJ185" s="43">
        <v>0</v>
      </c>
      <c r="AK185" s="43">
        <v>0</v>
      </c>
      <c r="AM185" s="43" t="s">
        <v>2</v>
      </c>
      <c r="AO185" s="43">
        <v>50</v>
      </c>
      <c r="AW185" s="43" t="b">
        <v>0</v>
      </c>
      <c r="BM185" s="36" t="s">
        <v>1</v>
      </c>
      <c r="BN185" s="61">
        <v>13</v>
      </c>
      <c r="BO185" s="38">
        <f t="shared" si="29"/>
        <v>7.5</v>
      </c>
      <c r="BP185" s="61">
        <v>250</v>
      </c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3"/>
      <c r="CF185" s="47" t="s">
        <v>12</v>
      </c>
      <c r="CG185" s="43">
        <v>0</v>
      </c>
      <c r="CI185" s="43">
        <v>2.68</v>
      </c>
      <c r="CR185" s="43">
        <v>0</v>
      </c>
      <c r="CS185" s="70">
        <v>0</v>
      </c>
      <c r="CT185" s="70">
        <v>0</v>
      </c>
      <c r="CU185" s="43">
        <v>1</v>
      </c>
      <c r="CV185" s="70">
        <v>0</v>
      </c>
      <c r="CW185" s="70">
        <v>0</v>
      </c>
      <c r="CX185" s="70">
        <v>0</v>
      </c>
      <c r="CY185" s="70">
        <v>0</v>
      </c>
      <c r="CZ185" s="70">
        <v>0</v>
      </c>
      <c r="DA185" s="70">
        <v>0</v>
      </c>
      <c r="DB185" s="70">
        <v>0</v>
      </c>
      <c r="DD185" s="43">
        <v>2</v>
      </c>
      <c r="DI185" s="43" t="s">
        <v>0</v>
      </c>
    </row>
    <row r="186" spans="1:113" s="43" customFormat="1" ht="15.75" thickBot="1" x14ac:dyDescent="0.3">
      <c r="A186" s="43">
        <v>5819</v>
      </c>
      <c r="B186" s="43" t="s">
        <v>499</v>
      </c>
      <c r="C186" s="56" t="s">
        <v>452</v>
      </c>
      <c r="D186" s="43">
        <v>13</v>
      </c>
      <c r="E186" s="43">
        <v>0</v>
      </c>
      <c r="F186" s="43">
        <v>13</v>
      </c>
      <c r="G186" s="43">
        <v>522</v>
      </c>
      <c r="H186" s="43">
        <v>0</v>
      </c>
      <c r="I186" s="43">
        <v>25</v>
      </c>
      <c r="J186" s="57" t="s">
        <v>508</v>
      </c>
      <c r="K186" s="57" t="s">
        <v>509</v>
      </c>
      <c r="L186" s="59">
        <v>45947</v>
      </c>
      <c r="M186" s="43">
        <v>0</v>
      </c>
      <c r="N186" s="43">
        <v>0</v>
      </c>
      <c r="O186" s="43">
        <v>0</v>
      </c>
      <c r="S186" s="43" t="b">
        <v>0</v>
      </c>
      <c r="T186" s="43">
        <v>0.01</v>
      </c>
      <c r="U186" s="55">
        <v>7.5</v>
      </c>
      <c r="V186" s="43">
        <v>0.01</v>
      </c>
      <c r="W186" s="43">
        <v>0</v>
      </c>
      <c r="X186" s="43">
        <v>1000</v>
      </c>
      <c r="Z186" s="43">
        <v>10</v>
      </c>
      <c r="AB186" s="55">
        <v>50</v>
      </c>
      <c r="AD186" s="43">
        <v>10</v>
      </c>
      <c r="AF186" s="43">
        <v>2000</v>
      </c>
      <c r="AG186" s="43">
        <v>2</v>
      </c>
      <c r="AH186" s="43">
        <v>7.6199998860000004</v>
      </c>
      <c r="AI186" s="43">
        <v>25</v>
      </c>
      <c r="AJ186" s="43">
        <v>0</v>
      </c>
      <c r="AK186" s="43">
        <v>0</v>
      </c>
      <c r="AM186" s="43" t="s">
        <v>2</v>
      </c>
      <c r="AO186" s="43">
        <v>50</v>
      </c>
      <c r="AW186" s="43" t="b">
        <v>0</v>
      </c>
      <c r="BM186" s="36" t="s">
        <v>1</v>
      </c>
      <c r="BN186" s="61">
        <v>13</v>
      </c>
      <c r="BO186" s="38">
        <f t="shared" si="29"/>
        <v>7.5</v>
      </c>
      <c r="BP186" s="61">
        <v>250</v>
      </c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3"/>
      <c r="CF186" s="47" t="s">
        <v>12</v>
      </c>
      <c r="CG186" s="43">
        <v>0</v>
      </c>
      <c r="CI186" s="43">
        <v>2.68</v>
      </c>
      <c r="CR186" s="43">
        <v>0</v>
      </c>
      <c r="CS186" s="70">
        <v>0</v>
      </c>
      <c r="CT186" s="70">
        <v>0</v>
      </c>
      <c r="CU186" s="43">
        <v>1</v>
      </c>
      <c r="CV186" s="70">
        <v>0</v>
      </c>
      <c r="CW186" s="70">
        <v>0</v>
      </c>
      <c r="CX186" s="70">
        <v>0</v>
      </c>
      <c r="CY186" s="70">
        <v>0</v>
      </c>
      <c r="CZ186" s="70">
        <v>0</v>
      </c>
      <c r="DA186" s="70">
        <v>0</v>
      </c>
      <c r="DB186" s="70">
        <v>0</v>
      </c>
      <c r="DD186" s="43">
        <v>2</v>
      </c>
      <c r="DI186" s="43" t="s">
        <v>0</v>
      </c>
    </row>
    <row r="187" spans="1:113" s="43" customFormat="1" ht="15.75" thickBot="1" x14ac:dyDescent="0.3">
      <c r="A187" s="43">
        <v>5820</v>
      </c>
      <c r="B187" s="43" t="s">
        <v>499</v>
      </c>
      <c r="C187" s="56" t="s">
        <v>452</v>
      </c>
      <c r="D187" s="43">
        <v>13</v>
      </c>
      <c r="E187" s="43">
        <v>0</v>
      </c>
      <c r="F187" s="43">
        <v>13</v>
      </c>
      <c r="G187" s="43">
        <v>523</v>
      </c>
      <c r="H187" s="43">
        <v>0</v>
      </c>
      <c r="I187" s="43">
        <v>25</v>
      </c>
      <c r="J187" s="57" t="s">
        <v>510</v>
      </c>
      <c r="K187" s="57" t="s">
        <v>511</v>
      </c>
      <c r="L187" s="59">
        <v>45947</v>
      </c>
      <c r="M187" s="43">
        <v>0</v>
      </c>
      <c r="N187" s="43">
        <v>0</v>
      </c>
      <c r="O187" s="43">
        <v>0</v>
      </c>
      <c r="S187" s="43" t="b">
        <v>0</v>
      </c>
      <c r="T187" s="43">
        <v>0.01</v>
      </c>
      <c r="U187" s="55">
        <v>7.5</v>
      </c>
      <c r="V187" s="43">
        <v>0.01</v>
      </c>
      <c r="W187" s="43">
        <v>0</v>
      </c>
      <c r="X187" s="43">
        <v>1000</v>
      </c>
      <c r="Z187" s="43">
        <v>10</v>
      </c>
      <c r="AB187" s="55">
        <v>50</v>
      </c>
      <c r="AD187" s="43">
        <v>10</v>
      </c>
      <c r="AF187" s="43">
        <v>2000</v>
      </c>
      <c r="AG187" s="43">
        <v>2</v>
      </c>
      <c r="AH187" s="43">
        <v>7.6199998860000004</v>
      </c>
      <c r="AI187" s="43">
        <v>25</v>
      </c>
      <c r="AJ187" s="43">
        <v>0</v>
      </c>
      <c r="AK187" s="43">
        <v>0</v>
      </c>
      <c r="AM187" s="43" t="s">
        <v>2</v>
      </c>
      <c r="AO187" s="43">
        <v>50</v>
      </c>
      <c r="AW187" s="43" t="b">
        <v>0</v>
      </c>
      <c r="BM187" s="36" t="s">
        <v>1</v>
      </c>
      <c r="BN187" s="61">
        <v>13</v>
      </c>
      <c r="BO187" s="38">
        <f t="shared" si="29"/>
        <v>7.5</v>
      </c>
      <c r="BP187" s="61">
        <v>250</v>
      </c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3"/>
      <c r="CF187" s="47" t="s">
        <v>12</v>
      </c>
      <c r="CG187" s="43">
        <v>0</v>
      </c>
      <c r="CI187" s="43">
        <v>2.68</v>
      </c>
      <c r="CR187" s="43">
        <v>0</v>
      </c>
      <c r="CS187" s="70">
        <v>0</v>
      </c>
      <c r="CT187" s="70">
        <v>0</v>
      </c>
      <c r="CU187" s="43">
        <v>1</v>
      </c>
      <c r="CV187" s="70">
        <v>0</v>
      </c>
      <c r="CW187" s="70">
        <v>0</v>
      </c>
      <c r="CX187" s="70">
        <v>0</v>
      </c>
      <c r="CY187" s="70">
        <v>0</v>
      </c>
      <c r="CZ187" s="70">
        <v>0</v>
      </c>
      <c r="DA187" s="70">
        <v>0</v>
      </c>
      <c r="DB187" s="70">
        <v>0</v>
      </c>
      <c r="DD187" s="43">
        <v>2</v>
      </c>
      <c r="DI187" s="43" t="s">
        <v>0</v>
      </c>
    </row>
    <row r="188" spans="1:113" s="43" customFormat="1" ht="15.75" thickBot="1" x14ac:dyDescent="0.3">
      <c r="A188" s="43">
        <v>5821</v>
      </c>
      <c r="B188" s="43" t="s">
        <v>499</v>
      </c>
      <c r="C188" s="56" t="s">
        <v>452</v>
      </c>
      <c r="D188" s="43">
        <v>13</v>
      </c>
      <c r="E188" s="43">
        <v>0</v>
      </c>
      <c r="F188" s="43">
        <v>13</v>
      </c>
      <c r="G188" s="43">
        <v>524</v>
      </c>
      <c r="H188" s="43">
        <v>0</v>
      </c>
      <c r="I188" s="43">
        <v>25</v>
      </c>
      <c r="J188" s="57" t="s">
        <v>512</v>
      </c>
      <c r="K188" s="57" t="s">
        <v>513</v>
      </c>
      <c r="L188" s="59">
        <v>45947</v>
      </c>
      <c r="M188" s="43">
        <v>0</v>
      </c>
      <c r="N188" s="43">
        <v>0</v>
      </c>
      <c r="O188" s="43">
        <v>0</v>
      </c>
      <c r="S188" s="43" t="b">
        <v>0</v>
      </c>
      <c r="T188" s="43">
        <v>0.01</v>
      </c>
      <c r="U188" s="55">
        <v>7.5</v>
      </c>
      <c r="V188" s="43">
        <v>0.01</v>
      </c>
      <c r="W188" s="43">
        <v>0</v>
      </c>
      <c r="X188" s="43">
        <v>1000</v>
      </c>
      <c r="Z188" s="43">
        <v>10</v>
      </c>
      <c r="AB188" s="55">
        <v>50</v>
      </c>
      <c r="AD188" s="43">
        <v>10</v>
      </c>
      <c r="AF188" s="43">
        <v>2000</v>
      </c>
      <c r="AG188" s="43">
        <v>2</v>
      </c>
      <c r="AH188" s="43">
        <v>7.6100001339999999</v>
      </c>
      <c r="AI188" s="43">
        <v>25</v>
      </c>
      <c r="AJ188" s="43">
        <v>0</v>
      </c>
      <c r="AK188" s="43">
        <v>0</v>
      </c>
      <c r="AM188" s="43" t="s">
        <v>2</v>
      </c>
      <c r="AO188" s="43">
        <v>50</v>
      </c>
      <c r="AW188" s="43" t="b">
        <v>0</v>
      </c>
      <c r="BM188" s="36" t="s">
        <v>1</v>
      </c>
      <c r="BN188" s="61">
        <v>13</v>
      </c>
      <c r="BO188" s="38">
        <f t="shared" si="29"/>
        <v>7.5</v>
      </c>
      <c r="BP188" s="61">
        <v>250</v>
      </c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3"/>
      <c r="CF188" s="47" t="s">
        <v>12</v>
      </c>
      <c r="CG188" s="43">
        <v>0</v>
      </c>
      <c r="CI188" s="43">
        <v>2.68</v>
      </c>
      <c r="CR188" s="43">
        <v>0</v>
      </c>
      <c r="CS188" s="70">
        <v>0</v>
      </c>
      <c r="CT188" s="70">
        <v>0</v>
      </c>
      <c r="CU188" s="43">
        <v>1</v>
      </c>
      <c r="CV188" s="70">
        <v>0</v>
      </c>
      <c r="CW188" s="70">
        <v>0</v>
      </c>
      <c r="CX188" s="70">
        <v>0</v>
      </c>
      <c r="CY188" s="70">
        <v>0</v>
      </c>
      <c r="CZ188" s="70">
        <v>0</v>
      </c>
      <c r="DA188" s="70">
        <v>0</v>
      </c>
      <c r="DB188" s="70">
        <v>0</v>
      </c>
      <c r="DD188" s="43">
        <v>2</v>
      </c>
      <c r="DI188" s="43" t="s">
        <v>0</v>
      </c>
    </row>
    <row r="189" spans="1:113" s="43" customFormat="1" ht="15.75" thickBot="1" x14ac:dyDescent="0.3">
      <c r="A189" s="43">
        <v>5822</v>
      </c>
      <c r="B189" s="43" t="s">
        <v>499</v>
      </c>
      <c r="C189" s="56" t="s">
        <v>452</v>
      </c>
      <c r="D189" s="43">
        <v>13</v>
      </c>
      <c r="E189" s="43">
        <v>0</v>
      </c>
      <c r="F189" s="43">
        <v>13</v>
      </c>
      <c r="G189" s="43">
        <v>525</v>
      </c>
      <c r="H189" s="43">
        <v>0</v>
      </c>
      <c r="I189" s="43">
        <v>25</v>
      </c>
      <c r="J189" s="57" t="s">
        <v>514</v>
      </c>
      <c r="K189" s="57" t="s">
        <v>515</v>
      </c>
      <c r="L189" s="59">
        <v>45947</v>
      </c>
      <c r="M189" s="43">
        <v>0</v>
      </c>
      <c r="N189" s="43">
        <v>0</v>
      </c>
      <c r="O189" s="43">
        <v>0</v>
      </c>
      <c r="S189" s="43" t="b">
        <v>0</v>
      </c>
      <c r="T189" s="43">
        <v>0.01</v>
      </c>
      <c r="U189" s="55">
        <v>7.5</v>
      </c>
      <c r="V189" s="43">
        <v>0.01</v>
      </c>
      <c r="W189" s="43">
        <v>0</v>
      </c>
      <c r="X189" s="43">
        <v>1000</v>
      </c>
      <c r="Z189" s="43">
        <v>10</v>
      </c>
      <c r="AB189" s="55">
        <v>50</v>
      </c>
      <c r="AD189" s="43">
        <v>10</v>
      </c>
      <c r="AF189" s="43">
        <v>2000</v>
      </c>
      <c r="AG189" s="43">
        <v>2</v>
      </c>
      <c r="AH189" s="43">
        <v>7.6300001139999996</v>
      </c>
      <c r="AI189" s="43">
        <v>25</v>
      </c>
      <c r="AJ189" s="43">
        <v>0</v>
      </c>
      <c r="AK189" s="43">
        <v>0</v>
      </c>
      <c r="AM189" s="43" t="s">
        <v>2</v>
      </c>
      <c r="AO189" s="43">
        <v>50</v>
      </c>
      <c r="AW189" s="43" t="b">
        <v>0</v>
      </c>
      <c r="BM189" s="36" t="s">
        <v>1</v>
      </c>
      <c r="BN189" s="61">
        <v>13</v>
      </c>
      <c r="BO189" s="38">
        <f t="shared" si="29"/>
        <v>7.5</v>
      </c>
      <c r="BP189" s="61">
        <v>250</v>
      </c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3"/>
      <c r="CF189" s="47" t="s">
        <v>12</v>
      </c>
      <c r="CG189" s="43">
        <v>0</v>
      </c>
      <c r="CI189" s="43">
        <v>2.68</v>
      </c>
      <c r="CR189" s="43">
        <v>0</v>
      </c>
      <c r="CS189" s="70">
        <v>0</v>
      </c>
      <c r="CT189" s="70">
        <v>0</v>
      </c>
      <c r="CU189" s="43">
        <v>1</v>
      </c>
      <c r="CV189" s="70">
        <v>0</v>
      </c>
      <c r="CW189" s="70">
        <v>0</v>
      </c>
      <c r="CX189" s="70">
        <v>0</v>
      </c>
      <c r="CY189" s="70">
        <v>0</v>
      </c>
      <c r="CZ189" s="70">
        <v>0</v>
      </c>
      <c r="DA189" s="70">
        <v>0</v>
      </c>
      <c r="DB189" s="70">
        <v>0</v>
      </c>
      <c r="DD189" s="43">
        <v>2</v>
      </c>
      <c r="DI189" s="43" t="s">
        <v>0</v>
      </c>
    </row>
    <row r="190" spans="1:113" s="43" customFormat="1" ht="15.75" thickBot="1" x14ac:dyDescent="0.3">
      <c r="A190" s="43">
        <v>5823</v>
      </c>
      <c r="B190" s="43" t="s">
        <v>499</v>
      </c>
      <c r="C190" s="56" t="s">
        <v>452</v>
      </c>
      <c r="D190" s="43">
        <v>13</v>
      </c>
      <c r="E190" s="43">
        <v>0</v>
      </c>
      <c r="F190" s="43">
        <v>13</v>
      </c>
      <c r="G190" s="43">
        <v>526</v>
      </c>
      <c r="H190" s="43">
        <v>0</v>
      </c>
      <c r="I190" s="43">
        <v>27</v>
      </c>
      <c r="J190" s="57" t="s">
        <v>516</v>
      </c>
      <c r="K190" s="57" t="s">
        <v>517</v>
      </c>
      <c r="L190" s="59">
        <v>45947</v>
      </c>
      <c r="M190" s="43">
        <v>0</v>
      </c>
      <c r="N190" s="43">
        <v>0</v>
      </c>
      <c r="O190" s="43">
        <v>0</v>
      </c>
      <c r="S190" s="43" t="b">
        <v>0</v>
      </c>
      <c r="T190" s="43">
        <v>0.01</v>
      </c>
      <c r="U190" s="55">
        <v>7.5</v>
      </c>
      <c r="V190" s="43">
        <v>0.01</v>
      </c>
      <c r="W190" s="43">
        <v>0</v>
      </c>
      <c r="X190" s="43">
        <v>1000</v>
      </c>
      <c r="Z190" s="43">
        <v>10</v>
      </c>
      <c r="AB190" s="55">
        <v>55</v>
      </c>
      <c r="AD190" s="43">
        <v>10</v>
      </c>
      <c r="AF190" s="43">
        <v>2000</v>
      </c>
      <c r="AG190" s="43">
        <v>2</v>
      </c>
      <c r="AH190" s="43">
        <v>7.6599998469999999</v>
      </c>
      <c r="AI190" s="43">
        <v>25</v>
      </c>
      <c r="AJ190" s="43">
        <v>0</v>
      </c>
      <c r="AK190" s="43">
        <v>0</v>
      </c>
      <c r="AM190" s="43" t="s">
        <v>2</v>
      </c>
      <c r="AO190" s="43">
        <v>54</v>
      </c>
      <c r="AW190" s="43" t="b">
        <v>0</v>
      </c>
      <c r="BM190" s="36" t="s">
        <v>1</v>
      </c>
      <c r="BN190" s="61">
        <v>13</v>
      </c>
      <c r="BO190" s="38">
        <f t="shared" si="29"/>
        <v>7.5</v>
      </c>
      <c r="BP190" s="61">
        <v>250</v>
      </c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3"/>
      <c r="CF190" s="47" t="s">
        <v>12</v>
      </c>
      <c r="CG190" s="43">
        <v>0</v>
      </c>
      <c r="CI190" s="43">
        <v>2.68</v>
      </c>
      <c r="CR190" s="43">
        <v>0</v>
      </c>
      <c r="CS190" s="70">
        <v>0</v>
      </c>
      <c r="CT190" s="70">
        <v>0</v>
      </c>
      <c r="CU190" s="43">
        <v>1</v>
      </c>
      <c r="CV190" s="70">
        <v>0</v>
      </c>
      <c r="CW190" s="70">
        <v>0</v>
      </c>
      <c r="CX190" s="70">
        <v>0</v>
      </c>
      <c r="CY190" s="70">
        <v>0</v>
      </c>
      <c r="CZ190" s="70">
        <v>0</v>
      </c>
      <c r="DA190" s="70">
        <v>0</v>
      </c>
      <c r="DB190" s="70">
        <v>0</v>
      </c>
      <c r="DD190" s="43">
        <v>2</v>
      </c>
      <c r="DI190" s="43" t="s">
        <v>0</v>
      </c>
    </row>
    <row r="191" spans="1:113" s="43" customFormat="1" ht="15.75" thickBot="1" x14ac:dyDescent="0.3">
      <c r="A191" s="43">
        <v>5824</v>
      </c>
      <c r="B191" s="43" t="s">
        <v>499</v>
      </c>
      <c r="C191" s="56" t="s">
        <v>452</v>
      </c>
      <c r="D191" s="43">
        <v>13</v>
      </c>
      <c r="E191" s="43">
        <v>0</v>
      </c>
      <c r="F191" s="43">
        <v>13</v>
      </c>
      <c r="G191" s="43">
        <v>527</v>
      </c>
      <c r="H191" s="43">
        <v>0</v>
      </c>
      <c r="I191" s="43">
        <v>27</v>
      </c>
      <c r="J191" s="57" t="s">
        <v>518</v>
      </c>
      <c r="K191" s="57" t="s">
        <v>519</v>
      </c>
      <c r="L191" s="59">
        <v>45947</v>
      </c>
      <c r="M191" s="43">
        <v>0</v>
      </c>
      <c r="N191" s="43">
        <v>0</v>
      </c>
      <c r="O191" s="43">
        <v>0</v>
      </c>
      <c r="S191" s="43" t="b">
        <v>0</v>
      </c>
      <c r="T191" s="43">
        <v>0.01</v>
      </c>
      <c r="U191" s="55">
        <v>7.5</v>
      </c>
      <c r="V191" s="43">
        <v>0.01</v>
      </c>
      <c r="W191" s="43">
        <v>0</v>
      </c>
      <c r="X191" s="43">
        <v>1000</v>
      </c>
      <c r="Z191" s="43">
        <v>10</v>
      </c>
      <c r="AB191" s="55">
        <v>55</v>
      </c>
      <c r="AD191" s="43">
        <v>10</v>
      </c>
      <c r="AF191" s="43">
        <v>2000</v>
      </c>
      <c r="AG191" s="43">
        <v>2</v>
      </c>
      <c r="AH191" s="43">
        <v>7.6300001139999996</v>
      </c>
      <c r="AI191" s="43">
        <v>25</v>
      </c>
      <c r="AJ191" s="43">
        <v>0</v>
      </c>
      <c r="AK191" s="43">
        <v>0</v>
      </c>
      <c r="AM191" s="43" t="s">
        <v>2</v>
      </c>
      <c r="AO191" s="43">
        <v>54</v>
      </c>
      <c r="AW191" s="43" t="b">
        <v>0</v>
      </c>
      <c r="BM191" s="36" t="s">
        <v>1</v>
      </c>
      <c r="BN191" s="61">
        <v>13</v>
      </c>
      <c r="BO191" s="38">
        <f t="shared" si="29"/>
        <v>7.5</v>
      </c>
      <c r="BP191" s="61">
        <v>250</v>
      </c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3"/>
      <c r="CF191" s="47" t="s">
        <v>12</v>
      </c>
      <c r="CG191" s="43">
        <v>0</v>
      </c>
      <c r="CI191" s="43">
        <v>2.68</v>
      </c>
      <c r="CR191" s="43">
        <v>0</v>
      </c>
      <c r="CS191" s="70">
        <v>0</v>
      </c>
      <c r="CT191" s="70">
        <v>0</v>
      </c>
      <c r="CU191" s="43">
        <v>1</v>
      </c>
      <c r="CV191" s="70">
        <v>0</v>
      </c>
      <c r="CW191" s="70">
        <v>0</v>
      </c>
      <c r="CX191" s="70">
        <v>0</v>
      </c>
      <c r="CY191" s="70">
        <v>0</v>
      </c>
      <c r="CZ191" s="70">
        <v>0</v>
      </c>
      <c r="DA191" s="70">
        <v>0</v>
      </c>
      <c r="DB191" s="70">
        <v>0</v>
      </c>
      <c r="DD191" s="43">
        <v>2</v>
      </c>
      <c r="DI191" s="43" t="s">
        <v>0</v>
      </c>
    </row>
    <row r="192" spans="1:113" s="43" customFormat="1" ht="15.75" thickBot="1" x14ac:dyDescent="0.3">
      <c r="A192" s="43">
        <v>5825</v>
      </c>
      <c r="B192" s="43" t="s">
        <v>499</v>
      </c>
      <c r="C192" s="56" t="s">
        <v>452</v>
      </c>
      <c r="D192" s="43">
        <v>13</v>
      </c>
      <c r="E192" s="43">
        <v>0</v>
      </c>
      <c r="F192" s="43">
        <v>13</v>
      </c>
      <c r="G192" s="43">
        <v>528</v>
      </c>
      <c r="H192" s="43">
        <v>0</v>
      </c>
      <c r="I192" s="43">
        <v>27</v>
      </c>
      <c r="J192" s="57" t="s">
        <v>520</v>
      </c>
      <c r="K192" s="57" t="s">
        <v>521</v>
      </c>
      <c r="L192" s="59">
        <v>45947</v>
      </c>
      <c r="M192" s="43">
        <v>0</v>
      </c>
      <c r="N192" s="43">
        <v>0</v>
      </c>
      <c r="O192" s="43">
        <v>0</v>
      </c>
      <c r="S192" s="43" t="b">
        <v>0</v>
      </c>
      <c r="T192" s="43">
        <v>0.01</v>
      </c>
      <c r="U192" s="55">
        <v>7.5</v>
      </c>
      <c r="V192" s="43">
        <v>0.01</v>
      </c>
      <c r="W192" s="43">
        <v>0</v>
      </c>
      <c r="X192" s="43">
        <v>1000</v>
      </c>
      <c r="Z192" s="43">
        <v>10</v>
      </c>
      <c r="AB192" s="55">
        <v>55</v>
      </c>
      <c r="AD192" s="43">
        <v>10</v>
      </c>
      <c r="AF192" s="43">
        <v>2000</v>
      </c>
      <c r="AG192" s="43">
        <v>2</v>
      </c>
      <c r="AH192" s="43">
        <v>7.6100001339999999</v>
      </c>
      <c r="AI192" s="43">
        <v>25</v>
      </c>
      <c r="AJ192" s="43">
        <v>0</v>
      </c>
      <c r="AK192" s="43">
        <v>0</v>
      </c>
      <c r="AM192" s="43" t="s">
        <v>2</v>
      </c>
      <c r="AO192" s="43">
        <v>54</v>
      </c>
      <c r="AW192" s="43" t="b">
        <v>0</v>
      </c>
      <c r="BM192" s="36" t="s">
        <v>1</v>
      </c>
      <c r="BN192" s="61">
        <v>13</v>
      </c>
      <c r="BO192" s="38">
        <f t="shared" si="29"/>
        <v>7.5</v>
      </c>
      <c r="BP192" s="61">
        <v>250</v>
      </c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3"/>
      <c r="CF192" s="47" t="s">
        <v>12</v>
      </c>
      <c r="CG192" s="43">
        <v>0</v>
      </c>
      <c r="CI192" s="43">
        <v>2.68</v>
      </c>
      <c r="CR192" s="43">
        <v>0</v>
      </c>
      <c r="CS192" s="70">
        <v>0</v>
      </c>
      <c r="CT192" s="70">
        <v>0</v>
      </c>
      <c r="CU192" s="43">
        <v>1</v>
      </c>
      <c r="CV192" s="70">
        <v>0</v>
      </c>
      <c r="CW192" s="70">
        <v>0</v>
      </c>
      <c r="CX192" s="70">
        <v>0</v>
      </c>
      <c r="CY192" s="70">
        <v>0</v>
      </c>
      <c r="CZ192" s="70">
        <v>0</v>
      </c>
      <c r="DA192" s="70">
        <v>0</v>
      </c>
      <c r="DB192" s="70">
        <v>0</v>
      </c>
      <c r="DD192" s="43">
        <v>2</v>
      </c>
      <c r="DI192" s="43" t="s">
        <v>0</v>
      </c>
    </row>
    <row r="193" spans="1:113" s="43" customFormat="1" ht="15.75" thickBot="1" x14ac:dyDescent="0.3">
      <c r="A193" s="43">
        <v>5826</v>
      </c>
      <c r="B193" s="43" t="s">
        <v>499</v>
      </c>
      <c r="C193" s="56" t="s">
        <v>452</v>
      </c>
      <c r="D193" s="43">
        <v>13</v>
      </c>
      <c r="E193" s="43">
        <v>0</v>
      </c>
      <c r="F193" s="43">
        <v>13</v>
      </c>
      <c r="G193" s="43">
        <v>529</v>
      </c>
      <c r="H193" s="43">
        <v>0</v>
      </c>
      <c r="I193" s="43">
        <v>27</v>
      </c>
      <c r="J193" s="57" t="s">
        <v>522</v>
      </c>
      <c r="K193" s="57" t="s">
        <v>523</v>
      </c>
      <c r="L193" s="59">
        <v>45947</v>
      </c>
      <c r="M193" s="43">
        <v>0</v>
      </c>
      <c r="N193" s="43">
        <v>0</v>
      </c>
      <c r="O193" s="43">
        <v>0</v>
      </c>
      <c r="S193" s="43" t="b">
        <v>0</v>
      </c>
      <c r="T193" s="43">
        <v>0.01</v>
      </c>
      <c r="U193" s="55">
        <v>7.5</v>
      </c>
      <c r="V193" s="43">
        <v>0.01</v>
      </c>
      <c r="W193" s="43">
        <v>0</v>
      </c>
      <c r="X193" s="43">
        <v>1000</v>
      </c>
      <c r="Z193" s="43">
        <v>10</v>
      </c>
      <c r="AB193" s="55">
        <v>55</v>
      </c>
      <c r="AD193" s="43">
        <v>10</v>
      </c>
      <c r="AF193" s="43">
        <v>2000</v>
      </c>
      <c r="AG193" s="43">
        <v>2</v>
      </c>
      <c r="AH193" s="43">
        <v>7.6300001139999996</v>
      </c>
      <c r="AI193" s="43">
        <v>25</v>
      </c>
      <c r="AJ193" s="43">
        <v>0</v>
      </c>
      <c r="AK193" s="43">
        <v>0</v>
      </c>
      <c r="AM193" s="43" t="s">
        <v>2</v>
      </c>
      <c r="AO193" s="43">
        <v>54</v>
      </c>
      <c r="AW193" s="43" t="b">
        <v>0</v>
      </c>
      <c r="BM193" s="36" t="s">
        <v>1</v>
      </c>
      <c r="BN193" s="61">
        <v>13</v>
      </c>
      <c r="BO193" s="38">
        <f t="shared" si="29"/>
        <v>7.5</v>
      </c>
      <c r="BP193" s="61">
        <v>250</v>
      </c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3"/>
      <c r="CF193" s="47" t="s">
        <v>12</v>
      </c>
      <c r="CG193" s="43">
        <v>0</v>
      </c>
      <c r="CI193" s="43">
        <v>2.68</v>
      </c>
      <c r="CR193" s="43">
        <v>0</v>
      </c>
      <c r="CS193" s="70">
        <v>0</v>
      </c>
      <c r="CT193" s="70">
        <v>0</v>
      </c>
      <c r="CU193" s="43">
        <v>1</v>
      </c>
      <c r="CV193" s="70">
        <v>0</v>
      </c>
      <c r="CW193" s="70">
        <v>0</v>
      </c>
      <c r="CX193" s="70">
        <v>0</v>
      </c>
      <c r="CY193" s="70">
        <v>0</v>
      </c>
      <c r="CZ193" s="70">
        <v>0</v>
      </c>
      <c r="DA193" s="70">
        <v>0</v>
      </c>
      <c r="DB193" s="70">
        <v>0</v>
      </c>
      <c r="DD193" s="43">
        <v>2</v>
      </c>
      <c r="DI193" s="43" t="s">
        <v>0</v>
      </c>
    </row>
    <row r="194" spans="1:113" s="43" customFormat="1" ht="15.75" thickBot="1" x14ac:dyDescent="0.3">
      <c r="A194" s="43">
        <v>5827</v>
      </c>
      <c r="B194" s="43" t="s">
        <v>499</v>
      </c>
      <c r="C194" s="56" t="s">
        <v>452</v>
      </c>
      <c r="D194" s="43">
        <v>13</v>
      </c>
      <c r="E194" s="43">
        <v>0</v>
      </c>
      <c r="F194" s="43">
        <v>13</v>
      </c>
      <c r="G194" s="43">
        <v>530</v>
      </c>
      <c r="H194" s="43">
        <v>0</v>
      </c>
      <c r="I194" s="43">
        <v>25</v>
      </c>
      <c r="J194" s="57" t="s">
        <v>524</v>
      </c>
      <c r="K194" s="57" t="s">
        <v>525</v>
      </c>
      <c r="L194" s="59">
        <v>45947</v>
      </c>
      <c r="M194" s="43">
        <v>0</v>
      </c>
      <c r="N194" s="43">
        <v>0</v>
      </c>
      <c r="O194" s="43">
        <v>0</v>
      </c>
      <c r="S194" s="43" t="b">
        <v>0</v>
      </c>
      <c r="T194" s="43">
        <v>0.01</v>
      </c>
      <c r="U194" s="55">
        <v>8</v>
      </c>
      <c r="V194" s="43">
        <v>0.01</v>
      </c>
      <c r="W194" s="43">
        <v>0</v>
      </c>
      <c r="X194" s="43">
        <v>1000</v>
      </c>
      <c r="Z194" s="43">
        <v>10</v>
      </c>
      <c r="AB194" s="55">
        <v>50</v>
      </c>
      <c r="AD194" s="43">
        <v>10</v>
      </c>
      <c r="AF194" s="43">
        <v>2000</v>
      </c>
      <c r="AG194" s="43">
        <v>2</v>
      </c>
      <c r="AH194" s="43">
        <v>8.2200002669999996</v>
      </c>
      <c r="AI194" s="43">
        <v>21</v>
      </c>
      <c r="AJ194" s="43">
        <v>0</v>
      </c>
      <c r="AK194" s="43">
        <v>0</v>
      </c>
      <c r="AM194" s="43" t="s">
        <v>2</v>
      </c>
      <c r="AO194" s="43">
        <v>50</v>
      </c>
      <c r="AW194" s="43" t="b">
        <v>0</v>
      </c>
      <c r="BM194" s="36" t="s">
        <v>1</v>
      </c>
      <c r="BN194" s="61">
        <v>13</v>
      </c>
      <c r="BO194" s="38">
        <f t="shared" si="29"/>
        <v>8</v>
      </c>
      <c r="BP194" s="61">
        <v>250</v>
      </c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3"/>
      <c r="CF194" s="47" t="s">
        <v>12</v>
      </c>
      <c r="CG194" s="43">
        <v>0</v>
      </c>
      <c r="CI194" s="43">
        <v>2.68</v>
      </c>
      <c r="CR194" s="43">
        <v>0</v>
      </c>
      <c r="CS194" s="70">
        <v>0</v>
      </c>
      <c r="CT194" s="70">
        <v>0</v>
      </c>
      <c r="CU194" s="43">
        <v>1</v>
      </c>
      <c r="CV194" s="70">
        <v>0</v>
      </c>
      <c r="CW194" s="70">
        <v>0</v>
      </c>
      <c r="CX194" s="70">
        <v>0</v>
      </c>
      <c r="CY194" s="70">
        <v>0</v>
      </c>
      <c r="CZ194" s="70">
        <v>0</v>
      </c>
      <c r="DA194" s="70">
        <v>0</v>
      </c>
      <c r="DB194" s="70">
        <v>0</v>
      </c>
      <c r="DD194" s="43">
        <v>2</v>
      </c>
      <c r="DI194" s="43" t="s">
        <v>0</v>
      </c>
    </row>
    <row r="195" spans="1:113" s="43" customFormat="1" ht="15.75" thickBot="1" x14ac:dyDescent="0.3">
      <c r="A195" s="43">
        <v>5828</v>
      </c>
      <c r="B195" s="43" t="s">
        <v>499</v>
      </c>
      <c r="C195" s="56" t="s">
        <v>452</v>
      </c>
      <c r="D195" s="43">
        <v>13</v>
      </c>
      <c r="E195" s="43">
        <v>0</v>
      </c>
      <c r="F195" s="43">
        <v>13</v>
      </c>
      <c r="G195" s="43">
        <v>531</v>
      </c>
      <c r="H195" s="43">
        <v>0</v>
      </c>
      <c r="I195" s="43">
        <v>25</v>
      </c>
      <c r="J195" s="57" t="s">
        <v>526</v>
      </c>
      <c r="K195" s="57" t="s">
        <v>527</v>
      </c>
      <c r="L195" s="59">
        <v>45947</v>
      </c>
      <c r="M195" s="43">
        <v>0</v>
      </c>
      <c r="N195" s="43">
        <v>0</v>
      </c>
      <c r="O195" s="43">
        <v>0</v>
      </c>
      <c r="S195" s="43" t="b">
        <v>0</v>
      </c>
      <c r="T195" s="43">
        <v>0.01</v>
      </c>
      <c r="U195" s="55">
        <v>8</v>
      </c>
      <c r="V195" s="43">
        <v>0.01</v>
      </c>
      <c r="W195" s="43">
        <v>0</v>
      </c>
      <c r="X195" s="43">
        <v>1000</v>
      </c>
      <c r="Z195" s="43">
        <v>10</v>
      </c>
      <c r="AB195" s="55">
        <v>50</v>
      </c>
      <c r="AD195" s="43">
        <v>10</v>
      </c>
      <c r="AF195" s="43">
        <v>2000</v>
      </c>
      <c r="AG195" s="43">
        <v>2</v>
      </c>
      <c r="AH195" s="43">
        <v>8.1999998089999995</v>
      </c>
      <c r="AI195" s="43">
        <v>25</v>
      </c>
      <c r="AJ195" s="43">
        <v>0</v>
      </c>
      <c r="AK195" s="43">
        <v>0</v>
      </c>
      <c r="AM195" s="43" t="s">
        <v>2</v>
      </c>
      <c r="AO195" s="43">
        <v>50</v>
      </c>
      <c r="AW195" s="43" t="b">
        <v>0</v>
      </c>
      <c r="BM195" s="36" t="s">
        <v>1</v>
      </c>
      <c r="BN195" s="61">
        <v>13</v>
      </c>
      <c r="BO195" s="38">
        <f t="shared" si="29"/>
        <v>8</v>
      </c>
      <c r="BP195" s="61">
        <v>250</v>
      </c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3"/>
      <c r="CF195" s="47" t="s">
        <v>12</v>
      </c>
      <c r="CG195" s="43">
        <v>0</v>
      </c>
      <c r="CI195" s="43">
        <v>2.68</v>
      </c>
      <c r="CR195" s="43">
        <v>0</v>
      </c>
      <c r="CS195" s="70">
        <v>0</v>
      </c>
      <c r="CT195" s="70">
        <v>0</v>
      </c>
      <c r="CU195" s="43">
        <v>1</v>
      </c>
      <c r="CV195" s="70">
        <v>0</v>
      </c>
      <c r="CW195" s="70">
        <v>0</v>
      </c>
      <c r="CX195" s="70">
        <v>0</v>
      </c>
      <c r="CY195" s="70">
        <v>0</v>
      </c>
      <c r="CZ195" s="70">
        <v>0</v>
      </c>
      <c r="DA195" s="70">
        <v>0</v>
      </c>
      <c r="DB195" s="70">
        <v>0</v>
      </c>
      <c r="DD195" s="43">
        <v>2</v>
      </c>
      <c r="DI195" s="43" t="s">
        <v>0</v>
      </c>
    </row>
    <row r="196" spans="1:113" s="43" customFormat="1" ht="15.75" thickBot="1" x14ac:dyDescent="0.3">
      <c r="A196" s="43">
        <v>5829</v>
      </c>
      <c r="B196" s="43" t="s">
        <v>499</v>
      </c>
      <c r="C196" s="56" t="s">
        <v>452</v>
      </c>
      <c r="D196" s="43">
        <v>13</v>
      </c>
      <c r="E196" s="43">
        <v>0</v>
      </c>
      <c r="F196" s="43">
        <v>13</v>
      </c>
      <c r="G196" s="43">
        <v>532</v>
      </c>
      <c r="H196" s="43">
        <v>0</v>
      </c>
      <c r="I196" s="43">
        <v>25</v>
      </c>
      <c r="J196" s="57" t="s">
        <v>528</v>
      </c>
      <c r="K196" s="57" t="s">
        <v>529</v>
      </c>
      <c r="L196" s="59">
        <v>45947</v>
      </c>
      <c r="M196" s="43">
        <v>0</v>
      </c>
      <c r="N196" s="43">
        <v>0</v>
      </c>
      <c r="O196" s="43">
        <v>0</v>
      </c>
      <c r="S196" s="43" t="b">
        <v>0</v>
      </c>
      <c r="T196" s="43">
        <v>0.01</v>
      </c>
      <c r="U196" s="55">
        <v>8</v>
      </c>
      <c r="V196" s="43">
        <v>0.01</v>
      </c>
      <c r="W196" s="43">
        <v>0</v>
      </c>
      <c r="X196" s="43">
        <v>1000</v>
      </c>
      <c r="Z196" s="43">
        <v>10</v>
      </c>
      <c r="AB196" s="55">
        <v>50</v>
      </c>
      <c r="AD196" s="43">
        <v>10</v>
      </c>
      <c r="AF196" s="43">
        <v>2000</v>
      </c>
      <c r="AG196" s="43">
        <v>2</v>
      </c>
      <c r="AH196" s="43">
        <v>8.1999998089999995</v>
      </c>
      <c r="AI196" s="43">
        <v>25</v>
      </c>
      <c r="AJ196" s="43">
        <v>0</v>
      </c>
      <c r="AK196" s="43">
        <v>0</v>
      </c>
      <c r="AM196" s="43" t="s">
        <v>2</v>
      </c>
      <c r="AO196" s="43">
        <v>50</v>
      </c>
      <c r="AW196" s="43" t="b">
        <v>0</v>
      </c>
      <c r="BM196" s="36" t="s">
        <v>1</v>
      </c>
      <c r="BN196" s="61">
        <v>13</v>
      </c>
      <c r="BO196" s="38">
        <f t="shared" si="29"/>
        <v>8</v>
      </c>
      <c r="BP196" s="61">
        <v>250</v>
      </c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3"/>
      <c r="CF196" s="47" t="s">
        <v>12</v>
      </c>
      <c r="CG196" s="43">
        <v>0</v>
      </c>
      <c r="CI196" s="43">
        <v>2.68</v>
      </c>
      <c r="CR196" s="43">
        <v>0</v>
      </c>
      <c r="CS196" s="70">
        <v>0</v>
      </c>
      <c r="CT196" s="70">
        <v>0</v>
      </c>
      <c r="CU196" s="43">
        <v>1</v>
      </c>
      <c r="CV196" s="70">
        <v>0</v>
      </c>
      <c r="CW196" s="70">
        <v>0</v>
      </c>
      <c r="CX196" s="70">
        <v>0</v>
      </c>
      <c r="CY196" s="70">
        <v>0</v>
      </c>
      <c r="CZ196" s="70">
        <v>0</v>
      </c>
      <c r="DA196" s="70">
        <v>0</v>
      </c>
      <c r="DB196" s="70">
        <v>0</v>
      </c>
      <c r="DD196" s="43">
        <v>2</v>
      </c>
      <c r="DI196" s="43" t="s">
        <v>0</v>
      </c>
    </row>
    <row r="197" spans="1:113" s="43" customFormat="1" ht="15.75" thickBot="1" x14ac:dyDescent="0.3">
      <c r="A197" s="43">
        <v>5830</v>
      </c>
      <c r="B197" s="43" t="s">
        <v>499</v>
      </c>
      <c r="C197" s="56" t="s">
        <v>452</v>
      </c>
      <c r="D197" s="43">
        <v>13</v>
      </c>
      <c r="E197" s="43">
        <v>0</v>
      </c>
      <c r="F197" s="43">
        <v>13</v>
      </c>
      <c r="G197" s="43">
        <v>533</v>
      </c>
      <c r="H197" s="43">
        <v>0</v>
      </c>
      <c r="I197" s="43">
        <v>25</v>
      </c>
      <c r="J197" s="57" t="s">
        <v>530</v>
      </c>
      <c r="K197" s="57" t="s">
        <v>531</v>
      </c>
      <c r="L197" s="59">
        <v>45947</v>
      </c>
      <c r="M197" s="43">
        <v>0</v>
      </c>
      <c r="N197" s="43">
        <v>0</v>
      </c>
      <c r="O197" s="43">
        <v>0</v>
      </c>
      <c r="S197" s="43" t="b">
        <v>0</v>
      </c>
      <c r="T197" s="43">
        <v>0.01</v>
      </c>
      <c r="U197" s="55">
        <v>8</v>
      </c>
      <c r="V197" s="43">
        <v>0.01</v>
      </c>
      <c r="W197" s="43">
        <v>0</v>
      </c>
      <c r="X197" s="43">
        <v>1000</v>
      </c>
      <c r="Z197" s="43">
        <v>10</v>
      </c>
      <c r="AB197" s="55">
        <v>50</v>
      </c>
      <c r="AD197" s="43">
        <v>10</v>
      </c>
      <c r="AF197" s="43">
        <v>2000</v>
      </c>
      <c r="AG197" s="43">
        <v>2</v>
      </c>
      <c r="AH197" s="43">
        <v>8.2100000380000004</v>
      </c>
      <c r="AI197" s="43">
        <v>25</v>
      </c>
      <c r="AJ197" s="43">
        <v>0</v>
      </c>
      <c r="AK197" s="43">
        <v>0</v>
      </c>
      <c r="AM197" s="43" t="s">
        <v>2</v>
      </c>
      <c r="AO197" s="43">
        <v>50</v>
      </c>
      <c r="AW197" s="43" t="b">
        <v>0</v>
      </c>
      <c r="BM197" s="36" t="s">
        <v>1</v>
      </c>
      <c r="BN197" s="61">
        <v>13</v>
      </c>
      <c r="BO197" s="38">
        <f t="shared" si="29"/>
        <v>8</v>
      </c>
      <c r="BP197" s="61">
        <v>250</v>
      </c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3"/>
      <c r="CF197" s="47" t="s">
        <v>12</v>
      </c>
      <c r="CG197" s="43">
        <v>0</v>
      </c>
      <c r="CI197" s="43">
        <v>2.68</v>
      </c>
      <c r="CR197" s="43">
        <v>0</v>
      </c>
      <c r="CS197" s="70">
        <v>0</v>
      </c>
      <c r="CT197" s="70">
        <v>0</v>
      </c>
      <c r="CU197" s="43">
        <v>1</v>
      </c>
      <c r="CV197" s="70">
        <v>0</v>
      </c>
      <c r="CW197" s="70">
        <v>0</v>
      </c>
      <c r="CX197" s="70">
        <v>0</v>
      </c>
      <c r="CY197" s="70">
        <v>0</v>
      </c>
      <c r="CZ197" s="70">
        <v>0</v>
      </c>
      <c r="DA197" s="70">
        <v>0</v>
      </c>
      <c r="DB197" s="70">
        <v>0</v>
      </c>
      <c r="DD197" s="43">
        <v>2</v>
      </c>
      <c r="DI197" s="43" t="s">
        <v>0</v>
      </c>
    </row>
    <row r="198" spans="1:113" s="43" customFormat="1" ht="15.75" thickBot="1" x14ac:dyDescent="0.3">
      <c r="A198" s="43">
        <v>5831</v>
      </c>
      <c r="B198" s="43" t="s">
        <v>499</v>
      </c>
      <c r="C198" s="56" t="s">
        <v>452</v>
      </c>
      <c r="D198" s="43">
        <v>13</v>
      </c>
      <c r="E198" s="43">
        <v>0</v>
      </c>
      <c r="F198" s="43">
        <v>13</v>
      </c>
      <c r="G198" s="43">
        <v>534</v>
      </c>
      <c r="H198" s="43">
        <v>0</v>
      </c>
      <c r="I198" s="43">
        <v>25</v>
      </c>
      <c r="J198" s="57" t="s">
        <v>532</v>
      </c>
      <c r="K198" s="57" t="s">
        <v>533</v>
      </c>
      <c r="L198" s="59">
        <v>45947</v>
      </c>
      <c r="M198" s="43">
        <v>0</v>
      </c>
      <c r="N198" s="43">
        <v>0</v>
      </c>
      <c r="O198" s="43">
        <v>0</v>
      </c>
      <c r="S198" s="43" t="b">
        <v>0</v>
      </c>
      <c r="T198" s="43">
        <v>0.01</v>
      </c>
      <c r="U198" s="55">
        <v>8.25</v>
      </c>
      <c r="V198" s="43">
        <v>0.01</v>
      </c>
      <c r="W198" s="43">
        <v>0</v>
      </c>
      <c r="X198" s="43">
        <v>1000</v>
      </c>
      <c r="Z198" s="43">
        <v>10</v>
      </c>
      <c r="AB198" s="55">
        <v>50</v>
      </c>
      <c r="AD198" s="43">
        <v>10</v>
      </c>
      <c r="AF198" s="43">
        <v>2000</v>
      </c>
      <c r="AG198" s="43">
        <v>2</v>
      </c>
      <c r="AH198" s="43">
        <v>8.4700002669999996</v>
      </c>
      <c r="AI198" s="43">
        <v>16</v>
      </c>
      <c r="AJ198" s="43">
        <v>0</v>
      </c>
      <c r="AK198" s="43">
        <v>0</v>
      </c>
      <c r="AM198" s="43" t="s">
        <v>2</v>
      </c>
      <c r="AO198" s="43">
        <v>50</v>
      </c>
      <c r="AW198" s="43" t="b">
        <v>0</v>
      </c>
      <c r="BM198" s="36" t="s">
        <v>1</v>
      </c>
      <c r="BN198" s="61">
        <v>13</v>
      </c>
      <c r="BO198" s="38">
        <f t="shared" si="29"/>
        <v>8.25</v>
      </c>
      <c r="BP198" s="61">
        <v>250</v>
      </c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3"/>
      <c r="CF198" s="47" t="s">
        <v>12</v>
      </c>
      <c r="CG198" s="43">
        <v>0</v>
      </c>
      <c r="CI198" s="43">
        <v>2.68</v>
      </c>
      <c r="CR198" s="43">
        <v>0</v>
      </c>
      <c r="CS198" s="70">
        <v>0</v>
      </c>
      <c r="CT198" s="70">
        <v>0</v>
      </c>
      <c r="CU198" s="43">
        <v>1</v>
      </c>
      <c r="CV198" s="70">
        <v>0</v>
      </c>
      <c r="CW198" s="70">
        <v>0</v>
      </c>
      <c r="CX198" s="70">
        <v>0</v>
      </c>
      <c r="CY198" s="70">
        <v>0</v>
      </c>
      <c r="CZ198" s="70">
        <v>0</v>
      </c>
      <c r="DA198" s="70">
        <v>0</v>
      </c>
      <c r="DB198" s="70">
        <v>0</v>
      </c>
      <c r="DD198" s="43">
        <v>2</v>
      </c>
      <c r="DI198" s="43" t="s">
        <v>0</v>
      </c>
    </row>
    <row r="199" spans="1:113" s="43" customFormat="1" ht="15.75" thickBot="1" x14ac:dyDescent="0.3">
      <c r="A199" s="43">
        <v>5832</v>
      </c>
      <c r="B199" s="43" t="s">
        <v>499</v>
      </c>
      <c r="C199" s="56" t="s">
        <v>452</v>
      </c>
      <c r="D199" s="43">
        <v>13</v>
      </c>
      <c r="E199" s="43">
        <v>0</v>
      </c>
      <c r="F199" s="43">
        <v>13</v>
      </c>
      <c r="G199" s="43">
        <v>535</v>
      </c>
      <c r="H199" s="43">
        <v>0</v>
      </c>
      <c r="I199" s="43">
        <v>25</v>
      </c>
      <c r="J199" s="57" t="s">
        <v>534</v>
      </c>
      <c r="K199" s="57" t="s">
        <v>535</v>
      </c>
      <c r="L199" s="59">
        <v>45947</v>
      </c>
      <c r="M199" s="43">
        <v>0</v>
      </c>
      <c r="N199" s="43">
        <v>0</v>
      </c>
      <c r="O199" s="43">
        <v>0</v>
      </c>
      <c r="S199" s="43" t="b">
        <v>0</v>
      </c>
      <c r="T199" s="43">
        <v>0.01</v>
      </c>
      <c r="U199" s="55">
        <v>8.25</v>
      </c>
      <c r="V199" s="43">
        <v>0.01</v>
      </c>
      <c r="W199" s="43">
        <v>0</v>
      </c>
      <c r="X199" s="43">
        <v>1000</v>
      </c>
      <c r="Z199" s="43">
        <v>10</v>
      </c>
      <c r="AB199" s="55">
        <v>50</v>
      </c>
      <c r="AD199" s="43">
        <v>10</v>
      </c>
      <c r="AF199" s="43">
        <v>2000</v>
      </c>
      <c r="AG199" s="43">
        <v>2</v>
      </c>
      <c r="AH199" s="43">
        <v>8.5</v>
      </c>
      <c r="AI199" s="43">
        <v>16</v>
      </c>
      <c r="AJ199" s="43">
        <v>0</v>
      </c>
      <c r="AK199" s="43">
        <v>0</v>
      </c>
      <c r="AM199" s="43" t="s">
        <v>2</v>
      </c>
      <c r="AO199" s="43">
        <v>50</v>
      </c>
      <c r="AW199" s="43" t="b">
        <v>0</v>
      </c>
      <c r="BM199" s="36" t="s">
        <v>1</v>
      </c>
      <c r="BN199" s="61">
        <v>13</v>
      </c>
      <c r="BO199" s="38">
        <f t="shared" si="29"/>
        <v>8.25</v>
      </c>
      <c r="BP199" s="61">
        <v>250</v>
      </c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3"/>
      <c r="CF199" s="47" t="s">
        <v>12</v>
      </c>
      <c r="CG199" s="43">
        <v>0</v>
      </c>
      <c r="CI199" s="43">
        <v>2.68</v>
      </c>
      <c r="CR199" s="43">
        <v>0</v>
      </c>
      <c r="CS199" s="70">
        <v>0</v>
      </c>
      <c r="CT199" s="70">
        <v>0</v>
      </c>
      <c r="CU199" s="43">
        <v>1</v>
      </c>
      <c r="CV199" s="70">
        <v>0</v>
      </c>
      <c r="CW199" s="70">
        <v>0</v>
      </c>
      <c r="CX199" s="70">
        <v>0</v>
      </c>
      <c r="CY199" s="70">
        <v>0</v>
      </c>
      <c r="CZ199" s="70">
        <v>0</v>
      </c>
      <c r="DA199" s="70">
        <v>0</v>
      </c>
      <c r="DB199" s="70">
        <v>0</v>
      </c>
      <c r="DD199" s="43">
        <v>2</v>
      </c>
      <c r="DI199" s="43" t="s">
        <v>0</v>
      </c>
    </row>
    <row r="200" spans="1:113" s="43" customFormat="1" ht="15.75" thickBot="1" x14ac:dyDescent="0.3">
      <c r="A200" s="43">
        <v>5833</v>
      </c>
      <c r="B200" s="43" t="s">
        <v>499</v>
      </c>
      <c r="C200" s="56" t="s">
        <v>452</v>
      </c>
      <c r="D200" s="43">
        <v>13</v>
      </c>
      <c r="E200" s="43">
        <v>0</v>
      </c>
      <c r="F200" s="43">
        <v>13</v>
      </c>
      <c r="G200" s="43">
        <v>536</v>
      </c>
      <c r="H200" s="43">
        <v>0</v>
      </c>
      <c r="I200" s="43">
        <v>25</v>
      </c>
      <c r="J200" s="57" t="s">
        <v>536</v>
      </c>
      <c r="K200" s="57" t="s">
        <v>537</v>
      </c>
      <c r="L200" s="59">
        <v>45947</v>
      </c>
      <c r="M200" s="43">
        <v>0</v>
      </c>
      <c r="N200" s="43">
        <v>0</v>
      </c>
      <c r="O200" s="43">
        <v>0</v>
      </c>
      <c r="S200" s="43" t="b">
        <v>0</v>
      </c>
      <c r="T200" s="43">
        <v>0.01</v>
      </c>
      <c r="U200" s="55">
        <v>8.25</v>
      </c>
      <c r="V200" s="43">
        <v>0.01</v>
      </c>
      <c r="W200" s="43">
        <v>0</v>
      </c>
      <c r="X200" s="43">
        <v>1000</v>
      </c>
      <c r="Z200" s="43">
        <v>10</v>
      </c>
      <c r="AB200" s="55">
        <v>50</v>
      </c>
      <c r="AD200" s="43">
        <v>10</v>
      </c>
      <c r="AF200" s="43">
        <v>2000</v>
      </c>
      <c r="AG200" s="43">
        <v>2</v>
      </c>
      <c r="AH200" s="43">
        <v>8.4700002669999996</v>
      </c>
      <c r="AI200" s="43">
        <v>16</v>
      </c>
      <c r="AJ200" s="43">
        <v>0</v>
      </c>
      <c r="AK200" s="43">
        <v>0</v>
      </c>
      <c r="AM200" s="43" t="s">
        <v>2</v>
      </c>
      <c r="AO200" s="43">
        <v>50</v>
      </c>
      <c r="AW200" s="43" t="b">
        <v>0</v>
      </c>
      <c r="BM200" s="36" t="s">
        <v>1</v>
      </c>
      <c r="BN200" s="61">
        <v>13</v>
      </c>
      <c r="BO200" s="38">
        <f t="shared" si="29"/>
        <v>8.25</v>
      </c>
      <c r="BP200" s="61">
        <v>250</v>
      </c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3"/>
      <c r="CF200" s="47" t="s">
        <v>12</v>
      </c>
      <c r="CG200" s="43">
        <v>0</v>
      </c>
      <c r="CI200" s="43">
        <v>2.68</v>
      </c>
      <c r="CR200" s="43">
        <v>0</v>
      </c>
      <c r="CS200" s="70">
        <v>0</v>
      </c>
      <c r="CT200" s="70">
        <v>0</v>
      </c>
      <c r="CU200" s="43">
        <v>1</v>
      </c>
      <c r="CV200" s="70">
        <v>0</v>
      </c>
      <c r="CW200" s="70">
        <v>0</v>
      </c>
      <c r="CX200" s="70">
        <v>0</v>
      </c>
      <c r="CY200" s="70">
        <v>0</v>
      </c>
      <c r="CZ200" s="70">
        <v>0</v>
      </c>
      <c r="DA200" s="70">
        <v>0</v>
      </c>
      <c r="DB200" s="70">
        <v>0</v>
      </c>
      <c r="DD200" s="43">
        <v>2</v>
      </c>
      <c r="DI200" s="43" t="s">
        <v>0</v>
      </c>
    </row>
    <row r="201" spans="1:113" s="43" customFormat="1" ht="15.75" thickBot="1" x14ac:dyDescent="0.3">
      <c r="A201" s="43">
        <v>5834</v>
      </c>
      <c r="B201" s="43" t="s">
        <v>499</v>
      </c>
      <c r="C201" s="56" t="s">
        <v>452</v>
      </c>
      <c r="D201" s="43">
        <v>13</v>
      </c>
      <c r="E201" s="43">
        <v>0</v>
      </c>
      <c r="F201" s="43">
        <v>13</v>
      </c>
      <c r="G201" s="43">
        <v>537</v>
      </c>
      <c r="H201" s="43">
        <v>0</v>
      </c>
      <c r="I201" s="43">
        <v>25</v>
      </c>
      <c r="J201" s="57" t="s">
        <v>538</v>
      </c>
      <c r="K201" s="57" t="s">
        <v>539</v>
      </c>
      <c r="L201" s="59">
        <v>45947</v>
      </c>
      <c r="M201" s="43">
        <v>0</v>
      </c>
      <c r="N201" s="43">
        <v>0</v>
      </c>
      <c r="O201" s="43">
        <v>0</v>
      </c>
      <c r="S201" s="43" t="b">
        <v>0</v>
      </c>
      <c r="T201" s="43">
        <v>0.01</v>
      </c>
      <c r="U201" s="55">
        <v>8.25</v>
      </c>
      <c r="V201" s="43">
        <v>0.01</v>
      </c>
      <c r="W201" s="43">
        <v>0</v>
      </c>
      <c r="X201" s="43">
        <v>1000</v>
      </c>
      <c r="Z201" s="43">
        <v>10</v>
      </c>
      <c r="AB201" s="55">
        <v>50</v>
      </c>
      <c r="AD201" s="43">
        <v>10</v>
      </c>
      <c r="AF201" s="43">
        <v>2000</v>
      </c>
      <c r="AG201" s="43">
        <v>2</v>
      </c>
      <c r="AH201" s="43">
        <v>8.4700002669999996</v>
      </c>
      <c r="AI201" s="43">
        <v>16</v>
      </c>
      <c r="AJ201" s="43">
        <v>0</v>
      </c>
      <c r="AK201" s="43">
        <v>0</v>
      </c>
      <c r="AM201" s="43" t="s">
        <v>2</v>
      </c>
      <c r="AO201" s="43">
        <v>50</v>
      </c>
      <c r="AW201" s="43" t="b">
        <v>0</v>
      </c>
      <c r="BM201" s="36" t="s">
        <v>1</v>
      </c>
      <c r="BN201" s="61">
        <v>13</v>
      </c>
      <c r="BO201" s="38">
        <f t="shared" si="29"/>
        <v>8.25</v>
      </c>
      <c r="BP201" s="61">
        <v>250</v>
      </c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3"/>
      <c r="CF201" s="47" t="s">
        <v>12</v>
      </c>
      <c r="CG201" s="43">
        <v>0</v>
      </c>
      <c r="CI201" s="43">
        <v>2.68</v>
      </c>
      <c r="CR201" s="43">
        <v>0</v>
      </c>
      <c r="CS201" s="70">
        <v>0</v>
      </c>
      <c r="CT201" s="70">
        <v>0</v>
      </c>
      <c r="CU201" s="43">
        <v>1</v>
      </c>
      <c r="CV201" s="70">
        <v>0</v>
      </c>
      <c r="CW201" s="70">
        <v>0</v>
      </c>
      <c r="CX201" s="70">
        <v>0</v>
      </c>
      <c r="CY201" s="70">
        <v>0</v>
      </c>
      <c r="CZ201" s="70">
        <v>0</v>
      </c>
      <c r="DA201" s="70">
        <v>0</v>
      </c>
      <c r="DB201" s="70">
        <v>0</v>
      </c>
      <c r="DD201" s="43">
        <v>2</v>
      </c>
      <c r="DI201" s="43" t="s">
        <v>0</v>
      </c>
    </row>
    <row r="202" spans="1:113" s="43" customFormat="1" ht="15.75" thickBot="1" x14ac:dyDescent="0.3">
      <c r="A202" s="43">
        <v>5835</v>
      </c>
      <c r="B202" s="43" t="s">
        <v>499</v>
      </c>
      <c r="C202" s="56" t="s">
        <v>452</v>
      </c>
      <c r="D202" s="43">
        <v>13</v>
      </c>
      <c r="E202" s="43">
        <v>0</v>
      </c>
      <c r="F202" s="43">
        <v>13</v>
      </c>
      <c r="G202" s="43">
        <v>538</v>
      </c>
      <c r="H202" s="43">
        <v>0</v>
      </c>
      <c r="I202" s="43">
        <v>26</v>
      </c>
      <c r="J202" s="57" t="s">
        <v>540</v>
      </c>
      <c r="K202" s="57" t="s">
        <v>541</v>
      </c>
      <c r="L202" s="59">
        <v>45947</v>
      </c>
      <c r="M202" s="43">
        <v>0</v>
      </c>
      <c r="N202" s="43">
        <v>0</v>
      </c>
      <c r="O202" s="43">
        <v>0</v>
      </c>
      <c r="S202" s="43" t="b">
        <v>0</v>
      </c>
      <c r="T202" s="43">
        <v>0.01</v>
      </c>
      <c r="U202" s="55">
        <v>7.9000000950000002</v>
      </c>
      <c r="V202" s="43">
        <v>0.01</v>
      </c>
      <c r="W202" s="43">
        <v>0</v>
      </c>
      <c r="X202" s="43">
        <v>1000</v>
      </c>
      <c r="Z202" s="43">
        <v>10</v>
      </c>
      <c r="AB202" s="55">
        <v>53</v>
      </c>
      <c r="AD202" s="43">
        <v>10</v>
      </c>
      <c r="AF202" s="43">
        <v>2000</v>
      </c>
      <c r="AG202" s="43">
        <v>2</v>
      </c>
      <c r="AH202" s="43">
        <v>8.0900001530000001</v>
      </c>
      <c r="AI202" s="43">
        <v>21</v>
      </c>
      <c r="AJ202" s="43">
        <v>0</v>
      </c>
      <c r="AK202" s="43">
        <v>0</v>
      </c>
      <c r="AM202" s="43" t="s">
        <v>2</v>
      </c>
      <c r="AO202" s="43">
        <v>52</v>
      </c>
      <c r="AW202" s="43" t="b">
        <v>0</v>
      </c>
      <c r="BM202" s="36" t="s">
        <v>1</v>
      </c>
      <c r="BN202" s="61">
        <v>13</v>
      </c>
      <c r="BO202" s="38">
        <f t="shared" si="29"/>
        <v>7.9000000950000002</v>
      </c>
      <c r="BP202" s="61">
        <v>250</v>
      </c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3"/>
      <c r="CF202" s="47" t="s">
        <v>12</v>
      </c>
      <c r="CG202" s="43">
        <v>0</v>
      </c>
      <c r="CI202" s="43">
        <v>2.68</v>
      </c>
      <c r="CR202" s="43">
        <v>0</v>
      </c>
      <c r="CS202" s="70">
        <v>0</v>
      </c>
      <c r="CT202" s="70">
        <v>0</v>
      </c>
      <c r="CU202" s="43">
        <v>1</v>
      </c>
      <c r="CV202" s="70">
        <v>0</v>
      </c>
      <c r="CW202" s="70">
        <v>0</v>
      </c>
      <c r="CX202" s="70">
        <v>0</v>
      </c>
      <c r="CY202" s="70">
        <v>0</v>
      </c>
      <c r="CZ202" s="70">
        <v>0</v>
      </c>
      <c r="DA202" s="70">
        <v>0</v>
      </c>
      <c r="DB202" s="70">
        <v>0</v>
      </c>
      <c r="DD202" s="43">
        <v>2</v>
      </c>
      <c r="DI202" s="43" t="s">
        <v>0</v>
      </c>
    </row>
    <row r="203" spans="1:113" s="43" customFormat="1" ht="15.75" thickBot="1" x14ac:dyDescent="0.3">
      <c r="A203" s="43">
        <v>5836</v>
      </c>
      <c r="B203" s="43" t="s">
        <v>499</v>
      </c>
      <c r="C203" s="56" t="s">
        <v>452</v>
      </c>
      <c r="D203" s="43">
        <v>13</v>
      </c>
      <c r="E203" s="43">
        <v>0</v>
      </c>
      <c r="F203" s="43">
        <v>13</v>
      </c>
      <c r="G203" s="43">
        <v>539</v>
      </c>
      <c r="H203" s="43">
        <v>0</v>
      </c>
      <c r="I203" s="43">
        <v>26</v>
      </c>
      <c r="J203" s="57" t="s">
        <v>542</v>
      </c>
      <c r="K203" s="57" t="s">
        <v>543</v>
      </c>
      <c r="L203" s="59">
        <v>45947</v>
      </c>
      <c r="M203" s="43">
        <v>0</v>
      </c>
      <c r="N203" s="43">
        <v>0</v>
      </c>
      <c r="O203" s="43">
        <v>0</v>
      </c>
      <c r="S203" s="43" t="b">
        <v>0</v>
      </c>
      <c r="T203" s="43">
        <v>0.01</v>
      </c>
      <c r="U203" s="55">
        <v>7.9000000950000002</v>
      </c>
      <c r="V203" s="43">
        <v>0.01</v>
      </c>
      <c r="W203" s="43">
        <v>0</v>
      </c>
      <c r="X203" s="43">
        <v>1000</v>
      </c>
      <c r="Z203" s="43">
        <v>10</v>
      </c>
      <c r="AB203" s="55">
        <v>53</v>
      </c>
      <c r="AD203" s="43">
        <v>10</v>
      </c>
      <c r="AF203" s="43">
        <v>2000</v>
      </c>
      <c r="AG203" s="43">
        <v>2</v>
      </c>
      <c r="AH203" s="43">
        <v>8.0799999239999991</v>
      </c>
      <c r="AI203" s="43">
        <v>25</v>
      </c>
      <c r="AJ203" s="43">
        <v>0</v>
      </c>
      <c r="AK203" s="43">
        <v>0</v>
      </c>
      <c r="AM203" s="43" t="s">
        <v>2</v>
      </c>
      <c r="AO203" s="43">
        <v>52</v>
      </c>
      <c r="AW203" s="43" t="b">
        <v>0</v>
      </c>
      <c r="BM203" s="36" t="s">
        <v>1</v>
      </c>
      <c r="BN203" s="61">
        <v>13</v>
      </c>
      <c r="BO203" s="38">
        <f t="shared" si="29"/>
        <v>7.9000000950000002</v>
      </c>
      <c r="BP203" s="61">
        <v>250</v>
      </c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3"/>
      <c r="CF203" s="47" t="s">
        <v>12</v>
      </c>
      <c r="CG203" s="43">
        <v>0</v>
      </c>
      <c r="CI203" s="43">
        <v>2.68</v>
      </c>
      <c r="CR203" s="43">
        <v>0</v>
      </c>
      <c r="CS203" s="70">
        <v>0</v>
      </c>
      <c r="CT203" s="70">
        <v>0</v>
      </c>
      <c r="CU203" s="43">
        <v>1</v>
      </c>
      <c r="CV203" s="70">
        <v>0</v>
      </c>
      <c r="CW203" s="70">
        <v>0</v>
      </c>
      <c r="CX203" s="70">
        <v>0</v>
      </c>
      <c r="CY203" s="70">
        <v>0</v>
      </c>
      <c r="CZ203" s="70">
        <v>0</v>
      </c>
      <c r="DA203" s="70">
        <v>0</v>
      </c>
      <c r="DB203" s="70">
        <v>0</v>
      </c>
      <c r="DD203" s="43">
        <v>2</v>
      </c>
      <c r="DI203" s="43" t="s">
        <v>0</v>
      </c>
    </row>
    <row r="204" spans="1:113" s="43" customFormat="1" ht="15.75" thickBot="1" x14ac:dyDescent="0.3">
      <c r="A204" s="43">
        <v>5837</v>
      </c>
      <c r="B204" s="43" t="s">
        <v>499</v>
      </c>
      <c r="C204" s="56" t="s">
        <v>452</v>
      </c>
      <c r="D204" s="43">
        <v>13</v>
      </c>
      <c r="E204" s="43">
        <v>0</v>
      </c>
      <c r="F204" s="43">
        <v>13</v>
      </c>
      <c r="G204" s="43">
        <v>540</v>
      </c>
      <c r="H204" s="43">
        <v>0</v>
      </c>
      <c r="I204" s="43">
        <v>26</v>
      </c>
      <c r="J204" s="57" t="s">
        <v>544</v>
      </c>
      <c r="K204" s="57" t="s">
        <v>545</v>
      </c>
      <c r="L204" s="59">
        <v>45947</v>
      </c>
      <c r="M204" s="43">
        <v>0</v>
      </c>
      <c r="N204" s="43">
        <v>0</v>
      </c>
      <c r="O204" s="43">
        <v>0</v>
      </c>
      <c r="S204" s="43" t="b">
        <v>0</v>
      </c>
      <c r="T204" s="43">
        <v>0.01</v>
      </c>
      <c r="U204" s="55">
        <v>7.9000000950000002</v>
      </c>
      <c r="V204" s="43">
        <v>0.01</v>
      </c>
      <c r="W204" s="43">
        <v>0</v>
      </c>
      <c r="X204" s="43">
        <v>1000</v>
      </c>
      <c r="Z204" s="43">
        <v>10</v>
      </c>
      <c r="AB204" s="55">
        <v>53</v>
      </c>
      <c r="AD204" s="43">
        <v>10</v>
      </c>
      <c r="AF204" s="43">
        <v>2000</v>
      </c>
      <c r="AG204" s="43">
        <v>2</v>
      </c>
      <c r="AH204" s="43">
        <v>8.0500001910000005</v>
      </c>
      <c r="AI204" s="43">
        <v>25</v>
      </c>
      <c r="AJ204" s="43">
        <v>0</v>
      </c>
      <c r="AK204" s="43">
        <v>0</v>
      </c>
      <c r="AM204" s="43" t="s">
        <v>2</v>
      </c>
      <c r="AO204" s="43">
        <v>52</v>
      </c>
      <c r="AW204" s="43" t="b">
        <v>0</v>
      </c>
      <c r="BM204" s="36" t="s">
        <v>1</v>
      </c>
      <c r="BN204" s="61">
        <v>13</v>
      </c>
      <c r="BO204" s="38">
        <f t="shared" si="29"/>
        <v>7.9000000950000002</v>
      </c>
      <c r="BP204" s="61">
        <v>250</v>
      </c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3"/>
      <c r="CF204" s="47" t="s">
        <v>12</v>
      </c>
      <c r="CG204" s="43">
        <v>0</v>
      </c>
      <c r="CI204" s="43">
        <v>2.68</v>
      </c>
      <c r="CR204" s="43">
        <v>0</v>
      </c>
      <c r="CS204" s="70">
        <v>0</v>
      </c>
      <c r="CT204" s="70">
        <v>0</v>
      </c>
      <c r="CU204" s="43">
        <v>1</v>
      </c>
      <c r="CV204" s="70">
        <v>0</v>
      </c>
      <c r="CW204" s="70">
        <v>0</v>
      </c>
      <c r="CX204" s="70">
        <v>0</v>
      </c>
      <c r="CY204" s="70">
        <v>0</v>
      </c>
      <c r="CZ204" s="70">
        <v>0</v>
      </c>
      <c r="DA204" s="70">
        <v>0</v>
      </c>
      <c r="DB204" s="70">
        <v>0</v>
      </c>
      <c r="DD204" s="43">
        <v>2</v>
      </c>
      <c r="DI204" s="43" t="s">
        <v>0</v>
      </c>
    </row>
    <row r="205" spans="1:113" s="43" customFormat="1" ht="15.75" thickBot="1" x14ac:dyDescent="0.3">
      <c r="A205" s="43">
        <v>5838</v>
      </c>
      <c r="B205" s="43" t="s">
        <v>499</v>
      </c>
      <c r="C205" s="56" t="s">
        <v>452</v>
      </c>
      <c r="D205" s="43">
        <v>13</v>
      </c>
      <c r="E205" s="43">
        <v>0</v>
      </c>
      <c r="F205" s="43">
        <v>13</v>
      </c>
      <c r="G205" s="43">
        <v>541</v>
      </c>
      <c r="H205" s="43">
        <v>0</v>
      </c>
      <c r="I205" s="43">
        <v>26</v>
      </c>
      <c r="J205" s="57" t="s">
        <v>546</v>
      </c>
      <c r="K205" s="57" t="s">
        <v>547</v>
      </c>
      <c r="L205" s="59">
        <v>45947</v>
      </c>
      <c r="M205" s="43">
        <v>0</v>
      </c>
      <c r="N205" s="43">
        <v>0</v>
      </c>
      <c r="O205" s="43">
        <v>0</v>
      </c>
      <c r="S205" s="43" t="b">
        <v>0</v>
      </c>
      <c r="T205" s="43">
        <v>0.01</v>
      </c>
      <c r="U205" s="55">
        <v>7.9000000950000002</v>
      </c>
      <c r="V205" s="43">
        <v>0.01</v>
      </c>
      <c r="W205" s="43">
        <v>0</v>
      </c>
      <c r="X205" s="43">
        <v>1000</v>
      </c>
      <c r="Z205" s="43">
        <v>10</v>
      </c>
      <c r="AB205" s="55">
        <v>53</v>
      </c>
      <c r="AD205" s="43">
        <v>10</v>
      </c>
      <c r="AF205" s="43">
        <v>2000</v>
      </c>
      <c r="AG205" s="43">
        <v>2</v>
      </c>
      <c r="AH205" s="43">
        <v>8.0799999239999991</v>
      </c>
      <c r="AI205" s="43">
        <v>25</v>
      </c>
      <c r="AJ205" s="43">
        <v>0</v>
      </c>
      <c r="AK205" s="43">
        <v>0</v>
      </c>
      <c r="AM205" s="43" t="s">
        <v>2</v>
      </c>
      <c r="AO205" s="43">
        <v>52</v>
      </c>
      <c r="AW205" s="43" t="b">
        <v>0</v>
      </c>
      <c r="BM205" s="36" t="s">
        <v>1</v>
      </c>
      <c r="BN205" s="61">
        <v>13</v>
      </c>
      <c r="BO205" s="38">
        <f t="shared" si="29"/>
        <v>7.9000000950000002</v>
      </c>
      <c r="BP205" s="61">
        <v>250</v>
      </c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3"/>
      <c r="CF205" s="47" t="s">
        <v>12</v>
      </c>
      <c r="CG205" s="43">
        <v>0</v>
      </c>
      <c r="CI205" s="43">
        <v>2.68</v>
      </c>
      <c r="CR205" s="43">
        <v>0</v>
      </c>
      <c r="CS205" s="70">
        <v>0</v>
      </c>
      <c r="CT205" s="70">
        <v>0</v>
      </c>
      <c r="CU205" s="43">
        <v>1</v>
      </c>
      <c r="CV205" s="70">
        <v>0</v>
      </c>
      <c r="CW205" s="70">
        <v>0</v>
      </c>
      <c r="CX205" s="70">
        <v>0</v>
      </c>
      <c r="CY205" s="70">
        <v>0</v>
      </c>
      <c r="CZ205" s="70">
        <v>0</v>
      </c>
      <c r="DA205" s="70">
        <v>0</v>
      </c>
      <c r="DB205" s="70">
        <v>0</v>
      </c>
      <c r="DD205" s="43">
        <v>2</v>
      </c>
      <c r="DI205" s="43" t="s">
        <v>0</v>
      </c>
    </row>
    <row r="206" spans="1:113" s="43" customFormat="1" ht="15.75" thickBot="1" x14ac:dyDescent="0.3">
      <c r="A206" s="43">
        <v>5896</v>
      </c>
      <c r="B206" s="43" t="s">
        <v>499</v>
      </c>
      <c r="C206" s="56" t="s">
        <v>452</v>
      </c>
      <c r="D206" s="43">
        <v>13</v>
      </c>
      <c r="E206" s="43">
        <v>0</v>
      </c>
      <c r="F206" s="43">
        <v>13</v>
      </c>
      <c r="G206" s="43">
        <v>1</v>
      </c>
      <c r="H206" s="43">
        <v>0</v>
      </c>
      <c r="I206" s="43">
        <v>25</v>
      </c>
      <c r="J206" s="57" t="s">
        <v>548</v>
      </c>
      <c r="K206" s="57" t="s">
        <v>549</v>
      </c>
      <c r="L206" s="59">
        <v>45947</v>
      </c>
      <c r="M206" s="43">
        <v>0</v>
      </c>
      <c r="N206" s="43">
        <v>0</v>
      </c>
      <c r="O206" s="43">
        <v>0</v>
      </c>
      <c r="S206" s="43" t="b">
        <v>0</v>
      </c>
      <c r="T206" s="43">
        <v>0.01</v>
      </c>
      <c r="U206" s="55">
        <v>7.5</v>
      </c>
      <c r="V206" s="43">
        <v>0.01</v>
      </c>
      <c r="W206" s="43">
        <v>0</v>
      </c>
      <c r="X206" s="43">
        <v>1000</v>
      </c>
      <c r="Z206" s="43">
        <v>10</v>
      </c>
      <c r="AB206" s="55">
        <v>50</v>
      </c>
      <c r="AD206" s="43">
        <v>10</v>
      </c>
      <c r="AF206" s="43">
        <v>2000</v>
      </c>
      <c r="AG206" s="43">
        <v>2</v>
      </c>
      <c r="AH206" s="43">
        <v>7.6199998860000004</v>
      </c>
      <c r="AI206" s="43">
        <v>25</v>
      </c>
      <c r="AJ206" s="43">
        <v>0</v>
      </c>
      <c r="AK206" s="43">
        <v>0</v>
      </c>
      <c r="AM206" s="43" t="s">
        <v>2</v>
      </c>
      <c r="AO206" s="43">
        <v>50</v>
      </c>
      <c r="AW206" s="43" t="b">
        <v>0</v>
      </c>
      <c r="BM206" s="36" t="s">
        <v>1</v>
      </c>
      <c r="BN206" s="61">
        <v>13</v>
      </c>
      <c r="BO206" s="38">
        <f t="shared" si="29"/>
        <v>7.5</v>
      </c>
      <c r="BP206" s="61">
        <v>250</v>
      </c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3"/>
      <c r="CF206" s="47" t="s">
        <v>12</v>
      </c>
      <c r="CG206" s="43">
        <v>0</v>
      </c>
      <c r="CI206" s="43">
        <v>2.68</v>
      </c>
      <c r="CR206" s="43">
        <v>0</v>
      </c>
      <c r="CS206" s="70">
        <v>0</v>
      </c>
      <c r="CT206" s="70">
        <v>0</v>
      </c>
      <c r="CU206" s="43">
        <v>1</v>
      </c>
      <c r="CV206" s="70">
        <v>0</v>
      </c>
      <c r="CW206" s="70">
        <v>0</v>
      </c>
      <c r="CX206" s="70">
        <v>0</v>
      </c>
      <c r="CY206" s="70">
        <v>0</v>
      </c>
      <c r="CZ206" s="70">
        <v>0</v>
      </c>
      <c r="DA206" s="70">
        <v>0</v>
      </c>
      <c r="DB206" s="70">
        <v>0</v>
      </c>
      <c r="DD206" s="43">
        <v>2</v>
      </c>
      <c r="DI206" s="43" t="s">
        <v>0</v>
      </c>
    </row>
    <row r="207" spans="1:113" s="43" customFormat="1" ht="15.75" thickBot="1" x14ac:dyDescent="0.3">
      <c r="A207" s="43">
        <v>5897</v>
      </c>
      <c r="B207" s="43" t="s">
        <v>499</v>
      </c>
      <c r="C207" s="56" t="s">
        <v>452</v>
      </c>
      <c r="D207" s="43">
        <v>13</v>
      </c>
      <c r="E207" s="43">
        <v>0</v>
      </c>
      <c r="F207" s="43">
        <v>13</v>
      </c>
      <c r="G207" s="43">
        <v>2</v>
      </c>
      <c r="H207" s="43">
        <v>0</v>
      </c>
      <c r="I207" s="43">
        <v>25</v>
      </c>
      <c r="J207" s="57" t="s">
        <v>550</v>
      </c>
      <c r="K207" s="57" t="s">
        <v>551</v>
      </c>
      <c r="L207" s="59">
        <v>45947</v>
      </c>
      <c r="M207" s="43">
        <v>0</v>
      </c>
      <c r="N207" s="43">
        <v>0</v>
      </c>
      <c r="O207" s="43">
        <v>0</v>
      </c>
      <c r="S207" s="43" t="b">
        <v>0</v>
      </c>
      <c r="T207" s="43">
        <v>0.01</v>
      </c>
      <c r="U207" s="55">
        <v>7.5</v>
      </c>
      <c r="V207" s="43">
        <v>0.01</v>
      </c>
      <c r="W207" s="43">
        <v>0</v>
      </c>
      <c r="X207" s="43">
        <v>1000</v>
      </c>
      <c r="Z207" s="43">
        <v>10</v>
      </c>
      <c r="AB207" s="55">
        <v>50</v>
      </c>
      <c r="AD207" s="43">
        <v>10</v>
      </c>
      <c r="AF207" s="43">
        <v>2000</v>
      </c>
      <c r="AG207" s="43">
        <v>2</v>
      </c>
      <c r="AH207" s="43">
        <v>7.6199998860000004</v>
      </c>
      <c r="AI207" s="43">
        <v>25</v>
      </c>
      <c r="AJ207" s="43">
        <v>0</v>
      </c>
      <c r="AK207" s="43">
        <v>0</v>
      </c>
      <c r="AM207" s="43" t="s">
        <v>2</v>
      </c>
      <c r="AO207" s="43">
        <v>50</v>
      </c>
      <c r="AW207" s="43" t="b">
        <v>0</v>
      </c>
      <c r="BM207" s="36" t="s">
        <v>1</v>
      </c>
      <c r="BN207" s="61">
        <v>13</v>
      </c>
      <c r="BO207" s="38">
        <f t="shared" si="29"/>
        <v>7.5</v>
      </c>
      <c r="BP207" s="61">
        <v>250</v>
      </c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3"/>
      <c r="CF207" s="47" t="s">
        <v>12</v>
      </c>
      <c r="CG207" s="43">
        <v>0</v>
      </c>
      <c r="CI207" s="43">
        <v>2.68</v>
      </c>
      <c r="CR207" s="43">
        <v>0</v>
      </c>
      <c r="CS207" s="70">
        <v>0</v>
      </c>
      <c r="CT207" s="70">
        <v>0</v>
      </c>
      <c r="CU207" s="43">
        <v>1</v>
      </c>
      <c r="CV207" s="70">
        <v>0</v>
      </c>
      <c r="CW207" s="70">
        <v>0</v>
      </c>
      <c r="CX207" s="70">
        <v>0</v>
      </c>
      <c r="CY207" s="70">
        <v>0</v>
      </c>
      <c r="CZ207" s="70">
        <v>0</v>
      </c>
      <c r="DA207" s="70">
        <v>0</v>
      </c>
      <c r="DB207" s="70">
        <v>0</v>
      </c>
      <c r="DD207" s="43">
        <v>2</v>
      </c>
      <c r="DI207" s="43" t="s">
        <v>0</v>
      </c>
    </row>
    <row r="208" spans="1:113" s="43" customFormat="1" ht="15.75" thickBot="1" x14ac:dyDescent="0.3">
      <c r="A208" s="43">
        <v>5898</v>
      </c>
      <c r="B208" s="43" t="s">
        <v>499</v>
      </c>
      <c r="C208" s="56" t="s">
        <v>452</v>
      </c>
      <c r="D208" s="43">
        <v>13</v>
      </c>
      <c r="E208" s="43">
        <v>0</v>
      </c>
      <c r="F208" s="43">
        <v>13</v>
      </c>
      <c r="G208" s="43">
        <v>3</v>
      </c>
      <c r="H208" s="43">
        <v>0</v>
      </c>
      <c r="I208" s="43">
        <v>25</v>
      </c>
      <c r="J208" s="57" t="s">
        <v>552</v>
      </c>
      <c r="K208" s="57" t="s">
        <v>553</v>
      </c>
      <c r="L208" s="59">
        <v>45947</v>
      </c>
      <c r="M208" s="43">
        <v>0</v>
      </c>
      <c r="N208" s="43">
        <v>0</v>
      </c>
      <c r="O208" s="43">
        <v>0</v>
      </c>
      <c r="S208" s="43" t="b">
        <v>0</v>
      </c>
      <c r="T208" s="43">
        <v>0.01</v>
      </c>
      <c r="U208" s="55">
        <v>7.5</v>
      </c>
      <c r="V208" s="43">
        <v>0.01</v>
      </c>
      <c r="W208" s="43">
        <v>0</v>
      </c>
      <c r="X208" s="43">
        <v>1000</v>
      </c>
      <c r="Z208" s="43">
        <v>10</v>
      </c>
      <c r="AB208" s="55">
        <v>50</v>
      </c>
      <c r="AD208" s="43">
        <v>10</v>
      </c>
      <c r="AF208" s="43">
        <v>2000</v>
      </c>
      <c r="AG208" s="43">
        <v>2</v>
      </c>
      <c r="AH208" s="43">
        <v>7.6100001339999999</v>
      </c>
      <c r="AI208" s="43">
        <v>25</v>
      </c>
      <c r="AJ208" s="43">
        <v>0</v>
      </c>
      <c r="AK208" s="43">
        <v>0</v>
      </c>
      <c r="AM208" s="43" t="s">
        <v>2</v>
      </c>
      <c r="AO208" s="43">
        <v>50</v>
      </c>
      <c r="AW208" s="43" t="b">
        <v>0</v>
      </c>
      <c r="BM208" s="36" t="s">
        <v>1</v>
      </c>
      <c r="BN208" s="61">
        <v>13</v>
      </c>
      <c r="BO208" s="38">
        <f t="shared" si="29"/>
        <v>7.5</v>
      </c>
      <c r="BP208" s="61">
        <v>250</v>
      </c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3"/>
      <c r="CF208" s="47" t="s">
        <v>12</v>
      </c>
      <c r="CG208" s="43">
        <v>0</v>
      </c>
      <c r="CI208" s="43">
        <v>2.68</v>
      </c>
      <c r="CR208" s="43">
        <v>0</v>
      </c>
      <c r="CS208" s="70">
        <v>0</v>
      </c>
      <c r="CT208" s="70">
        <v>0</v>
      </c>
      <c r="CU208" s="43">
        <v>1</v>
      </c>
      <c r="CV208" s="70">
        <v>0</v>
      </c>
      <c r="CW208" s="70">
        <v>0</v>
      </c>
      <c r="CX208" s="70">
        <v>0</v>
      </c>
      <c r="CY208" s="70">
        <v>0</v>
      </c>
      <c r="CZ208" s="70">
        <v>0</v>
      </c>
      <c r="DA208" s="70">
        <v>0</v>
      </c>
      <c r="DB208" s="70">
        <v>0</v>
      </c>
      <c r="DD208" s="43">
        <v>2</v>
      </c>
      <c r="DI208" s="43" t="s">
        <v>0</v>
      </c>
    </row>
    <row r="209" spans="1:113" s="43" customFormat="1" ht="15.75" thickBot="1" x14ac:dyDescent="0.3">
      <c r="A209" s="43">
        <v>5899</v>
      </c>
      <c r="B209" s="43" t="s">
        <v>499</v>
      </c>
      <c r="C209" s="56" t="s">
        <v>452</v>
      </c>
      <c r="D209" s="43">
        <v>13</v>
      </c>
      <c r="E209" s="43">
        <v>0</v>
      </c>
      <c r="F209" s="43">
        <v>13</v>
      </c>
      <c r="G209" s="43">
        <v>4</v>
      </c>
      <c r="H209" s="43">
        <v>0</v>
      </c>
      <c r="I209" s="43">
        <v>25</v>
      </c>
      <c r="J209" s="57" t="s">
        <v>554</v>
      </c>
      <c r="K209" s="57" t="s">
        <v>555</v>
      </c>
      <c r="L209" s="59">
        <v>45947</v>
      </c>
      <c r="M209" s="43">
        <v>0</v>
      </c>
      <c r="N209" s="43">
        <v>0</v>
      </c>
      <c r="O209" s="43">
        <v>0</v>
      </c>
      <c r="S209" s="43" t="b">
        <v>0</v>
      </c>
      <c r="T209" s="43">
        <v>0.01</v>
      </c>
      <c r="U209" s="55">
        <v>7.5</v>
      </c>
      <c r="V209" s="43">
        <v>0.01</v>
      </c>
      <c r="W209" s="43">
        <v>0</v>
      </c>
      <c r="X209" s="43">
        <v>1000</v>
      </c>
      <c r="Z209" s="43">
        <v>10</v>
      </c>
      <c r="AB209" s="55">
        <v>50</v>
      </c>
      <c r="AD209" s="43">
        <v>10</v>
      </c>
      <c r="AF209" s="43">
        <v>2000</v>
      </c>
      <c r="AG209" s="43">
        <v>2</v>
      </c>
      <c r="AH209" s="43">
        <v>7.6399998660000001</v>
      </c>
      <c r="AI209" s="43">
        <v>25</v>
      </c>
      <c r="AJ209" s="43">
        <v>0</v>
      </c>
      <c r="AK209" s="43">
        <v>0</v>
      </c>
      <c r="AM209" s="43" t="s">
        <v>2</v>
      </c>
      <c r="AO209" s="43">
        <v>50</v>
      </c>
      <c r="AW209" s="43" t="b">
        <v>0</v>
      </c>
      <c r="BM209" s="36" t="s">
        <v>1</v>
      </c>
      <c r="BN209" s="61">
        <v>13</v>
      </c>
      <c r="BO209" s="38">
        <f t="shared" si="29"/>
        <v>7.5</v>
      </c>
      <c r="BP209" s="61">
        <v>250</v>
      </c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3"/>
      <c r="CF209" s="47" t="s">
        <v>12</v>
      </c>
      <c r="CG209" s="43">
        <v>0</v>
      </c>
      <c r="CI209" s="43">
        <v>2.68</v>
      </c>
      <c r="CR209" s="43">
        <v>0</v>
      </c>
      <c r="CS209" s="70">
        <v>0</v>
      </c>
      <c r="CT209" s="70">
        <v>0</v>
      </c>
      <c r="CU209" s="43">
        <v>1</v>
      </c>
      <c r="CV209" s="70">
        <v>0</v>
      </c>
      <c r="CW209" s="70">
        <v>0</v>
      </c>
      <c r="CX209" s="70">
        <v>0</v>
      </c>
      <c r="CY209" s="70">
        <v>0</v>
      </c>
      <c r="CZ209" s="70">
        <v>0</v>
      </c>
      <c r="DA209" s="70">
        <v>0</v>
      </c>
      <c r="DB209" s="70">
        <v>0</v>
      </c>
      <c r="DD209" s="43">
        <v>2</v>
      </c>
      <c r="DI209" s="43" t="s">
        <v>0</v>
      </c>
    </row>
    <row r="210" spans="1:113" s="43" customFormat="1" ht="15.75" thickBot="1" x14ac:dyDescent="0.3">
      <c r="A210" s="43">
        <v>5900</v>
      </c>
      <c r="B210" s="43" t="s">
        <v>499</v>
      </c>
      <c r="C210" s="56" t="s">
        <v>452</v>
      </c>
      <c r="D210" s="43">
        <v>13</v>
      </c>
      <c r="E210" s="43">
        <v>0</v>
      </c>
      <c r="F210" s="43">
        <v>13</v>
      </c>
      <c r="G210" s="43">
        <v>5</v>
      </c>
      <c r="H210" s="43">
        <v>0</v>
      </c>
      <c r="I210" s="43">
        <v>25</v>
      </c>
      <c r="J210" s="57" t="s">
        <v>556</v>
      </c>
      <c r="K210" s="57" t="s">
        <v>557</v>
      </c>
      <c r="L210" s="59">
        <v>45947</v>
      </c>
      <c r="M210" s="43">
        <v>0</v>
      </c>
      <c r="N210" s="43">
        <v>0</v>
      </c>
      <c r="O210" s="43">
        <v>0</v>
      </c>
      <c r="S210" s="43" t="b">
        <v>0</v>
      </c>
      <c r="T210" s="43">
        <v>0.01</v>
      </c>
      <c r="U210" s="55">
        <v>8.25</v>
      </c>
      <c r="V210" s="43">
        <v>0.01</v>
      </c>
      <c r="W210" s="43">
        <v>0</v>
      </c>
      <c r="X210" s="43">
        <v>1000</v>
      </c>
      <c r="Z210" s="43">
        <v>10</v>
      </c>
      <c r="AB210" s="55">
        <v>50</v>
      </c>
      <c r="AD210" s="43">
        <v>10</v>
      </c>
      <c r="AF210" s="43">
        <v>2000</v>
      </c>
      <c r="AG210" s="43">
        <v>2</v>
      </c>
      <c r="AH210" s="43">
        <v>8.5500001910000005</v>
      </c>
      <c r="AI210" s="43">
        <v>16</v>
      </c>
      <c r="AJ210" s="43">
        <v>0</v>
      </c>
      <c r="AK210" s="43">
        <v>0</v>
      </c>
      <c r="AM210" s="43" t="s">
        <v>2</v>
      </c>
      <c r="AO210" s="43">
        <v>50</v>
      </c>
      <c r="AW210" s="43" t="b">
        <v>0</v>
      </c>
      <c r="BM210" s="36" t="s">
        <v>1</v>
      </c>
      <c r="BN210" s="61">
        <v>13</v>
      </c>
      <c r="BO210" s="38">
        <f t="shared" si="29"/>
        <v>8.25</v>
      </c>
      <c r="BP210" s="61">
        <v>250</v>
      </c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3"/>
      <c r="CF210" s="47" t="s">
        <v>12</v>
      </c>
      <c r="CG210" s="43">
        <v>0</v>
      </c>
      <c r="CI210" s="43">
        <v>2.68</v>
      </c>
      <c r="CR210" s="43">
        <v>0</v>
      </c>
      <c r="CS210" s="70">
        <v>0</v>
      </c>
      <c r="CT210" s="70">
        <v>0</v>
      </c>
      <c r="CU210" s="43">
        <v>1</v>
      </c>
      <c r="CV210" s="70">
        <v>0</v>
      </c>
      <c r="CW210" s="70">
        <v>0</v>
      </c>
      <c r="CX210" s="70">
        <v>0</v>
      </c>
      <c r="CY210" s="70">
        <v>0</v>
      </c>
      <c r="CZ210" s="70">
        <v>0</v>
      </c>
      <c r="DA210" s="70">
        <v>0</v>
      </c>
      <c r="DB210" s="70">
        <v>0</v>
      </c>
      <c r="DD210" s="43">
        <v>2</v>
      </c>
      <c r="DI210" s="43" t="s">
        <v>0</v>
      </c>
    </row>
    <row r="211" spans="1:113" s="43" customFormat="1" ht="15.75" thickBot="1" x14ac:dyDescent="0.3">
      <c r="A211" s="43">
        <v>5901</v>
      </c>
      <c r="B211" s="43" t="s">
        <v>499</v>
      </c>
      <c r="C211" s="56" t="s">
        <v>452</v>
      </c>
      <c r="D211" s="43">
        <v>13</v>
      </c>
      <c r="E211" s="43">
        <v>0</v>
      </c>
      <c r="F211" s="43">
        <v>13</v>
      </c>
      <c r="G211" s="43">
        <v>6</v>
      </c>
      <c r="H211" s="43">
        <v>0</v>
      </c>
      <c r="I211" s="43">
        <v>25</v>
      </c>
      <c r="J211" s="57" t="s">
        <v>558</v>
      </c>
      <c r="K211" s="57" t="s">
        <v>559</v>
      </c>
      <c r="L211" s="59">
        <v>45947</v>
      </c>
      <c r="M211" s="43">
        <v>0</v>
      </c>
      <c r="N211" s="43">
        <v>0</v>
      </c>
      <c r="O211" s="43">
        <v>0</v>
      </c>
      <c r="S211" s="43" t="b">
        <v>0</v>
      </c>
      <c r="T211" s="43">
        <v>0.01</v>
      </c>
      <c r="U211" s="55">
        <v>8.25</v>
      </c>
      <c r="V211" s="43">
        <v>0.01</v>
      </c>
      <c r="W211" s="43">
        <v>0</v>
      </c>
      <c r="X211" s="43">
        <v>1000</v>
      </c>
      <c r="Z211" s="43">
        <v>10</v>
      </c>
      <c r="AB211" s="55">
        <v>50</v>
      </c>
      <c r="AD211" s="43">
        <v>10</v>
      </c>
      <c r="AF211" s="43">
        <v>2000</v>
      </c>
      <c r="AG211" s="43">
        <v>2</v>
      </c>
      <c r="AH211" s="43">
        <v>8.4399995800000003</v>
      </c>
      <c r="AI211" s="43">
        <v>16</v>
      </c>
      <c r="AJ211" s="43">
        <v>0</v>
      </c>
      <c r="AK211" s="43">
        <v>0</v>
      </c>
      <c r="AM211" s="43" t="s">
        <v>2</v>
      </c>
      <c r="AO211" s="43">
        <v>50</v>
      </c>
      <c r="AW211" s="43" t="b">
        <v>0</v>
      </c>
      <c r="BM211" s="36" t="s">
        <v>1</v>
      </c>
      <c r="BN211" s="61">
        <v>13</v>
      </c>
      <c r="BO211" s="38">
        <f t="shared" si="29"/>
        <v>8.25</v>
      </c>
      <c r="BP211" s="61">
        <v>250</v>
      </c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3"/>
      <c r="CF211" s="47" t="s">
        <v>12</v>
      </c>
      <c r="CG211" s="43">
        <v>0</v>
      </c>
      <c r="CI211" s="43">
        <v>2.68</v>
      </c>
      <c r="CR211" s="43">
        <v>0</v>
      </c>
      <c r="CS211" s="70">
        <v>0</v>
      </c>
      <c r="CT211" s="70">
        <v>0</v>
      </c>
      <c r="CU211" s="43">
        <v>1</v>
      </c>
      <c r="CV211" s="70">
        <v>0</v>
      </c>
      <c r="CW211" s="70">
        <v>0</v>
      </c>
      <c r="CX211" s="70">
        <v>0</v>
      </c>
      <c r="CY211" s="70">
        <v>0</v>
      </c>
      <c r="CZ211" s="70">
        <v>0</v>
      </c>
      <c r="DA211" s="70">
        <v>0</v>
      </c>
      <c r="DB211" s="70">
        <v>0</v>
      </c>
      <c r="DD211" s="43">
        <v>2</v>
      </c>
      <c r="DI211" s="43" t="s">
        <v>0</v>
      </c>
    </row>
    <row r="212" spans="1:113" s="43" customFormat="1" ht="15.75" thickBot="1" x14ac:dyDescent="0.3">
      <c r="A212" s="43">
        <v>5902</v>
      </c>
      <c r="B212" s="43" t="s">
        <v>499</v>
      </c>
      <c r="C212" s="56" t="s">
        <v>452</v>
      </c>
      <c r="D212" s="43">
        <v>13</v>
      </c>
      <c r="E212" s="43">
        <v>0</v>
      </c>
      <c r="F212" s="43">
        <v>13</v>
      </c>
      <c r="G212" s="43">
        <v>7</v>
      </c>
      <c r="H212" s="43">
        <v>0</v>
      </c>
      <c r="I212" s="43">
        <v>25</v>
      </c>
      <c r="J212" s="57" t="s">
        <v>560</v>
      </c>
      <c r="K212" s="57" t="s">
        <v>561</v>
      </c>
      <c r="L212" s="59">
        <v>45947</v>
      </c>
      <c r="M212" s="43">
        <v>0</v>
      </c>
      <c r="N212" s="43">
        <v>0</v>
      </c>
      <c r="O212" s="43">
        <v>0</v>
      </c>
      <c r="S212" s="43" t="b">
        <v>0</v>
      </c>
      <c r="T212" s="43">
        <v>0.01</v>
      </c>
      <c r="U212" s="55">
        <v>8.25</v>
      </c>
      <c r="V212" s="43">
        <v>0.01</v>
      </c>
      <c r="W212" s="43">
        <v>0</v>
      </c>
      <c r="X212" s="43">
        <v>1000</v>
      </c>
      <c r="Z212" s="43">
        <v>10</v>
      </c>
      <c r="AB212" s="55">
        <v>50</v>
      </c>
      <c r="AD212" s="43">
        <v>10</v>
      </c>
      <c r="AF212" s="43">
        <v>2000</v>
      </c>
      <c r="AG212" s="43">
        <v>2</v>
      </c>
      <c r="AH212" s="43">
        <v>8.4600000380000004</v>
      </c>
      <c r="AI212" s="43">
        <v>16</v>
      </c>
      <c r="AJ212" s="43">
        <v>0</v>
      </c>
      <c r="AK212" s="43">
        <v>0</v>
      </c>
      <c r="AM212" s="43" t="s">
        <v>2</v>
      </c>
      <c r="AO212" s="43">
        <v>50</v>
      </c>
      <c r="AW212" s="43" t="b">
        <v>0</v>
      </c>
      <c r="BM212" s="36" t="s">
        <v>1</v>
      </c>
      <c r="BN212" s="61">
        <v>13</v>
      </c>
      <c r="BO212" s="38">
        <f t="shared" si="29"/>
        <v>8.25</v>
      </c>
      <c r="BP212" s="61">
        <v>250</v>
      </c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3"/>
      <c r="CF212" s="47" t="s">
        <v>12</v>
      </c>
      <c r="CG212" s="43">
        <v>0</v>
      </c>
      <c r="CI212" s="43">
        <v>2.68</v>
      </c>
      <c r="CR212" s="43">
        <v>0</v>
      </c>
      <c r="CS212" s="70">
        <v>0</v>
      </c>
      <c r="CT212" s="70">
        <v>0</v>
      </c>
      <c r="CU212" s="43">
        <v>1</v>
      </c>
      <c r="CV212" s="70">
        <v>0</v>
      </c>
      <c r="CW212" s="70">
        <v>0</v>
      </c>
      <c r="CX212" s="70">
        <v>0</v>
      </c>
      <c r="CY212" s="70">
        <v>0</v>
      </c>
      <c r="CZ212" s="70">
        <v>0</v>
      </c>
      <c r="DA212" s="70">
        <v>0</v>
      </c>
      <c r="DB212" s="70">
        <v>0</v>
      </c>
      <c r="DD212" s="43">
        <v>2</v>
      </c>
      <c r="DI212" s="43" t="s">
        <v>0</v>
      </c>
    </row>
    <row r="213" spans="1:113" s="43" customFormat="1" ht="15.75" thickBot="1" x14ac:dyDescent="0.3">
      <c r="A213" s="43">
        <v>5903</v>
      </c>
      <c r="B213" s="43" t="s">
        <v>499</v>
      </c>
      <c r="C213" s="56" t="s">
        <v>452</v>
      </c>
      <c r="D213" s="43">
        <v>13</v>
      </c>
      <c r="E213" s="43">
        <v>0</v>
      </c>
      <c r="F213" s="43">
        <v>13</v>
      </c>
      <c r="G213" s="43">
        <v>8</v>
      </c>
      <c r="H213" s="43">
        <v>0</v>
      </c>
      <c r="I213" s="43">
        <v>25</v>
      </c>
      <c r="J213" s="57" t="s">
        <v>562</v>
      </c>
      <c r="K213" s="57" t="s">
        <v>563</v>
      </c>
      <c r="L213" s="59">
        <v>45947</v>
      </c>
      <c r="M213" s="43">
        <v>0</v>
      </c>
      <c r="N213" s="43">
        <v>0</v>
      </c>
      <c r="O213" s="43">
        <v>0</v>
      </c>
      <c r="S213" s="43" t="b">
        <v>0</v>
      </c>
      <c r="T213" s="43">
        <v>0.01</v>
      </c>
      <c r="U213" s="55">
        <v>8.25</v>
      </c>
      <c r="V213" s="43">
        <v>0.01</v>
      </c>
      <c r="W213" s="43">
        <v>0</v>
      </c>
      <c r="X213" s="43">
        <v>1000</v>
      </c>
      <c r="Z213" s="43">
        <v>10</v>
      </c>
      <c r="AB213" s="55">
        <v>50</v>
      </c>
      <c r="AD213" s="43">
        <v>10</v>
      </c>
      <c r="AF213" s="43">
        <v>2000</v>
      </c>
      <c r="AG213" s="43">
        <v>2</v>
      </c>
      <c r="AH213" s="43">
        <v>8.4600000380000004</v>
      </c>
      <c r="AI213" s="43">
        <v>16</v>
      </c>
      <c r="AJ213" s="43">
        <v>0</v>
      </c>
      <c r="AK213" s="43">
        <v>0</v>
      </c>
      <c r="AM213" s="43" t="s">
        <v>2</v>
      </c>
      <c r="AO213" s="43">
        <v>50</v>
      </c>
      <c r="AW213" s="43" t="b">
        <v>0</v>
      </c>
      <c r="BM213" s="36" t="s">
        <v>1</v>
      </c>
      <c r="BN213" s="61">
        <v>13</v>
      </c>
      <c r="BO213" s="38">
        <f t="shared" si="29"/>
        <v>8.25</v>
      </c>
      <c r="BP213" s="61">
        <v>250</v>
      </c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3"/>
      <c r="CF213" s="47" t="s">
        <v>12</v>
      </c>
      <c r="CG213" s="43">
        <v>0</v>
      </c>
      <c r="CI213" s="43">
        <v>2.68</v>
      </c>
      <c r="CR213" s="43">
        <v>0</v>
      </c>
      <c r="CS213" s="70">
        <v>0</v>
      </c>
      <c r="CT213" s="70">
        <v>0</v>
      </c>
      <c r="CU213" s="43">
        <v>1</v>
      </c>
      <c r="CV213" s="70">
        <v>0</v>
      </c>
      <c r="CW213" s="70">
        <v>0</v>
      </c>
      <c r="CX213" s="70">
        <v>0</v>
      </c>
      <c r="CY213" s="70">
        <v>0</v>
      </c>
      <c r="CZ213" s="70">
        <v>0</v>
      </c>
      <c r="DA213" s="70">
        <v>0</v>
      </c>
      <c r="DB213" s="70">
        <v>0</v>
      </c>
      <c r="DD213" s="43">
        <v>2</v>
      </c>
      <c r="DI213" s="43" t="s">
        <v>0</v>
      </c>
    </row>
    <row r="214" spans="1:113" s="43" customFormat="1" ht="15.75" thickBot="1" x14ac:dyDescent="0.3">
      <c r="A214" s="43">
        <v>5904</v>
      </c>
      <c r="B214" s="43" t="s">
        <v>499</v>
      </c>
      <c r="C214" s="56" t="s">
        <v>452</v>
      </c>
      <c r="D214" s="43">
        <v>13</v>
      </c>
      <c r="E214" s="43">
        <v>0</v>
      </c>
      <c r="F214" s="43">
        <v>13</v>
      </c>
      <c r="G214" s="43">
        <v>9</v>
      </c>
      <c r="H214" s="43">
        <v>0</v>
      </c>
      <c r="I214" s="43">
        <v>26</v>
      </c>
      <c r="J214" s="57" t="s">
        <v>564</v>
      </c>
      <c r="K214" s="57" t="s">
        <v>565</v>
      </c>
      <c r="L214" s="59">
        <v>45947</v>
      </c>
      <c r="M214" s="43">
        <v>0</v>
      </c>
      <c r="N214" s="43">
        <v>0</v>
      </c>
      <c r="O214" s="43">
        <v>0</v>
      </c>
      <c r="S214" s="43" t="b">
        <v>0</v>
      </c>
      <c r="T214" s="43">
        <v>0.01</v>
      </c>
      <c r="U214" s="55">
        <v>7.8000001909999996</v>
      </c>
      <c r="V214" s="43">
        <v>0.01</v>
      </c>
      <c r="W214" s="43">
        <v>0</v>
      </c>
      <c r="X214" s="43">
        <v>1000</v>
      </c>
      <c r="Z214" s="43">
        <v>10</v>
      </c>
      <c r="AB214" s="55">
        <v>52</v>
      </c>
      <c r="AD214" s="43">
        <v>10</v>
      </c>
      <c r="AF214" s="43">
        <v>2000</v>
      </c>
      <c r="AG214" s="43">
        <v>2</v>
      </c>
      <c r="AH214" s="43">
        <v>7.9600000380000004</v>
      </c>
      <c r="AI214" s="43">
        <v>25</v>
      </c>
      <c r="AJ214" s="43">
        <v>0</v>
      </c>
      <c r="AK214" s="43">
        <v>0</v>
      </c>
      <c r="AM214" s="43" t="s">
        <v>2</v>
      </c>
      <c r="AO214" s="43">
        <v>52</v>
      </c>
      <c r="AW214" s="43" t="b">
        <v>0</v>
      </c>
      <c r="BM214" s="36" t="s">
        <v>1</v>
      </c>
      <c r="BN214" s="61">
        <v>13</v>
      </c>
      <c r="BO214" s="38">
        <f t="shared" si="29"/>
        <v>7.8000001909999996</v>
      </c>
      <c r="BP214" s="61">
        <v>250</v>
      </c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3"/>
      <c r="CF214" s="47" t="s">
        <v>12</v>
      </c>
      <c r="CG214" s="43">
        <v>0</v>
      </c>
      <c r="CI214" s="43">
        <v>2.68</v>
      </c>
      <c r="CR214" s="43">
        <v>0</v>
      </c>
      <c r="CS214" s="70">
        <v>0</v>
      </c>
      <c r="CT214" s="70">
        <v>0</v>
      </c>
      <c r="CU214" s="43">
        <v>1</v>
      </c>
      <c r="CV214" s="70">
        <v>0</v>
      </c>
      <c r="CW214" s="70">
        <v>0</v>
      </c>
      <c r="CX214" s="70">
        <v>0</v>
      </c>
      <c r="CY214" s="70">
        <v>0</v>
      </c>
      <c r="CZ214" s="70">
        <v>0</v>
      </c>
      <c r="DA214" s="70">
        <v>0</v>
      </c>
      <c r="DB214" s="70">
        <v>0</v>
      </c>
      <c r="DD214" s="43">
        <v>2</v>
      </c>
      <c r="DI214" s="43" t="s">
        <v>0</v>
      </c>
    </row>
    <row r="215" spans="1:113" s="43" customFormat="1" ht="15.75" thickBot="1" x14ac:dyDescent="0.3">
      <c r="A215" s="43">
        <v>5905</v>
      </c>
      <c r="B215" s="43" t="s">
        <v>499</v>
      </c>
      <c r="C215" s="56" t="s">
        <v>452</v>
      </c>
      <c r="D215" s="43">
        <v>13</v>
      </c>
      <c r="E215" s="43">
        <v>0</v>
      </c>
      <c r="F215" s="43">
        <v>13</v>
      </c>
      <c r="G215" s="43">
        <v>10</v>
      </c>
      <c r="H215" s="43">
        <v>0</v>
      </c>
      <c r="I215" s="43">
        <v>26</v>
      </c>
      <c r="J215" s="57" t="s">
        <v>566</v>
      </c>
      <c r="K215" s="57" t="s">
        <v>567</v>
      </c>
      <c r="L215" s="59">
        <v>45947</v>
      </c>
      <c r="M215" s="43">
        <v>0</v>
      </c>
      <c r="N215" s="43">
        <v>0</v>
      </c>
      <c r="O215" s="43">
        <v>0</v>
      </c>
      <c r="S215" s="43" t="b">
        <v>0</v>
      </c>
      <c r="T215" s="43">
        <v>0.01</v>
      </c>
      <c r="U215" s="55">
        <v>7.8000001909999996</v>
      </c>
      <c r="V215" s="43">
        <v>0.01</v>
      </c>
      <c r="W215" s="43">
        <v>0</v>
      </c>
      <c r="X215" s="43">
        <v>1000</v>
      </c>
      <c r="Z215" s="43">
        <v>10</v>
      </c>
      <c r="AB215" s="55">
        <v>52</v>
      </c>
      <c r="AD215" s="43">
        <v>10</v>
      </c>
      <c r="AF215" s="43">
        <v>2000</v>
      </c>
      <c r="AG215" s="43">
        <v>2</v>
      </c>
      <c r="AH215" s="43">
        <v>7.9600000380000004</v>
      </c>
      <c r="AI215" s="43">
        <v>25</v>
      </c>
      <c r="AJ215" s="43">
        <v>0</v>
      </c>
      <c r="AK215" s="43">
        <v>0</v>
      </c>
      <c r="AM215" s="43" t="s">
        <v>2</v>
      </c>
      <c r="AO215" s="43">
        <v>52</v>
      </c>
      <c r="AW215" s="43" t="b">
        <v>0</v>
      </c>
      <c r="BM215" s="36" t="s">
        <v>1</v>
      </c>
      <c r="BN215" s="61">
        <v>13</v>
      </c>
      <c r="BO215" s="38">
        <f t="shared" si="29"/>
        <v>7.8000001909999996</v>
      </c>
      <c r="BP215" s="61">
        <v>250</v>
      </c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3"/>
      <c r="CF215" s="47" t="s">
        <v>12</v>
      </c>
      <c r="CG215" s="43">
        <v>0</v>
      </c>
      <c r="CI215" s="43">
        <v>2.68</v>
      </c>
      <c r="CR215" s="43">
        <v>0</v>
      </c>
      <c r="CS215" s="70">
        <v>0</v>
      </c>
      <c r="CT215" s="70">
        <v>0</v>
      </c>
      <c r="CU215" s="43">
        <v>1</v>
      </c>
      <c r="CV215" s="70">
        <v>0</v>
      </c>
      <c r="CW215" s="70">
        <v>0</v>
      </c>
      <c r="CX215" s="70">
        <v>0</v>
      </c>
      <c r="CY215" s="70">
        <v>0</v>
      </c>
      <c r="CZ215" s="70">
        <v>0</v>
      </c>
      <c r="DA215" s="70">
        <v>0</v>
      </c>
      <c r="DB215" s="70">
        <v>0</v>
      </c>
      <c r="DD215" s="43">
        <v>2</v>
      </c>
      <c r="DI215" s="43" t="s">
        <v>0</v>
      </c>
    </row>
    <row r="216" spans="1:113" s="43" customFormat="1" ht="15.75" thickBot="1" x14ac:dyDescent="0.3">
      <c r="A216" s="43">
        <v>5906</v>
      </c>
      <c r="B216" s="43" t="s">
        <v>499</v>
      </c>
      <c r="C216" s="56" t="s">
        <v>452</v>
      </c>
      <c r="D216" s="43">
        <v>13</v>
      </c>
      <c r="E216" s="43">
        <v>0</v>
      </c>
      <c r="F216" s="43">
        <v>13</v>
      </c>
      <c r="G216" s="43">
        <v>11</v>
      </c>
      <c r="H216" s="43">
        <v>0</v>
      </c>
      <c r="I216" s="43">
        <v>26</v>
      </c>
      <c r="J216" s="57" t="s">
        <v>568</v>
      </c>
      <c r="K216" s="57" t="s">
        <v>569</v>
      </c>
      <c r="L216" s="59">
        <v>45947</v>
      </c>
      <c r="M216" s="43">
        <v>0</v>
      </c>
      <c r="N216" s="43">
        <v>0</v>
      </c>
      <c r="O216" s="43">
        <v>0</v>
      </c>
      <c r="S216" s="43" t="b">
        <v>0</v>
      </c>
      <c r="T216" s="43">
        <v>0.01</v>
      </c>
      <c r="U216" s="55">
        <v>7.8000001909999996</v>
      </c>
      <c r="V216" s="43">
        <v>0.01</v>
      </c>
      <c r="W216" s="43">
        <v>0</v>
      </c>
      <c r="X216" s="43">
        <v>1000</v>
      </c>
      <c r="Z216" s="43">
        <v>10</v>
      </c>
      <c r="AB216" s="55">
        <v>52</v>
      </c>
      <c r="AD216" s="43">
        <v>10</v>
      </c>
      <c r="AF216" s="43">
        <v>2000</v>
      </c>
      <c r="AG216" s="43">
        <v>2</v>
      </c>
      <c r="AH216" s="43">
        <v>7.9499998090000004</v>
      </c>
      <c r="AI216" s="43">
        <v>25</v>
      </c>
      <c r="AJ216" s="43">
        <v>0</v>
      </c>
      <c r="AK216" s="43">
        <v>0</v>
      </c>
      <c r="AM216" s="43" t="s">
        <v>2</v>
      </c>
      <c r="AO216" s="43">
        <v>52</v>
      </c>
      <c r="AW216" s="43" t="b">
        <v>0</v>
      </c>
      <c r="BM216" s="36" t="s">
        <v>1</v>
      </c>
      <c r="BN216" s="61">
        <v>13</v>
      </c>
      <c r="BO216" s="38">
        <f t="shared" ref="BO216:BO269" si="30">U216</f>
        <v>7.8000001909999996</v>
      </c>
      <c r="BP216" s="61">
        <v>250</v>
      </c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3"/>
      <c r="CF216" s="47" t="s">
        <v>12</v>
      </c>
      <c r="CG216" s="43">
        <v>0</v>
      </c>
      <c r="CI216" s="43">
        <v>2.68</v>
      </c>
      <c r="CR216" s="43">
        <v>0</v>
      </c>
      <c r="CS216" s="70">
        <v>0</v>
      </c>
      <c r="CT216" s="70">
        <v>0</v>
      </c>
      <c r="CU216" s="43">
        <v>1</v>
      </c>
      <c r="CV216" s="70">
        <v>0</v>
      </c>
      <c r="CW216" s="70">
        <v>0</v>
      </c>
      <c r="CX216" s="70">
        <v>0</v>
      </c>
      <c r="CY216" s="70">
        <v>0</v>
      </c>
      <c r="CZ216" s="70">
        <v>0</v>
      </c>
      <c r="DA216" s="70">
        <v>0</v>
      </c>
      <c r="DB216" s="70">
        <v>0</v>
      </c>
      <c r="DD216" s="43">
        <v>2</v>
      </c>
      <c r="DI216" s="43" t="s">
        <v>0</v>
      </c>
    </row>
    <row r="217" spans="1:113" s="43" customFormat="1" ht="15.75" thickBot="1" x14ac:dyDescent="0.3">
      <c r="A217" s="43">
        <v>5907</v>
      </c>
      <c r="B217" s="43" t="s">
        <v>499</v>
      </c>
      <c r="C217" s="56" t="s">
        <v>452</v>
      </c>
      <c r="D217" s="43">
        <v>13</v>
      </c>
      <c r="E217" s="43">
        <v>0</v>
      </c>
      <c r="F217" s="43">
        <v>13</v>
      </c>
      <c r="G217" s="43">
        <v>12</v>
      </c>
      <c r="H217" s="43">
        <v>0</v>
      </c>
      <c r="I217" s="43">
        <v>26</v>
      </c>
      <c r="J217" s="57" t="s">
        <v>570</v>
      </c>
      <c r="K217" s="57" t="s">
        <v>571</v>
      </c>
      <c r="L217" s="59">
        <v>45947</v>
      </c>
      <c r="M217" s="43">
        <v>0</v>
      </c>
      <c r="N217" s="43">
        <v>0</v>
      </c>
      <c r="O217" s="43">
        <v>0</v>
      </c>
      <c r="S217" s="43" t="b">
        <v>0</v>
      </c>
      <c r="T217" s="43">
        <v>0.01</v>
      </c>
      <c r="U217" s="55">
        <v>7.8000001909999996</v>
      </c>
      <c r="V217" s="43">
        <v>0.01</v>
      </c>
      <c r="W217" s="43">
        <v>0</v>
      </c>
      <c r="X217" s="43">
        <v>1000</v>
      </c>
      <c r="Z217" s="43">
        <v>10</v>
      </c>
      <c r="AB217" s="55">
        <v>52</v>
      </c>
      <c r="AD217" s="43">
        <v>10</v>
      </c>
      <c r="AF217" s="43">
        <v>2000</v>
      </c>
      <c r="AG217" s="43">
        <v>2</v>
      </c>
      <c r="AH217" s="43">
        <v>7.9499998090000004</v>
      </c>
      <c r="AI217" s="43">
        <v>25</v>
      </c>
      <c r="AJ217" s="43">
        <v>0</v>
      </c>
      <c r="AK217" s="43">
        <v>0</v>
      </c>
      <c r="AM217" s="43" t="s">
        <v>2</v>
      </c>
      <c r="AO217" s="43">
        <v>52</v>
      </c>
      <c r="AW217" s="43" t="b">
        <v>0</v>
      </c>
      <c r="BM217" s="36" t="s">
        <v>1</v>
      </c>
      <c r="BN217" s="61">
        <v>13</v>
      </c>
      <c r="BO217" s="38">
        <f t="shared" si="30"/>
        <v>7.8000001909999996</v>
      </c>
      <c r="BP217" s="61">
        <v>250</v>
      </c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3"/>
      <c r="CF217" s="47" t="s">
        <v>12</v>
      </c>
      <c r="CG217" s="43">
        <v>0</v>
      </c>
      <c r="CI217" s="43">
        <v>2.68</v>
      </c>
      <c r="CR217" s="43">
        <v>0</v>
      </c>
      <c r="CS217" s="70">
        <v>0</v>
      </c>
      <c r="CT217" s="70">
        <v>0</v>
      </c>
      <c r="CU217" s="43">
        <v>1</v>
      </c>
      <c r="CV217" s="70">
        <v>0</v>
      </c>
      <c r="CW217" s="70">
        <v>0</v>
      </c>
      <c r="CX217" s="70">
        <v>0</v>
      </c>
      <c r="CY217" s="70">
        <v>0</v>
      </c>
      <c r="CZ217" s="70">
        <v>0</v>
      </c>
      <c r="DA217" s="70">
        <v>0</v>
      </c>
      <c r="DB217" s="70">
        <v>0</v>
      </c>
      <c r="DD217" s="43">
        <v>2</v>
      </c>
      <c r="DI217" s="43" t="s">
        <v>0</v>
      </c>
    </row>
    <row r="218" spans="1:113" s="43" customFormat="1" ht="15.75" thickBot="1" x14ac:dyDescent="0.3">
      <c r="A218" s="43">
        <v>5963</v>
      </c>
      <c r="B218" s="43" t="s">
        <v>499</v>
      </c>
      <c r="C218" s="56" t="s">
        <v>452</v>
      </c>
      <c r="D218" s="43">
        <v>13</v>
      </c>
      <c r="E218" s="43">
        <v>0</v>
      </c>
      <c r="F218" s="43">
        <v>13</v>
      </c>
      <c r="G218" s="43">
        <v>68</v>
      </c>
      <c r="H218" s="43">
        <v>0</v>
      </c>
      <c r="I218" s="43">
        <v>25</v>
      </c>
      <c r="J218" s="57" t="s">
        <v>572</v>
      </c>
      <c r="K218" s="57" t="s">
        <v>573</v>
      </c>
      <c r="L218" s="59">
        <v>45947</v>
      </c>
      <c r="M218" s="43">
        <v>0</v>
      </c>
      <c r="N218" s="43">
        <v>0</v>
      </c>
      <c r="O218" s="43">
        <v>0</v>
      </c>
      <c r="S218" s="43" t="b">
        <v>0</v>
      </c>
      <c r="T218" s="43">
        <v>0.01</v>
      </c>
      <c r="U218" s="55">
        <v>8.25</v>
      </c>
      <c r="V218" s="43">
        <v>0.01</v>
      </c>
      <c r="W218" s="43">
        <v>0</v>
      </c>
      <c r="X218" s="43">
        <v>1000</v>
      </c>
      <c r="Z218" s="43">
        <v>10</v>
      </c>
      <c r="AB218" s="55">
        <v>50</v>
      </c>
      <c r="AD218" s="43">
        <v>10</v>
      </c>
      <c r="AF218" s="43">
        <v>2000</v>
      </c>
      <c r="AG218" s="43">
        <v>2</v>
      </c>
      <c r="AH218" s="43">
        <v>8.5600004199999997</v>
      </c>
      <c r="AI218" s="43">
        <v>16</v>
      </c>
      <c r="AJ218" s="43">
        <v>0</v>
      </c>
      <c r="AK218" s="43">
        <v>0</v>
      </c>
      <c r="AM218" s="43" t="s">
        <v>2</v>
      </c>
      <c r="AO218" s="43">
        <v>50</v>
      </c>
      <c r="AW218" s="43" t="b">
        <v>0</v>
      </c>
      <c r="BM218" s="36" t="s">
        <v>1</v>
      </c>
      <c r="BN218" s="61">
        <v>13</v>
      </c>
      <c r="BO218" s="38">
        <f t="shared" si="30"/>
        <v>8.25</v>
      </c>
      <c r="BP218" s="61">
        <v>250</v>
      </c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3"/>
      <c r="CF218" s="47" t="s">
        <v>12</v>
      </c>
      <c r="CG218" s="43">
        <v>0</v>
      </c>
      <c r="CI218" s="43">
        <v>2.68</v>
      </c>
      <c r="CR218" s="43">
        <v>0</v>
      </c>
      <c r="CS218" s="70">
        <v>0</v>
      </c>
      <c r="CT218" s="70">
        <v>0</v>
      </c>
      <c r="CU218" s="43">
        <v>1</v>
      </c>
      <c r="CV218" s="70">
        <v>0</v>
      </c>
      <c r="CW218" s="70">
        <v>0</v>
      </c>
      <c r="CX218" s="70">
        <v>0</v>
      </c>
      <c r="CY218" s="70">
        <v>0</v>
      </c>
      <c r="CZ218" s="70">
        <v>0</v>
      </c>
      <c r="DA218" s="70">
        <v>0</v>
      </c>
      <c r="DB218" s="70">
        <v>0</v>
      </c>
      <c r="DD218" s="43">
        <v>2</v>
      </c>
      <c r="DI218" s="43" t="s">
        <v>0</v>
      </c>
    </row>
    <row r="219" spans="1:113" s="43" customFormat="1" ht="15.75" thickBot="1" x14ac:dyDescent="0.3">
      <c r="A219" s="43">
        <v>5964</v>
      </c>
      <c r="B219" s="43" t="s">
        <v>499</v>
      </c>
      <c r="C219" s="56" t="s">
        <v>452</v>
      </c>
      <c r="D219" s="43">
        <v>13</v>
      </c>
      <c r="E219" s="43">
        <v>0</v>
      </c>
      <c r="F219" s="43">
        <v>13</v>
      </c>
      <c r="G219" s="43">
        <v>69</v>
      </c>
      <c r="H219" s="43">
        <v>0</v>
      </c>
      <c r="I219" s="43">
        <v>25</v>
      </c>
      <c r="J219" s="57" t="s">
        <v>574</v>
      </c>
      <c r="K219" s="57" t="s">
        <v>575</v>
      </c>
      <c r="L219" s="59">
        <v>45947</v>
      </c>
      <c r="M219" s="43">
        <v>0</v>
      </c>
      <c r="N219" s="43">
        <v>0</v>
      </c>
      <c r="O219" s="43">
        <v>0</v>
      </c>
      <c r="S219" s="43" t="b">
        <v>0</v>
      </c>
      <c r="T219" s="43">
        <v>0.01</v>
      </c>
      <c r="U219" s="55">
        <v>8.25</v>
      </c>
      <c r="V219" s="43">
        <v>0.01</v>
      </c>
      <c r="W219" s="43">
        <v>0</v>
      </c>
      <c r="X219" s="43">
        <v>1000</v>
      </c>
      <c r="Z219" s="43">
        <v>10</v>
      </c>
      <c r="AB219" s="55">
        <v>50</v>
      </c>
      <c r="AD219" s="43">
        <v>10</v>
      </c>
      <c r="AF219" s="43">
        <v>2000</v>
      </c>
      <c r="AG219" s="43">
        <v>2</v>
      </c>
      <c r="AH219" s="43">
        <v>8.5600004199999997</v>
      </c>
      <c r="AI219" s="43">
        <v>16</v>
      </c>
      <c r="AJ219" s="43">
        <v>0</v>
      </c>
      <c r="AK219" s="43">
        <v>0</v>
      </c>
      <c r="AM219" s="43" t="s">
        <v>2</v>
      </c>
      <c r="AO219" s="43">
        <v>50</v>
      </c>
      <c r="AW219" s="43" t="b">
        <v>0</v>
      </c>
      <c r="BM219" s="36" t="s">
        <v>1</v>
      </c>
      <c r="BN219" s="61">
        <v>13</v>
      </c>
      <c r="BO219" s="38">
        <f t="shared" si="30"/>
        <v>8.25</v>
      </c>
      <c r="BP219" s="61">
        <v>250</v>
      </c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3"/>
      <c r="CF219" s="47" t="s">
        <v>12</v>
      </c>
      <c r="CG219" s="43">
        <v>0</v>
      </c>
      <c r="CI219" s="43">
        <v>2.68</v>
      </c>
      <c r="CR219" s="43">
        <v>0</v>
      </c>
      <c r="CS219" s="70">
        <v>0</v>
      </c>
      <c r="CT219" s="70">
        <v>0</v>
      </c>
      <c r="CU219" s="43">
        <v>1</v>
      </c>
      <c r="CV219" s="70">
        <v>0</v>
      </c>
      <c r="CW219" s="70">
        <v>0</v>
      </c>
      <c r="CX219" s="70">
        <v>0</v>
      </c>
      <c r="CY219" s="70">
        <v>0</v>
      </c>
      <c r="CZ219" s="70">
        <v>0</v>
      </c>
      <c r="DA219" s="70">
        <v>0</v>
      </c>
      <c r="DB219" s="70">
        <v>0</v>
      </c>
      <c r="DD219" s="43">
        <v>2</v>
      </c>
      <c r="DI219" s="43" t="s">
        <v>0</v>
      </c>
    </row>
    <row r="220" spans="1:113" s="43" customFormat="1" ht="15.75" thickBot="1" x14ac:dyDescent="0.3">
      <c r="A220" s="43">
        <v>5965</v>
      </c>
      <c r="B220" s="43" t="s">
        <v>499</v>
      </c>
      <c r="C220" s="56" t="s">
        <v>452</v>
      </c>
      <c r="D220" s="43">
        <v>13</v>
      </c>
      <c r="E220" s="43">
        <v>0</v>
      </c>
      <c r="F220" s="43">
        <v>13</v>
      </c>
      <c r="G220" s="43">
        <v>70</v>
      </c>
      <c r="H220" s="43">
        <v>0</v>
      </c>
      <c r="I220" s="43">
        <v>25</v>
      </c>
      <c r="J220" s="57" t="s">
        <v>576</v>
      </c>
      <c r="K220" s="57" t="s">
        <v>577</v>
      </c>
      <c r="L220" s="59">
        <v>45947</v>
      </c>
      <c r="M220" s="43">
        <v>0</v>
      </c>
      <c r="N220" s="43">
        <v>0</v>
      </c>
      <c r="O220" s="43">
        <v>0</v>
      </c>
      <c r="S220" s="43" t="b">
        <v>0</v>
      </c>
      <c r="T220" s="43">
        <v>0.01</v>
      </c>
      <c r="U220" s="55">
        <v>8.25</v>
      </c>
      <c r="V220" s="43">
        <v>0.01</v>
      </c>
      <c r="W220" s="43">
        <v>0</v>
      </c>
      <c r="X220" s="43">
        <v>1000</v>
      </c>
      <c r="Z220" s="43">
        <v>10</v>
      </c>
      <c r="AB220" s="55">
        <v>50</v>
      </c>
      <c r="AD220" s="43">
        <v>10</v>
      </c>
      <c r="AF220" s="43">
        <v>2000</v>
      </c>
      <c r="AG220" s="43">
        <v>2</v>
      </c>
      <c r="AH220" s="43">
        <v>8.5299997330000004</v>
      </c>
      <c r="AI220" s="43">
        <v>16</v>
      </c>
      <c r="AJ220" s="43">
        <v>0</v>
      </c>
      <c r="AK220" s="43">
        <v>0</v>
      </c>
      <c r="AM220" s="43" t="s">
        <v>2</v>
      </c>
      <c r="AO220" s="43">
        <v>50</v>
      </c>
      <c r="AW220" s="43" t="b">
        <v>0</v>
      </c>
      <c r="BM220" s="36" t="s">
        <v>1</v>
      </c>
      <c r="BN220" s="61">
        <v>13</v>
      </c>
      <c r="BO220" s="38">
        <f t="shared" si="30"/>
        <v>8.25</v>
      </c>
      <c r="BP220" s="61">
        <v>250</v>
      </c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3"/>
      <c r="CF220" s="47" t="s">
        <v>12</v>
      </c>
      <c r="CG220" s="43">
        <v>0</v>
      </c>
      <c r="CI220" s="43">
        <v>2.68</v>
      </c>
      <c r="CR220" s="43">
        <v>0</v>
      </c>
      <c r="CS220" s="70">
        <v>0</v>
      </c>
      <c r="CT220" s="70">
        <v>0</v>
      </c>
      <c r="CU220" s="43">
        <v>1</v>
      </c>
      <c r="CV220" s="70">
        <v>0</v>
      </c>
      <c r="CW220" s="70">
        <v>0</v>
      </c>
      <c r="CX220" s="70">
        <v>0</v>
      </c>
      <c r="CY220" s="70">
        <v>0</v>
      </c>
      <c r="CZ220" s="70">
        <v>0</v>
      </c>
      <c r="DA220" s="70">
        <v>0</v>
      </c>
      <c r="DB220" s="70">
        <v>0</v>
      </c>
      <c r="DD220" s="43">
        <v>2</v>
      </c>
      <c r="DI220" s="43" t="s">
        <v>0</v>
      </c>
    </row>
    <row r="221" spans="1:113" s="43" customFormat="1" ht="15.75" thickBot="1" x14ac:dyDescent="0.3">
      <c r="A221" s="43">
        <v>5966</v>
      </c>
      <c r="B221" s="43" t="s">
        <v>499</v>
      </c>
      <c r="C221" s="56" t="s">
        <v>452</v>
      </c>
      <c r="D221" s="43">
        <v>13</v>
      </c>
      <c r="E221" s="43">
        <v>0</v>
      </c>
      <c r="F221" s="43">
        <v>13</v>
      </c>
      <c r="G221" s="43">
        <v>71</v>
      </c>
      <c r="H221" s="43">
        <v>0</v>
      </c>
      <c r="I221" s="43">
        <v>25</v>
      </c>
      <c r="J221" s="57" t="s">
        <v>578</v>
      </c>
      <c r="K221" s="57" t="s">
        <v>579</v>
      </c>
      <c r="L221" s="59">
        <v>45947</v>
      </c>
      <c r="M221" s="43">
        <v>0</v>
      </c>
      <c r="N221" s="43">
        <v>0</v>
      </c>
      <c r="O221" s="43">
        <v>0</v>
      </c>
      <c r="S221" s="43" t="b">
        <v>0</v>
      </c>
      <c r="T221" s="43">
        <v>0.01</v>
      </c>
      <c r="U221" s="55">
        <v>8.25</v>
      </c>
      <c r="V221" s="43">
        <v>0.01</v>
      </c>
      <c r="W221" s="43">
        <v>0</v>
      </c>
      <c r="X221" s="43">
        <v>1000</v>
      </c>
      <c r="Z221" s="43">
        <v>10</v>
      </c>
      <c r="AB221" s="55">
        <v>50</v>
      </c>
      <c r="AD221" s="43">
        <v>10</v>
      </c>
      <c r="AF221" s="43">
        <v>2000</v>
      </c>
      <c r="AG221" s="43">
        <v>2</v>
      </c>
      <c r="AH221" s="43">
        <v>8.5299997330000004</v>
      </c>
      <c r="AI221" s="43">
        <v>16</v>
      </c>
      <c r="AJ221" s="43">
        <v>0</v>
      </c>
      <c r="AK221" s="43">
        <v>0</v>
      </c>
      <c r="AM221" s="43" t="s">
        <v>2</v>
      </c>
      <c r="AO221" s="43">
        <v>50</v>
      </c>
      <c r="AW221" s="43" t="b">
        <v>0</v>
      </c>
      <c r="BM221" s="36" t="s">
        <v>1</v>
      </c>
      <c r="BN221" s="61">
        <v>13</v>
      </c>
      <c r="BO221" s="38">
        <f t="shared" si="30"/>
        <v>8.25</v>
      </c>
      <c r="BP221" s="61">
        <v>250</v>
      </c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3"/>
      <c r="CF221" s="47" t="s">
        <v>12</v>
      </c>
      <c r="CG221" s="43">
        <v>0</v>
      </c>
      <c r="CI221" s="43">
        <v>2.68</v>
      </c>
      <c r="CR221" s="43">
        <v>0</v>
      </c>
      <c r="CS221" s="70">
        <v>0</v>
      </c>
      <c r="CT221" s="70">
        <v>0</v>
      </c>
      <c r="CU221" s="43">
        <v>1</v>
      </c>
      <c r="CV221" s="70">
        <v>0</v>
      </c>
      <c r="CW221" s="70">
        <v>0</v>
      </c>
      <c r="CX221" s="70">
        <v>0</v>
      </c>
      <c r="CY221" s="70">
        <v>0</v>
      </c>
      <c r="CZ221" s="70">
        <v>0</v>
      </c>
      <c r="DA221" s="70">
        <v>0</v>
      </c>
      <c r="DB221" s="70">
        <v>0</v>
      </c>
      <c r="DD221" s="43">
        <v>2</v>
      </c>
      <c r="DI221" s="43" t="s">
        <v>0</v>
      </c>
    </row>
    <row r="222" spans="1:113" s="43" customFormat="1" ht="15.75" thickBot="1" x14ac:dyDescent="0.3">
      <c r="A222" s="43">
        <v>5968</v>
      </c>
      <c r="B222" s="43" t="s">
        <v>499</v>
      </c>
      <c r="C222" s="56" t="s">
        <v>452</v>
      </c>
      <c r="D222" s="43">
        <v>13</v>
      </c>
      <c r="E222" s="43">
        <v>0</v>
      </c>
      <c r="F222" s="43">
        <v>13</v>
      </c>
      <c r="G222" s="43">
        <v>73</v>
      </c>
      <c r="H222" s="43">
        <v>0</v>
      </c>
      <c r="I222" s="43">
        <v>25</v>
      </c>
      <c r="J222" s="57" t="s">
        <v>580</v>
      </c>
      <c r="K222" s="57" t="s">
        <v>581</v>
      </c>
      <c r="L222" s="59">
        <v>45947</v>
      </c>
      <c r="M222" s="43">
        <v>0</v>
      </c>
      <c r="N222" s="43">
        <v>0</v>
      </c>
      <c r="O222" s="43">
        <v>0</v>
      </c>
      <c r="S222" s="43" t="b">
        <v>0</v>
      </c>
      <c r="T222" s="43">
        <v>0.01</v>
      </c>
      <c r="U222" s="55">
        <v>8.25</v>
      </c>
      <c r="V222" s="43">
        <v>0.01</v>
      </c>
      <c r="W222" s="43">
        <v>0</v>
      </c>
      <c r="X222" s="43">
        <v>1000</v>
      </c>
      <c r="Z222" s="43">
        <v>10</v>
      </c>
      <c r="AB222" s="55">
        <v>50</v>
      </c>
      <c r="AD222" s="43">
        <v>10</v>
      </c>
      <c r="AF222" s="43">
        <v>2000</v>
      </c>
      <c r="AG222" s="43">
        <v>2</v>
      </c>
      <c r="AH222" s="43">
        <v>8.5299997330000004</v>
      </c>
      <c r="AI222" s="43">
        <v>16</v>
      </c>
      <c r="AJ222" s="43">
        <v>0</v>
      </c>
      <c r="AK222" s="43">
        <v>0</v>
      </c>
      <c r="AM222" s="43" t="s">
        <v>2</v>
      </c>
      <c r="AO222" s="43">
        <v>50</v>
      </c>
      <c r="AW222" s="43" t="b">
        <v>0</v>
      </c>
      <c r="BM222" s="36" t="s">
        <v>1</v>
      </c>
      <c r="BN222" s="61">
        <v>13</v>
      </c>
      <c r="BO222" s="38">
        <f t="shared" si="30"/>
        <v>8.25</v>
      </c>
      <c r="BP222" s="61">
        <v>250</v>
      </c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3"/>
      <c r="CF222" s="47" t="s">
        <v>12</v>
      </c>
      <c r="CG222" s="43">
        <v>0</v>
      </c>
      <c r="CI222" s="43">
        <v>2.68</v>
      </c>
      <c r="CR222" s="43">
        <v>0</v>
      </c>
      <c r="CS222" s="70">
        <v>0</v>
      </c>
      <c r="CT222" s="70">
        <v>0</v>
      </c>
      <c r="CU222" s="43">
        <v>1</v>
      </c>
      <c r="CV222" s="70">
        <v>0</v>
      </c>
      <c r="CW222" s="70">
        <v>0</v>
      </c>
      <c r="CX222" s="70">
        <v>0</v>
      </c>
      <c r="CY222" s="70">
        <v>0</v>
      </c>
      <c r="CZ222" s="70">
        <v>0</v>
      </c>
      <c r="DA222" s="70">
        <v>0</v>
      </c>
      <c r="DB222" s="70">
        <v>0</v>
      </c>
      <c r="DD222" s="43">
        <v>2</v>
      </c>
      <c r="DI222" s="43" t="s">
        <v>0</v>
      </c>
    </row>
    <row r="223" spans="1:113" s="43" customFormat="1" ht="15.75" thickBot="1" x14ac:dyDescent="0.3">
      <c r="A223" s="43">
        <v>5969</v>
      </c>
      <c r="B223" s="43" t="s">
        <v>499</v>
      </c>
      <c r="C223" s="56" t="s">
        <v>452</v>
      </c>
      <c r="D223" s="43">
        <v>13</v>
      </c>
      <c r="E223" s="43">
        <v>0</v>
      </c>
      <c r="F223" s="43">
        <v>13</v>
      </c>
      <c r="G223" s="43">
        <v>74</v>
      </c>
      <c r="H223" s="43">
        <v>0</v>
      </c>
      <c r="I223" s="43">
        <v>25</v>
      </c>
      <c r="J223" s="57" t="s">
        <v>582</v>
      </c>
      <c r="K223" s="57" t="s">
        <v>583</v>
      </c>
      <c r="L223" s="59">
        <v>45947</v>
      </c>
      <c r="M223" s="43">
        <v>0</v>
      </c>
      <c r="N223" s="43">
        <v>0</v>
      </c>
      <c r="O223" s="43">
        <v>0</v>
      </c>
      <c r="S223" s="43" t="b">
        <v>0</v>
      </c>
      <c r="T223" s="43">
        <v>0.01</v>
      </c>
      <c r="U223" s="55">
        <v>8.25</v>
      </c>
      <c r="V223" s="43">
        <v>0.01</v>
      </c>
      <c r="W223" s="43">
        <v>0</v>
      </c>
      <c r="X223" s="43">
        <v>1000</v>
      </c>
      <c r="Z223" s="43">
        <v>10</v>
      </c>
      <c r="AB223" s="55">
        <v>50</v>
      </c>
      <c r="AD223" s="43">
        <v>10</v>
      </c>
      <c r="AF223" s="43">
        <v>2000</v>
      </c>
      <c r="AG223" s="43">
        <v>2</v>
      </c>
      <c r="AH223" s="43">
        <v>8.5600004199999997</v>
      </c>
      <c r="AI223" s="43">
        <v>16</v>
      </c>
      <c r="AJ223" s="43">
        <v>0</v>
      </c>
      <c r="AK223" s="43">
        <v>0</v>
      </c>
      <c r="AM223" s="43" t="s">
        <v>2</v>
      </c>
      <c r="AO223" s="43">
        <v>50</v>
      </c>
      <c r="AW223" s="43" t="b">
        <v>0</v>
      </c>
      <c r="BM223" s="36" t="s">
        <v>1</v>
      </c>
      <c r="BN223" s="61">
        <v>13</v>
      </c>
      <c r="BO223" s="38">
        <f t="shared" si="30"/>
        <v>8.25</v>
      </c>
      <c r="BP223" s="61">
        <v>250</v>
      </c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3"/>
      <c r="CF223" s="47" t="s">
        <v>16</v>
      </c>
      <c r="CI223" s="43">
        <v>2.68</v>
      </c>
      <c r="CR223" s="43">
        <v>0</v>
      </c>
      <c r="CS223" s="70">
        <v>0</v>
      </c>
      <c r="CT223" s="70">
        <v>0</v>
      </c>
      <c r="CU223" s="43">
        <v>0</v>
      </c>
      <c r="CV223" s="70">
        <v>0</v>
      </c>
      <c r="CW223" s="70">
        <v>0</v>
      </c>
      <c r="CX223" s="70">
        <v>0</v>
      </c>
      <c r="CY223" s="70">
        <v>0</v>
      </c>
      <c r="CZ223" s="70">
        <v>0</v>
      </c>
      <c r="DA223" s="70">
        <v>0</v>
      </c>
      <c r="DB223" s="70">
        <v>0</v>
      </c>
      <c r="DD223" s="43">
        <v>0</v>
      </c>
      <c r="DI223" s="43" t="s">
        <v>0</v>
      </c>
    </row>
    <row r="224" spans="1:113" s="43" customFormat="1" ht="15.75" thickBot="1" x14ac:dyDescent="0.3">
      <c r="A224" s="43">
        <v>5970</v>
      </c>
      <c r="B224" s="43" t="s">
        <v>499</v>
      </c>
      <c r="C224" s="56" t="s">
        <v>452</v>
      </c>
      <c r="D224" s="43">
        <v>13</v>
      </c>
      <c r="E224" s="43">
        <v>0</v>
      </c>
      <c r="F224" s="43">
        <v>13</v>
      </c>
      <c r="G224" s="43">
        <v>75</v>
      </c>
      <c r="H224" s="43">
        <v>0</v>
      </c>
      <c r="I224" s="43">
        <v>25</v>
      </c>
      <c r="J224" s="57" t="s">
        <v>584</v>
      </c>
      <c r="K224" s="57" t="s">
        <v>585</v>
      </c>
      <c r="L224" s="59">
        <v>45947</v>
      </c>
      <c r="M224" s="43">
        <v>0</v>
      </c>
      <c r="N224" s="43">
        <v>0</v>
      </c>
      <c r="O224" s="43">
        <v>0</v>
      </c>
      <c r="S224" s="43" t="b">
        <v>0</v>
      </c>
      <c r="T224" s="43">
        <v>0.01</v>
      </c>
      <c r="U224" s="55">
        <v>8.25</v>
      </c>
      <c r="V224" s="43">
        <v>0.01</v>
      </c>
      <c r="W224" s="43">
        <v>0</v>
      </c>
      <c r="X224" s="43">
        <v>1000</v>
      </c>
      <c r="Z224" s="43">
        <v>10</v>
      </c>
      <c r="AB224" s="55">
        <v>50</v>
      </c>
      <c r="AD224" s="43">
        <v>10</v>
      </c>
      <c r="AF224" s="43">
        <v>2000</v>
      </c>
      <c r="AG224" s="43">
        <v>2</v>
      </c>
      <c r="AH224" s="43">
        <v>8.5299997330000004</v>
      </c>
      <c r="AI224" s="43">
        <v>16</v>
      </c>
      <c r="AJ224" s="43">
        <v>0</v>
      </c>
      <c r="AK224" s="43">
        <v>0</v>
      </c>
      <c r="AM224" s="43" t="s">
        <v>2</v>
      </c>
      <c r="AO224" s="43">
        <v>50</v>
      </c>
      <c r="AW224" s="43" t="b">
        <v>0</v>
      </c>
      <c r="BM224" s="36" t="s">
        <v>1</v>
      </c>
      <c r="BN224" s="61">
        <v>13</v>
      </c>
      <c r="BO224" s="38">
        <f t="shared" si="30"/>
        <v>8.25</v>
      </c>
      <c r="BP224" s="61">
        <v>250</v>
      </c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3"/>
      <c r="CF224" s="47" t="s">
        <v>16</v>
      </c>
      <c r="CI224" s="43">
        <v>2.68</v>
      </c>
      <c r="CR224" s="43">
        <v>0</v>
      </c>
      <c r="CS224" s="70">
        <v>0</v>
      </c>
      <c r="CT224" s="70">
        <v>0</v>
      </c>
      <c r="CU224" s="43">
        <v>0</v>
      </c>
      <c r="CV224" s="70">
        <v>0</v>
      </c>
      <c r="CW224" s="70">
        <v>0</v>
      </c>
      <c r="CX224" s="70">
        <v>0</v>
      </c>
      <c r="CY224" s="70">
        <v>0</v>
      </c>
      <c r="CZ224" s="70">
        <v>0</v>
      </c>
      <c r="DA224" s="70">
        <v>0</v>
      </c>
      <c r="DB224" s="70">
        <v>0</v>
      </c>
      <c r="DD224" s="43">
        <v>0</v>
      </c>
      <c r="DI224" s="43" t="s">
        <v>0</v>
      </c>
    </row>
    <row r="225" spans="1:113" s="43" customFormat="1" ht="15.75" thickBot="1" x14ac:dyDescent="0.3">
      <c r="A225" s="43">
        <v>5971</v>
      </c>
      <c r="B225" s="43" t="s">
        <v>499</v>
      </c>
      <c r="C225" s="56" t="s">
        <v>452</v>
      </c>
      <c r="D225" s="43">
        <v>13</v>
      </c>
      <c r="E225" s="43">
        <v>0</v>
      </c>
      <c r="F225" s="43">
        <v>13</v>
      </c>
      <c r="G225" s="43">
        <v>76</v>
      </c>
      <c r="H225" s="43">
        <v>0</v>
      </c>
      <c r="I225" s="43">
        <v>25</v>
      </c>
      <c r="J225" s="57" t="s">
        <v>586</v>
      </c>
      <c r="K225" s="57" t="s">
        <v>587</v>
      </c>
      <c r="L225" s="59">
        <v>45947</v>
      </c>
      <c r="M225" s="43">
        <v>0</v>
      </c>
      <c r="N225" s="43">
        <v>0</v>
      </c>
      <c r="O225" s="43">
        <v>0</v>
      </c>
      <c r="S225" s="43" t="b">
        <v>0</v>
      </c>
      <c r="T225" s="43">
        <v>0.01</v>
      </c>
      <c r="U225" s="55">
        <v>8.25</v>
      </c>
      <c r="V225" s="43">
        <v>0.01</v>
      </c>
      <c r="W225" s="43">
        <v>0</v>
      </c>
      <c r="X225" s="43">
        <v>1000</v>
      </c>
      <c r="Z225" s="43">
        <v>10</v>
      </c>
      <c r="AB225" s="55">
        <v>50</v>
      </c>
      <c r="AD225" s="43">
        <v>10</v>
      </c>
      <c r="AF225" s="43">
        <v>2000</v>
      </c>
      <c r="AG225" s="43">
        <v>2</v>
      </c>
      <c r="AH225" s="43">
        <v>8.5299997330000004</v>
      </c>
      <c r="AI225" s="43">
        <v>16</v>
      </c>
      <c r="AJ225" s="43">
        <v>0</v>
      </c>
      <c r="AK225" s="43">
        <v>0</v>
      </c>
      <c r="AM225" s="43" t="s">
        <v>2</v>
      </c>
      <c r="AO225" s="43">
        <v>50</v>
      </c>
      <c r="AW225" s="43" t="b">
        <v>0</v>
      </c>
      <c r="BM225" s="36" t="s">
        <v>1</v>
      </c>
      <c r="BN225" s="61">
        <v>13</v>
      </c>
      <c r="BO225" s="38">
        <f t="shared" si="30"/>
        <v>8.25</v>
      </c>
      <c r="BP225" s="61">
        <v>250</v>
      </c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3"/>
      <c r="CF225" s="47" t="s">
        <v>16</v>
      </c>
      <c r="CI225" s="43">
        <v>2.68</v>
      </c>
      <c r="CR225" s="43">
        <v>0</v>
      </c>
      <c r="CS225" s="70">
        <v>0</v>
      </c>
      <c r="CT225" s="70">
        <v>0</v>
      </c>
      <c r="CU225" s="43">
        <v>0</v>
      </c>
      <c r="CV225" s="70">
        <v>0</v>
      </c>
      <c r="CW225" s="70">
        <v>0</v>
      </c>
      <c r="CX225" s="70">
        <v>0</v>
      </c>
      <c r="CY225" s="70">
        <v>0</v>
      </c>
      <c r="CZ225" s="70">
        <v>0</v>
      </c>
      <c r="DA225" s="70">
        <v>0</v>
      </c>
      <c r="DB225" s="70">
        <v>0</v>
      </c>
      <c r="DD225" s="43">
        <v>0</v>
      </c>
      <c r="DI225" s="43" t="s">
        <v>0</v>
      </c>
    </row>
    <row r="226" spans="1:113" s="43" customFormat="1" ht="15.75" thickBot="1" x14ac:dyDescent="0.3">
      <c r="A226" s="43">
        <v>6027</v>
      </c>
      <c r="B226" s="43" t="s">
        <v>499</v>
      </c>
      <c r="C226" s="56" t="s">
        <v>452</v>
      </c>
      <c r="D226" s="43">
        <v>13</v>
      </c>
      <c r="E226" s="43">
        <v>0</v>
      </c>
      <c r="F226" s="43">
        <v>13</v>
      </c>
      <c r="G226" s="43">
        <v>132</v>
      </c>
      <c r="H226" s="43">
        <v>0</v>
      </c>
      <c r="I226" s="43">
        <v>25</v>
      </c>
      <c r="J226" s="57" t="s">
        <v>588</v>
      </c>
      <c r="K226" s="57" t="s">
        <v>589</v>
      </c>
      <c r="L226" s="59">
        <v>45947</v>
      </c>
      <c r="M226" s="43">
        <v>0</v>
      </c>
      <c r="N226" s="43">
        <v>0</v>
      </c>
      <c r="O226" s="43">
        <v>0</v>
      </c>
      <c r="S226" s="43" t="b">
        <v>0</v>
      </c>
      <c r="T226" s="43">
        <v>0.01</v>
      </c>
      <c r="U226" s="55">
        <v>8.25</v>
      </c>
      <c r="V226" s="43">
        <v>0.01</v>
      </c>
      <c r="W226" s="43">
        <v>0</v>
      </c>
      <c r="X226" s="43">
        <v>1000</v>
      </c>
      <c r="Z226" s="43">
        <v>10</v>
      </c>
      <c r="AB226" s="55">
        <v>50</v>
      </c>
      <c r="AD226" s="43">
        <v>10</v>
      </c>
      <c r="AF226" s="43">
        <v>2000</v>
      </c>
      <c r="AG226" s="43">
        <v>2</v>
      </c>
      <c r="AH226" s="43">
        <v>8.5500001910000005</v>
      </c>
      <c r="AI226" s="43">
        <v>16</v>
      </c>
      <c r="AJ226" s="43">
        <v>0</v>
      </c>
      <c r="AK226" s="43">
        <v>0</v>
      </c>
      <c r="AM226" s="43" t="s">
        <v>2</v>
      </c>
      <c r="AO226" s="43">
        <v>50</v>
      </c>
      <c r="AW226" s="43" t="b">
        <v>0</v>
      </c>
      <c r="BM226" s="36" t="s">
        <v>1</v>
      </c>
      <c r="BN226" s="61">
        <v>13</v>
      </c>
      <c r="BO226" s="38">
        <f t="shared" si="30"/>
        <v>8.25</v>
      </c>
      <c r="BP226" s="61">
        <v>250</v>
      </c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3"/>
      <c r="CF226" s="47" t="s">
        <v>16</v>
      </c>
      <c r="CI226" s="43">
        <v>2.68</v>
      </c>
      <c r="CR226" s="43">
        <v>0</v>
      </c>
      <c r="CS226" s="70">
        <v>0</v>
      </c>
      <c r="CT226" s="70">
        <v>0</v>
      </c>
      <c r="CU226" s="43">
        <v>0</v>
      </c>
      <c r="CV226" s="70">
        <v>0</v>
      </c>
      <c r="CW226" s="70">
        <v>0</v>
      </c>
      <c r="CX226" s="70">
        <v>0</v>
      </c>
      <c r="CY226" s="70">
        <v>0</v>
      </c>
      <c r="CZ226" s="70">
        <v>0</v>
      </c>
      <c r="DA226" s="70">
        <v>0</v>
      </c>
      <c r="DB226" s="70">
        <v>0</v>
      </c>
      <c r="DD226" s="43">
        <v>0</v>
      </c>
      <c r="DI226" s="43" t="s">
        <v>0</v>
      </c>
    </row>
    <row r="227" spans="1:113" s="43" customFormat="1" ht="15.75" thickBot="1" x14ac:dyDescent="0.3">
      <c r="A227" s="43">
        <v>6028</v>
      </c>
      <c r="B227" s="43" t="s">
        <v>499</v>
      </c>
      <c r="C227" s="56" t="s">
        <v>452</v>
      </c>
      <c r="D227" s="43">
        <v>13</v>
      </c>
      <c r="E227" s="43">
        <v>0</v>
      </c>
      <c r="F227" s="43">
        <v>13</v>
      </c>
      <c r="G227" s="43">
        <v>133</v>
      </c>
      <c r="H227" s="43">
        <v>0</v>
      </c>
      <c r="I227" s="43">
        <v>25</v>
      </c>
      <c r="J227" s="57" t="s">
        <v>590</v>
      </c>
      <c r="K227" s="57" t="s">
        <v>591</v>
      </c>
      <c r="L227" s="59">
        <v>45947</v>
      </c>
      <c r="M227" s="43">
        <v>0</v>
      </c>
      <c r="N227" s="43">
        <v>0</v>
      </c>
      <c r="O227" s="43">
        <v>0</v>
      </c>
      <c r="S227" s="43" t="b">
        <v>0</v>
      </c>
      <c r="T227" s="43">
        <v>0.01</v>
      </c>
      <c r="U227" s="55">
        <v>8.25</v>
      </c>
      <c r="V227" s="43">
        <v>0.01</v>
      </c>
      <c r="W227" s="43">
        <v>0</v>
      </c>
      <c r="X227" s="43">
        <v>1000</v>
      </c>
      <c r="Z227" s="43">
        <v>10</v>
      </c>
      <c r="AB227" s="55">
        <v>50</v>
      </c>
      <c r="AD227" s="43">
        <v>10</v>
      </c>
      <c r="AF227" s="43">
        <v>2000</v>
      </c>
      <c r="AG227" s="43">
        <v>2</v>
      </c>
      <c r="AH227" s="43">
        <v>8.5799999239999991</v>
      </c>
      <c r="AI227" s="43">
        <v>16</v>
      </c>
      <c r="AJ227" s="43">
        <v>0</v>
      </c>
      <c r="AK227" s="43">
        <v>0</v>
      </c>
      <c r="AM227" s="43" t="s">
        <v>2</v>
      </c>
      <c r="AO227" s="43">
        <v>50</v>
      </c>
      <c r="AW227" s="43" t="b">
        <v>0</v>
      </c>
      <c r="BM227" s="36" t="s">
        <v>1</v>
      </c>
      <c r="BN227" s="61">
        <v>13</v>
      </c>
      <c r="BO227" s="38">
        <f t="shared" si="30"/>
        <v>8.25</v>
      </c>
      <c r="BP227" s="61">
        <v>250</v>
      </c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3"/>
      <c r="CF227" s="47" t="s">
        <v>16</v>
      </c>
      <c r="CI227" s="43">
        <v>2.68</v>
      </c>
      <c r="CR227" s="43">
        <v>0</v>
      </c>
      <c r="CS227" s="70">
        <v>0</v>
      </c>
      <c r="CT227" s="70">
        <v>0</v>
      </c>
      <c r="CU227" s="43">
        <v>0</v>
      </c>
      <c r="CV227" s="70">
        <v>0</v>
      </c>
      <c r="CW227" s="70">
        <v>0</v>
      </c>
      <c r="CX227" s="70">
        <v>0</v>
      </c>
      <c r="CY227" s="70">
        <v>0</v>
      </c>
      <c r="CZ227" s="70">
        <v>0</v>
      </c>
      <c r="DA227" s="70">
        <v>0</v>
      </c>
      <c r="DB227" s="70">
        <v>0</v>
      </c>
      <c r="DD227" s="43">
        <v>0</v>
      </c>
      <c r="DI227" s="43" t="s">
        <v>0</v>
      </c>
    </row>
    <row r="228" spans="1:113" s="43" customFormat="1" ht="15.75" thickBot="1" x14ac:dyDescent="0.3">
      <c r="A228" s="43">
        <v>6029</v>
      </c>
      <c r="B228" s="43" t="s">
        <v>499</v>
      </c>
      <c r="C228" s="56" t="s">
        <v>452</v>
      </c>
      <c r="D228" s="43">
        <v>13</v>
      </c>
      <c r="E228" s="43">
        <v>0</v>
      </c>
      <c r="F228" s="43">
        <v>13</v>
      </c>
      <c r="G228" s="43">
        <v>134</v>
      </c>
      <c r="H228" s="43">
        <v>0</v>
      </c>
      <c r="I228" s="43">
        <v>25</v>
      </c>
      <c r="J228" s="57" t="s">
        <v>592</v>
      </c>
      <c r="K228" s="57" t="s">
        <v>593</v>
      </c>
      <c r="L228" s="59">
        <v>45947</v>
      </c>
      <c r="M228" s="43">
        <v>0</v>
      </c>
      <c r="N228" s="43">
        <v>0</v>
      </c>
      <c r="O228" s="43">
        <v>0</v>
      </c>
      <c r="S228" s="43" t="b">
        <v>0</v>
      </c>
      <c r="T228" s="43">
        <v>0.01</v>
      </c>
      <c r="U228" s="55">
        <v>8.25</v>
      </c>
      <c r="V228" s="43">
        <v>0.01</v>
      </c>
      <c r="W228" s="43">
        <v>0</v>
      </c>
      <c r="X228" s="43">
        <v>1000</v>
      </c>
      <c r="Z228" s="43">
        <v>10</v>
      </c>
      <c r="AB228" s="55">
        <v>50</v>
      </c>
      <c r="AD228" s="43">
        <v>10</v>
      </c>
      <c r="AF228" s="43">
        <v>2000</v>
      </c>
      <c r="AG228" s="43">
        <v>2</v>
      </c>
      <c r="AH228" s="43">
        <v>8.5299997330000004</v>
      </c>
      <c r="AI228" s="43">
        <v>16</v>
      </c>
      <c r="AJ228" s="43">
        <v>0</v>
      </c>
      <c r="AK228" s="43">
        <v>0</v>
      </c>
      <c r="AM228" s="43" t="s">
        <v>2</v>
      </c>
      <c r="AO228" s="43">
        <v>50</v>
      </c>
      <c r="AW228" s="43" t="b">
        <v>0</v>
      </c>
      <c r="BM228" s="36" t="s">
        <v>1</v>
      </c>
      <c r="BN228" s="61">
        <v>13</v>
      </c>
      <c r="BO228" s="38">
        <f t="shared" si="30"/>
        <v>8.25</v>
      </c>
      <c r="BP228" s="61">
        <v>250</v>
      </c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3"/>
      <c r="CF228" s="47" t="s">
        <v>16</v>
      </c>
      <c r="CI228" s="43">
        <v>2.68</v>
      </c>
      <c r="CR228" s="43">
        <v>0</v>
      </c>
      <c r="CS228" s="70">
        <v>0</v>
      </c>
      <c r="CT228" s="70">
        <v>0</v>
      </c>
      <c r="CU228" s="43">
        <v>0</v>
      </c>
      <c r="CV228" s="70">
        <v>0</v>
      </c>
      <c r="CW228" s="70">
        <v>0</v>
      </c>
      <c r="CX228" s="70">
        <v>0</v>
      </c>
      <c r="CY228" s="70">
        <v>0</v>
      </c>
      <c r="CZ228" s="70">
        <v>0</v>
      </c>
      <c r="DA228" s="70">
        <v>0</v>
      </c>
      <c r="DB228" s="70">
        <v>0</v>
      </c>
      <c r="DD228" s="43">
        <v>0</v>
      </c>
      <c r="DI228" s="43" t="s">
        <v>0</v>
      </c>
    </row>
    <row r="229" spans="1:113" s="43" customFormat="1" ht="15.75" thickBot="1" x14ac:dyDescent="0.3">
      <c r="A229" s="43">
        <v>6030</v>
      </c>
      <c r="B229" s="43" t="s">
        <v>499</v>
      </c>
      <c r="C229" s="56" t="s">
        <v>452</v>
      </c>
      <c r="D229" s="43">
        <v>13</v>
      </c>
      <c r="E229" s="43">
        <v>0</v>
      </c>
      <c r="F229" s="43">
        <v>13</v>
      </c>
      <c r="G229" s="43">
        <v>135</v>
      </c>
      <c r="H229" s="43">
        <v>0</v>
      </c>
      <c r="I229" s="43">
        <v>25</v>
      </c>
      <c r="J229" s="57" t="s">
        <v>594</v>
      </c>
      <c r="K229" s="57" t="s">
        <v>595</v>
      </c>
      <c r="L229" s="59">
        <v>45947</v>
      </c>
      <c r="M229" s="43">
        <v>0</v>
      </c>
      <c r="N229" s="43">
        <v>0</v>
      </c>
      <c r="O229" s="43">
        <v>0</v>
      </c>
      <c r="S229" s="43" t="b">
        <v>0</v>
      </c>
      <c r="T229" s="43">
        <v>0.01</v>
      </c>
      <c r="U229" s="55">
        <v>8.25</v>
      </c>
      <c r="V229" s="43">
        <v>0.01</v>
      </c>
      <c r="W229" s="43">
        <v>0</v>
      </c>
      <c r="X229" s="43">
        <v>1000</v>
      </c>
      <c r="Z229" s="43">
        <v>10</v>
      </c>
      <c r="AB229" s="55">
        <v>50</v>
      </c>
      <c r="AD229" s="43">
        <v>10</v>
      </c>
      <c r="AF229" s="43">
        <v>2000</v>
      </c>
      <c r="AG229" s="43">
        <v>2</v>
      </c>
      <c r="AH229" s="43">
        <v>8.5500001910000005</v>
      </c>
      <c r="AI229" s="43">
        <v>16</v>
      </c>
      <c r="AJ229" s="43">
        <v>0</v>
      </c>
      <c r="AK229" s="43">
        <v>0</v>
      </c>
      <c r="AM229" s="43" t="s">
        <v>2</v>
      </c>
      <c r="AO229" s="43">
        <v>50</v>
      </c>
      <c r="AW229" s="43" t="b">
        <v>0</v>
      </c>
      <c r="BM229" s="36" t="s">
        <v>1</v>
      </c>
      <c r="BN229" s="61">
        <v>13</v>
      </c>
      <c r="BO229" s="38">
        <f t="shared" si="30"/>
        <v>8.25</v>
      </c>
      <c r="BP229" s="61">
        <v>250</v>
      </c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3"/>
      <c r="CF229" s="47" t="s">
        <v>16</v>
      </c>
      <c r="CI229" s="43">
        <v>2.68</v>
      </c>
      <c r="CR229" s="43">
        <v>0</v>
      </c>
      <c r="CS229" s="70">
        <v>0</v>
      </c>
      <c r="CT229" s="70">
        <v>0</v>
      </c>
      <c r="CU229" s="43">
        <v>0</v>
      </c>
      <c r="CV229" s="70">
        <v>0</v>
      </c>
      <c r="CW229" s="70">
        <v>0</v>
      </c>
      <c r="CX229" s="70">
        <v>0</v>
      </c>
      <c r="CY229" s="70">
        <v>0</v>
      </c>
      <c r="CZ229" s="70">
        <v>0</v>
      </c>
      <c r="DA229" s="70">
        <v>0</v>
      </c>
      <c r="DB229" s="70">
        <v>0</v>
      </c>
      <c r="DD229" s="43">
        <v>0</v>
      </c>
      <c r="DI229" s="43" t="s">
        <v>0</v>
      </c>
    </row>
    <row r="230" spans="1:113" s="43" customFormat="1" ht="15.75" thickBot="1" x14ac:dyDescent="0.3">
      <c r="A230" s="43">
        <v>6032</v>
      </c>
      <c r="B230" s="43" t="s">
        <v>499</v>
      </c>
      <c r="C230" s="56" t="s">
        <v>452</v>
      </c>
      <c r="D230" s="43">
        <v>13</v>
      </c>
      <c r="E230" s="43">
        <v>0</v>
      </c>
      <c r="F230" s="43">
        <v>13</v>
      </c>
      <c r="G230" s="43">
        <v>137</v>
      </c>
      <c r="H230" s="43">
        <v>0</v>
      </c>
      <c r="I230" s="43">
        <v>25</v>
      </c>
      <c r="J230" s="57" t="s">
        <v>596</v>
      </c>
      <c r="K230" s="57" t="s">
        <v>597</v>
      </c>
      <c r="L230" s="59">
        <v>45947</v>
      </c>
      <c r="M230" s="43">
        <v>0</v>
      </c>
      <c r="N230" s="43">
        <v>0</v>
      </c>
      <c r="O230" s="43">
        <v>0</v>
      </c>
      <c r="S230" s="43" t="b">
        <v>0</v>
      </c>
      <c r="T230" s="43">
        <v>0.01</v>
      </c>
      <c r="U230" s="55">
        <v>8.25</v>
      </c>
      <c r="V230" s="43">
        <v>0.01</v>
      </c>
      <c r="W230" s="43">
        <v>0</v>
      </c>
      <c r="X230" s="43">
        <v>1000</v>
      </c>
      <c r="Z230" s="43">
        <v>10</v>
      </c>
      <c r="AB230" s="55">
        <v>50</v>
      </c>
      <c r="AD230" s="43">
        <v>10</v>
      </c>
      <c r="AF230" s="43">
        <v>2000</v>
      </c>
      <c r="AG230" s="43">
        <v>2</v>
      </c>
      <c r="AH230" s="43">
        <v>8.5200004580000002</v>
      </c>
      <c r="AI230" s="43">
        <v>16</v>
      </c>
      <c r="AJ230" s="43">
        <v>0</v>
      </c>
      <c r="AK230" s="43">
        <v>0</v>
      </c>
      <c r="AM230" s="43" t="s">
        <v>2</v>
      </c>
      <c r="AO230" s="43">
        <v>50</v>
      </c>
      <c r="AW230" s="43" t="b">
        <v>0</v>
      </c>
      <c r="BM230" s="36" t="s">
        <v>1</v>
      </c>
      <c r="BN230" s="61">
        <v>13</v>
      </c>
      <c r="BO230" s="38">
        <f t="shared" si="30"/>
        <v>8.25</v>
      </c>
      <c r="BP230" s="61">
        <v>250</v>
      </c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3"/>
      <c r="CF230" s="47" t="s">
        <v>16</v>
      </c>
      <c r="CI230" s="43">
        <v>2.68</v>
      </c>
      <c r="CR230" s="43">
        <v>0</v>
      </c>
      <c r="CS230" s="70">
        <v>0</v>
      </c>
      <c r="CT230" s="70">
        <v>0</v>
      </c>
      <c r="CU230" s="43">
        <v>0</v>
      </c>
      <c r="CV230" s="70">
        <v>0</v>
      </c>
      <c r="CW230" s="70">
        <v>0</v>
      </c>
      <c r="CX230" s="70">
        <v>0</v>
      </c>
      <c r="CY230" s="70">
        <v>0</v>
      </c>
      <c r="CZ230" s="70">
        <v>0</v>
      </c>
      <c r="DA230" s="70">
        <v>0</v>
      </c>
      <c r="DB230" s="70">
        <v>0</v>
      </c>
      <c r="DD230" s="43">
        <v>0</v>
      </c>
      <c r="DI230" s="43" t="s">
        <v>0</v>
      </c>
    </row>
    <row r="231" spans="1:113" s="43" customFormat="1" ht="15.75" thickBot="1" x14ac:dyDescent="0.3">
      <c r="A231" s="43">
        <v>6033</v>
      </c>
      <c r="B231" s="43" t="s">
        <v>499</v>
      </c>
      <c r="C231" s="56" t="s">
        <v>452</v>
      </c>
      <c r="D231" s="43">
        <v>13</v>
      </c>
      <c r="E231" s="43">
        <v>0</v>
      </c>
      <c r="F231" s="43">
        <v>13</v>
      </c>
      <c r="G231" s="43">
        <v>138</v>
      </c>
      <c r="H231" s="43">
        <v>0</v>
      </c>
      <c r="I231" s="43">
        <v>25</v>
      </c>
      <c r="J231" s="57" t="s">
        <v>598</v>
      </c>
      <c r="K231" s="57" t="s">
        <v>599</v>
      </c>
      <c r="L231" s="59">
        <v>45947</v>
      </c>
      <c r="M231" s="43">
        <v>0</v>
      </c>
      <c r="N231" s="43">
        <v>0</v>
      </c>
      <c r="O231" s="43">
        <v>0</v>
      </c>
      <c r="S231" s="43" t="b">
        <v>0</v>
      </c>
      <c r="T231" s="43">
        <v>0.01</v>
      </c>
      <c r="U231" s="55">
        <v>8.25</v>
      </c>
      <c r="V231" s="43">
        <v>0.01</v>
      </c>
      <c r="W231" s="43">
        <v>0</v>
      </c>
      <c r="X231" s="43">
        <v>1000</v>
      </c>
      <c r="Z231" s="43">
        <v>10</v>
      </c>
      <c r="AB231" s="55">
        <v>50</v>
      </c>
      <c r="AD231" s="43">
        <v>10</v>
      </c>
      <c r="AF231" s="43">
        <v>2000</v>
      </c>
      <c r="AG231" s="43">
        <v>2</v>
      </c>
      <c r="AH231" s="43">
        <v>8.5500001910000005</v>
      </c>
      <c r="AI231" s="43">
        <v>16</v>
      </c>
      <c r="AJ231" s="43">
        <v>0</v>
      </c>
      <c r="AK231" s="43">
        <v>0</v>
      </c>
      <c r="AM231" s="43" t="s">
        <v>2</v>
      </c>
      <c r="AO231" s="43">
        <v>50</v>
      </c>
      <c r="AW231" s="43" t="b">
        <v>0</v>
      </c>
      <c r="BM231" s="36" t="s">
        <v>1</v>
      </c>
      <c r="BN231" s="61">
        <v>13</v>
      </c>
      <c r="BO231" s="38">
        <f t="shared" si="30"/>
        <v>8.25</v>
      </c>
      <c r="BP231" s="61">
        <v>250</v>
      </c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3"/>
      <c r="CF231" s="47" t="s">
        <v>16</v>
      </c>
      <c r="CI231" s="43">
        <v>2.68</v>
      </c>
      <c r="CR231" s="43">
        <v>0</v>
      </c>
      <c r="CS231" s="70">
        <v>0</v>
      </c>
      <c r="CT231" s="70">
        <v>0</v>
      </c>
      <c r="CU231" s="43">
        <v>0</v>
      </c>
      <c r="CV231" s="70">
        <v>0</v>
      </c>
      <c r="CW231" s="70">
        <v>0</v>
      </c>
      <c r="CX231" s="70">
        <v>0</v>
      </c>
      <c r="CY231" s="70">
        <v>0</v>
      </c>
      <c r="CZ231" s="70">
        <v>0</v>
      </c>
      <c r="DA231" s="70">
        <v>0</v>
      </c>
      <c r="DB231" s="70">
        <v>0</v>
      </c>
      <c r="DD231" s="43">
        <v>0</v>
      </c>
      <c r="DI231" s="43" t="s">
        <v>0</v>
      </c>
    </row>
    <row r="232" spans="1:113" s="43" customFormat="1" ht="15.75" thickBot="1" x14ac:dyDescent="0.3">
      <c r="A232" s="43">
        <v>6034</v>
      </c>
      <c r="B232" s="43" t="s">
        <v>499</v>
      </c>
      <c r="C232" s="56" t="s">
        <v>452</v>
      </c>
      <c r="D232" s="43">
        <v>13</v>
      </c>
      <c r="E232" s="43">
        <v>0</v>
      </c>
      <c r="F232" s="43">
        <v>13</v>
      </c>
      <c r="G232" s="43">
        <v>139</v>
      </c>
      <c r="H232" s="43">
        <v>0</v>
      </c>
      <c r="I232" s="43">
        <v>25</v>
      </c>
      <c r="J232" s="57" t="s">
        <v>600</v>
      </c>
      <c r="K232" s="57" t="s">
        <v>601</v>
      </c>
      <c r="L232" s="59">
        <v>45947</v>
      </c>
      <c r="M232" s="43">
        <v>0</v>
      </c>
      <c r="N232" s="43">
        <v>0</v>
      </c>
      <c r="O232" s="43">
        <v>0</v>
      </c>
      <c r="S232" s="43" t="b">
        <v>0</v>
      </c>
      <c r="T232" s="43">
        <v>0.01</v>
      </c>
      <c r="U232" s="55">
        <v>8.25</v>
      </c>
      <c r="V232" s="43">
        <v>0.01</v>
      </c>
      <c r="W232" s="43">
        <v>0</v>
      </c>
      <c r="X232" s="43">
        <v>1000</v>
      </c>
      <c r="Z232" s="43">
        <v>10</v>
      </c>
      <c r="AB232" s="55">
        <v>50</v>
      </c>
      <c r="AD232" s="43">
        <v>10</v>
      </c>
      <c r="AF232" s="43">
        <v>2000</v>
      </c>
      <c r="AG232" s="43">
        <v>2</v>
      </c>
      <c r="AH232" s="43">
        <v>8.5500001910000005</v>
      </c>
      <c r="AI232" s="43">
        <v>16</v>
      </c>
      <c r="AJ232" s="43">
        <v>0</v>
      </c>
      <c r="AK232" s="43">
        <v>0</v>
      </c>
      <c r="AM232" s="43" t="s">
        <v>2</v>
      </c>
      <c r="AO232" s="43">
        <v>50</v>
      </c>
      <c r="AW232" s="43" t="b">
        <v>0</v>
      </c>
      <c r="BM232" s="36" t="s">
        <v>1</v>
      </c>
      <c r="BN232" s="61">
        <v>13</v>
      </c>
      <c r="BO232" s="38">
        <f t="shared" si="30"/>
        <v>8.25</v>
      </c>
      <c r="BP232" s="61">
        <v>250</v>
      </c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3"/>
      <c r="CF232" s="47" t="s">
        <v>16</v>
      </c>
      <c r="CI232" s="43">
        <v>2.68</v>
      </c>
      <c r="CR232" s="43">
        <v>0</v>
      </c>
      <c r="CS232" s="70">
        <v>0</v>
      </c>
      <c r="CT232" s="70">
        <v>0</v>
      </c>
      <c r="CU232" s="43">
        <v>0</v>
      </c>
      <c r="CV232" s="70">
        <v>0</v>
      </c>
      <c r="CW232" s="70">
        <v>0</v>
      </c>
      <c r="CX232" s="70">
        <v>0</v>
      </c>
      <c r="CY232" s="70">
        <v>0</v>
      </c>
      <c r="CZ232" s="70">
        <v>0</v>
      </c>
      <c r="DA232" s="70">
        <v>0</v>
      </c>
      <c r="DB232" s="70">
        <v>0</v>
      </c>
      <c r="DD232" s="43">
        <v>0</v>
      </c>
      <c r="DI232" s="43" t="s">
        <v>0</v>
      </c>
    </row>
    <row r="233" spans="1:113" s="43" customFormat="1" ht="15.75" thickBot="1" x14ac:dyDescent="0.3">
      <c r="A233" s="43">
        <v>6035</v>
      </c>
      <c r="B233" s="43" t="s">
        <v>499</v>
      </c>
      <c r="C233" s="56" t="s">
        <v>452</v>
      </c>
      <c r="D233" s="43">
        <v>13</v>
      </c>
      <c r="E233" s="43">
        <v>0</v>
      </c>
      <c r="F233" s="43">
        <v>13</v>
      </c>
      <c r="G233" s="43">
        <v>140</v>
      </c>
      <c r="H233" s="43">
        <v>0</v>
      </c>
      <c r="I233" s="43">
        <v>25</v>
      </c>
      <c r="J233" s="57" t="s">
        <v>602</v>
      </c>
      <c r="K233" s="57" t="s">
        <v>603</v>
      </c>
      <c r="L233" s="59">
        <v>45947</v>
      </c>
      <c r="M233" s="43">
        <v>0</v>
      </c>
      <c r="N233" s="43">
        <v>0</v>
      </c>
      <c r="O233" s="43">
        <v>0</v>
      </c>
      <c r="S233" s="43" t="b">
        <v>0</v>
      </c>
      <c r="T233" s="43">
        <v>0.01</v>
      </c>
      <c r="U233" s="55">
        <v>8.25</v>
      </c>
      <c r="V233" s="43">
        <v>0.01</v>
      </c>
      <c r="W233" s="43">
        <v>0</v>
      </c>
      <c r="X233" s="43">
        <v>1000</v>
      </c>
      <c r="Z233" s="43">
        <v>10</v>
      </c>
      <c r="AB233" s="55">
        <v>50</v>
      </c>
      <c r="AD233" s="43">
        <v>10</v>
      </c>
      <c r="AF233" s="43">
        <v>2000</v>
      </c>
      <c r="AG233" s="43">
        <v>2</v>
      </c>
      <c r="AH233" s="43">
        <v>8.5600004199999997</v>
      </c>
      <c r="AI233" s="43">
        <v>16</v>
      </c>
      <c r="AJ233" s="43">
        <v>0</v>
      </c>
      <c r="AK233" s="43">
        <v>0</v>
      </c>
      <c r="AM233" s="43" t="s">
        <v>2</v>
      </c>
      <c r="AO233" s="43">
        <v>50</v>
      </c>
      <c r="AW233" s="43" t="b">
        <v>0</v>
      </c>
      <c r="BM233" s="36" t="s">
        <v>1</v>
      </c>
      <c r="BN233" s="61">
        <v>13</v>
      </c>
      <c r="BO233" s="38">
        <f t="shared" si="30"/>
        <v>8.25</v>
      </c>
      <c r="BP233" s="61">
        <v>250</v>
      </c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3"/>
      <c r="CF233" s="47" t="s">
        <v>16</v>
      </c>
      <c r="CI233" s="43">
        <v>2.68</v>
      </c>
      <c r="CR233" s="43">
        <v>0</v>
      </c>
      <c r="CS233" s="70">
        <v>0</v>
      </c>
      <c r="CT233" s="70">
        <v>0</v>
      </c>
      <c r="CU233" s="43">
        <v>0</v>
      </c>
      <c r="CV233" s="70">
        <v>0</v>
      </c>
      <c r="CW233" s="70">
        <v>0</v>
      </c>
      <c r="CX233" s="70">
        <v>0</v>
      </c>
      <c r="CY233" s="70">
        <v>0</v>
      </c>
      <c r="CZ233" s="70">
        <v>0</v>
      </c>
      <c r="DA233" s="70">
        <v>0</v>
      </c>
      <c r="DB233" s="70">
        <v>0</v>
      </c>
      <c r="DD233" s="43">
        <v>0</v>
      </c>
      <c r="DI233" s="43" t="s">
        <v>0</v>
      </c>
    </row>
    <row r="234" spans="1:113" s="43" customFormat="1" ht="15.75" thickBot="1" x14ac:dyDescent="0.3">
      <c r="A234" s="43">
        <v>6091</v>
      </c>
      <c r="B234" s="43" t="s">
        <v>499</v>
      </c>
      <c r="C234" s="56" t="s">
        <v>452</v>
      </c>
      <c r="D234" s="43">
        <v>13</v>
      </c>
      <c r="E234" s="43">
        <v>0</v>
      </c>
      <c r="F234" s="43">
        <v>13</v>
      </c>
      <c r="G234" s="43">
        <v>196</v>
      </c>
      <c r="H234" s="43">
        <v>0</v>
      </c>
      <c r="I234" s="43">
        <v>25</v>
      </c>
      <c r="J234" s="57" t="s">
        <v>604</v>
      </c>
      <c r="K234" s="57" t="s">
        <v>605</v>
      </c>
      <c r="L234" s="59">
        <v>45947</v>
      </c>
      <c r="M234" s="43">
        <v>0</v>
      </c>
      <c r="N234" s="43">
        <v>0</v>
      </c>
      <c r="O234" s="43">
        <v>0</v>
      </c>
      <c r="S234" s="43" t="b">
        <v>0</v>
      </c>
      <c r="T234" s="43">
        <v>0.01</v>
      </c>
      <c r="U234" s="55">
        <v>8.25</v>
      </c>
      <c r="V234" s="43">
        <v>0.01</v>
      </c>
      <c r="W234" s="43">
        <v>0</v>
      </c>
      <c r="X234" s="43">
        <v>1000</v>
      </c>
      <c r="Z234" s="43">
        <v>10</v>
      </c>
      <c r="AB234" s="55">
        <v>50</v>
      </c>
      <c r="AD234" s="43">
        <v>10</v>
      </c>
      <c r="AF234" s="43">
        <v>2000</v>
      </c>
      <c r="AG234" s="43">
        <v>2</v>
      </c>
      <c r="AH234" s="43">
        <v>8.5699996949999999</v>
      </c>
      <c r="AI234" s="43">
        <v>16</v>
      </c>
      <c r="AJ234" s="43">
        <v>0</v>
      </c>
      <c r="AK234" s="43">
        <v>0</v>
      </c>
      <c r="AM234" s="43" t="s">
        <v>2</v>
      </c>
      <c r="AO234" s="43">
        <v>50</v>
      </c>
      <c r="AW234" s="43" t="b">
        <v>0</v>
      </c>
      <c r="BM234" s="36" t="s">
        <v>1</v>
      </c>
      <c r="BN234" s="61">
        <v>13</v>
      </c>
      <c r="BO234" s="38">
        <f t="shared" si="30"/>
        <v>8.25</v>
      </c>
      <c r="BP234" s="61">
        <v>250</v>
      </c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3"/>
      <c r="CF234" s="47" t="s">
        <v>16</v>
      </c>
      <c r="CI234" s="43">
        <v>2.68</v>
      </c>
      <c r="CR234" s="43">
        <v>0</v>
      </c>
      <c r="CS234" s="70">
        <v>0</v>
      </c>
      <c r="CT234" s="70">
        <v>0</v>
      </c>
      <c r="CU234" s="43">
        <v>0</v>
      </c>
      <c r="CV234" s="70">
        <v>0</v>
      </c>
      <c r="CW234" s="70">
        <v>0</v>
      </c>
      <c r="CX234" s="70">
        <v>0</v>
      </c>
      <c r="CY234" s="70">
        <v>0</v>
      </c>
      <c r="CZ234" s="70">
        <v>0</v>
      </c>
      <c r="DA234" s="70">
        <v>0</v>
      </c>
      <c r="DB234" s="70">
        <v>0</v>
      </c>
      <c r="DD234" s="43">
        <v>0</v>
      </c>
      <c r="DI234" s="43" t="s">
        <v>0</v>
      </c>
    </row>
    <row r="235" spans="1:113" s="43" customFormat="1" ht="15.75" thickBot="1" x14ac:dyDescent="0.3">
      <c r="A235" s="43">
        <v>6092</v>
      </c>
      <c r="B235" s="43" t="s">
        <v>499</v>
      </c>
      <c r="C235" s="56" t="s">
        <v>452</v>
      </c>
      <c r="D235" s="43">
        <v>13</v>
      </c>
      <c r="E235" s="43">
        <v>0</v>
      </c>
      <c r="F235" s="43">
        <v>13</v>
      </c>
      <c r="G235" s="43">
        <v>197</v>
      </c>
      <c r="H235" s="43">
        <v>0</v>
      </c>
      <c r="I235" s="43">
        <v>25</v>
      </c>
      <c r="J235" s="57" t="s">
        <v>606</v>
      </c>
      <c r="K235" s="57" t="s">
        <v>607</v>
      </c>
      <c r="L235" s="59">
        <v>45947</v>
      </c>
      <c r="M235" s="43">
        <v>0</v>
      </c>
      <c r="N235" s="43">
        <v>0</v>
      </c>
      <c r="O235" s="43">
        <v>0</v>
      </c>
      <c r="S235" s="43" t="b">
        <v>0</v>
      </c>
      <c r="T235" s="43">
        <v>0.01</v>
      </c>
      <c r="U235" s="55">
        <v>8.25</v>
      </c>
      <c r="V235" s="43">
        <v>0.01</v>
      </c>
      <c r="W235" s="43">
        <v>0</v>
      </c>
      <c r="X235" s="43">
        <v>1000</v>
      </c>
      <c r="Z235" s="43">
        <v>10</v>
      </c>
      <c r="AB235" s="55">
        <v>50</v>
      </c>
      <c r="AD235" s="43">
        <v>10</v>
      </c>
      <c r="AF235" s="43">
        <v>2000</v>
      </c>
      <c r="AG235" s="43">
        <v>2</v>
      </c>
      <c r="AH235" s="43">
        <v>8.5699996949999999</v>
      </c>
      <c r="AI235" s="43">
        <v>16</v>
      </c>
      <c r="AJ235" s="43">
        <v>0</v>
      </c>
      <c r="AK235" s="43">
        <v>0</v>
      </c>
      <c r="AM235" s="43" t="s">
        <v>2</v>
      </c>
      <c r="AO235" s="43">
        <v>50</v>
      </c>
      <c r="AW235" s="43" t="b">
        <v>0</v>
      </c>
      <c r="BM235" s="36" t="s">
        <v>1</v>
      </c>
      <c r="BN235" s="61">
        <v>13</v>
      </c>
      <c r="BO235" s="38">
        <f t="shared" si="30"/>
        <v>8.25</v>
      </c>
      <c r="BP235" s="61">
        <v>250</v>
      </c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3"/>
      <c r="CF235" s="47" t="s">
        <v>16</v>
      </c>
      <c r="CI235" s="43">
        <v>2.68</v>
      </c>
      <c r="CR235" s="43">
        <v>0</v>
      </c>
      <c r="CS235" s="70">
        <v>0</v>
      </c>
      <c r="CT235" s="70">
        <v>0</v>
      </c>
      <c r="CU235" s="43">
        <v>0</v>
      </c>
      <c r="CV235" s="70">
        <v>0</v>
      </c>
      <c r="CW235" s="70">
        <v>0</v>
      </c>
      <c r="CX235" s="70">
        <v>0</v>
      </c>
      <c r="CY235" s="70">
        <v>0</v>
      </c>
      <c r="CZ235" s="70">
        <v>0</v>
      </c>
      <c r="DA235" s="70">
        <v>0</v>
      </c>
      <c r="DB235" s="70">
        <v>0</v>
      </c>
      <c r="DD235" s="43">
        <v>0</v>
      </c>
      <c r="DI235" s="43" t="s">
        <v>0</v>
      </c>
    </row>
    <row r="236" spans="1:113" s="43" customFormat="1" ht="15.75" thickBot="1" x14ac:dyDescent="0.3">
      <c r="A236" s="43">
        <v>6093</v>
      </c>
      <c r="B236" s="43" t="s">
        <v>499</v>
      </c>
      <c r="C236" s="56" t="s">
        <v>452</v>
      </c>
      <c r="D236" s="43">
        <v>13</v>
      </c>
      <c r="E236" s="43">
        <v>0</v>
      </c>
      <c r="F236" s="43">
        <v>13</v>
      </c>
      <c r="G236" s="43">
        <v>198</v>
      </c>
      <c r="H236" s="43">
        <v>0</v>
      </c>
      <c r="I236" s="43">
        <v>25</v>
      </c>
      <c r="J236" s="57" t="s">
        <v>608</v>
      </c>
      <c r="K236" s="57" t="s">
        <v>609</v>
      </c>
      <c r="L236" s="59">
        <v>45947</v>
      </c>
      <c r="M236" s="43">
        <v>0</v>
      </c>
      <c r="N236" s="43">
        <v>0</v>
      </c>
      <c r="O236" s="43">
        <v>0</v>
      </c>
      <c r="S236" s="43" t="b">
        <v>0</v>
      </c>
      <c r="T236" s="43">
        <v>0.01</v>
      </c>
      <c r="U236" s="55">
        <v>8.25</v>
      </c>
      <c r="V236" s="43">
        <v>0.01</v>
      </c>
      <c r="W236" s="43">
        <v>0</v>
      </c>
      <c r="X236" s="43">
        <v>1000</v>
      </c>
      <c r="Z236" s="43">
        <v>10</v>
      </c>
      <c r="AB236" s="55">
        <v>50</v>
      </c>
      <c r="AD236" s="43">
        <v>10</v>
      </c>
      <c r="AF236" s="43">
        <v>2000</v>
      </c>
      <c r="AG236" s="43">
        <v>2</v>
      </c>
      <c r="AH236" s="43">
        <v>8.5500001910000005</v>
      </c>
      <c r="AI236" s="43">
        <v>16</v>
      </c>
      <c r="AJ236" s="43">
        <v>0</v>
      </c>
      <c r="AK236" s="43">
        <v>0</v>
      </c>
      <c r="AM236" s="43" t="s">
        <v>2</v>
      </c>
      <c r="AO236" s="43">
        <v>50</v>
      </c>
      <c r="AW236" s="43" t="b">
        <v>0</v>
      </c>
      <c r="BM236" s="36" t="s">
        <v>1</v>
      </c>
      <c r="BN236" s="61">
        <v>13</v>
      </c>
      <c r="BO236" s="38">
        <f t="shared" si="30"/>
        <v>8.25</v>
      </c>
      <c r="BP236" s="61">
        <v>250</v>
      </c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3"/>
      <c r="CF236" s="47" t="s">
        <v>16</v>
      </c>
      <c r="CI236" s="43">
        <v>2.68</v>
      </c>
      <c r="CR236" s="43">
        <v>0</v>
      </c>
      <c r="CS236" s="70">
        <v>0</v>
      </c>
      <c r="CT236" s="70">
        <v>0</v>
      </c>
      <c r="CU236" s="43">
        <v>0</v>
      </c>
      <c r="CV236" s="70">
        <v>0</v>
      </c>
      <c r="CW236" s="70">
        <v>0</v>
      </c>
      <c r="CX236" s="70">
        <v>0</v>
      </c>
      <c r="CY236" s="70">
        <v>0</v>
      </c>
      <c r="CZ236" s="70">
        <v>0</v>
      </c>
      <c r="DA236" s="70">
        <v>0</v>
      </c>
      <c r="DB236" s="70">
        <v>0</v>
      </c>
      <c r="DD236" s="43">
        <v>0</v>
      </c>
      <c r="DI236" s="43" t="s">
        <v>0</v>
      </c>
    </row>
    <row r="237" spans="1:113" s="43" customFormat="1" ht="15.75" thickBot="1" x14ac:dyDescent="0.3">
      <c r="A237" s="43">
        <v>6094</v>
      </c>
      <c r="B237" s="43" t="s">
        <v>499</v>
      </c>
      <c r="C237" s="56" t="s">
        <v>452</v>
      </c>
      <c r="D237" s="43">
        <v>13</v>
      </c>
      <c r="E237" s="43">
        <v>0</v>
      </c>
      <c r="F237" s="43">
        <v>13</v>
      </c>
      <c r="G237" s="43">
        <v>199</v>
      </c>
      <c r="H237" s="43">
        <v>0</v>
      </c>
      <c r="I237" s="43">
        <v>25</v>
      </c>
      <c r="J237" s="57" t="s">
        <v>610</v>
      </c>
      <c r="K237" s="57" t="s">
        <v>611</v>
      </c>
      <c r="L237" s="59">
        <v>45947</v>
      </c>
      <c r="M237" s="43">
        <v>0</v>
      </c>
      <c r="N237" s="43">
        <v>0</v>
      </c>
      <c r="O237" s="43">
        <v>0</v>
      </c>
      <c r="S237" s="43" t="b">
        <v>0</v>
      </c>
      <c r="T237" s="43">
        <v>0.01</v>
      </c>
      <c r="U237" s="55">
        <v>8.25</v>
      </c>
      <c r="V237" s="43">
        <v>0.01</v>
      </c>
      <c r="W237" s="43">
        <v>0</v>
      </c>
      <c r="X237" s="43">
        <v>1000</v>
      </c>
      <c r="Z237" s="43">
        <v>10</v>
      </c>
      <c r="AB237" s="55">
        <v>50</v>
      </c>
      <c r="AD237" s="43">
        <v>10</v>
      </c>
      <c r="AF237" s="43">
        <v>2000</v>
      </c>
      <c r="AG237" s="43">
        <v>2</v>
      </c>
      <c r="AH237" s="43">
        <v>8.5500001910000005</v>
      </c>
      <c r="AI237" s="43">
        <v>16</v>
      </c>
      <c r="AJ237" s="43">
        <v>0</v>
      </c>
      <c r="AK237" s="43">
        <v>0</v>
      </c>
      <c r="AM237" s="43" t="s">
        <v>2</v>
      </c>
      <c r="AO237" s="43">
        <v>50</v>
      </c>
      <c r="AW237" s="43" t="b">
        <v>0</v>
      </c>
      <c r="BM237" s="36" t="s">
        <v>1</v>
      </c>
      <c r="BN237" s="61">
        <v>13</v>
      </c>
      <c r="BO237" s="38">
        <f t="shared" si="30"/>
        <v>8.25</v>
      </c>
      <c r="BP237" s="61">
        <v>250</v>
      </c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3"/>
      <c r="CF237" s="47" t="s">
        <v>16</v>
      </c>
      <c r="CI237" s="43">
        <v>2.68</v>
      </c>
      <c r="CR237" s="43">
        <v>0</v>
      </c>
      <c r="CS237" s="70">
        <v>0</v>
      </c>
      <c r="CT237" s="70">
        <v>0</v>
      </c>
      <c r="CU237" s="43">
        <v>0</v>
      </c>
      <c r="CV237" s="70">
        <v>0</v>
      </c>
      <c r="CW237" s="70">
        <v>0</v>
      </c>
      <c r="CX237" s="70">
        <v>0</v>
      </c>
      <c r="CY237" s="70">
        <v>0</v>
      </c>
      <c r="CZ237" s="70">
        <v>0</v>
      </c>
      <c r="DA237" s="70">
        <v>0</v>
      </c>
      <c r="DB237" s="70">
        <v>0</v>
      </c>
      <c r="DD237" s="43">
        <v>0</v>
      </c>
      <c r="DI237" s="43" t="s">
        <v>0</v>
      </c>
    </row>
    <row r="238" spans="1:113" s="43" customFormat="1" ht="15.75" thickBot="1" x14ac:dyDescent="0.3">
      <c r="A238" s="43">
        <v>6096</v>
      </c>
      <c r="B238" s="43" t="s">
        <v>499</v>
      </c>
      <c r="C238" s="56" t="s">
        <v>452</v>
      </c>
      <c r="D238" s="43">
        <v>13</v>
      </c>
      <c r="E238" s="43">
        <v>0</v>
      </c>
      <c r="F238" s="43">
        <v>13</v>
      </c>
      <c r="G238" s="43">
        <v>201</v>
      </c>
      <c r="H238" s="43">
        <v>0</v>
      </c>
      <c r="I238" s="43">
        <v>25</v>
      </c>
      <c r="J238" s="57" t="s">
        <v>612</v>
      </c>
      <c r="K238" s="57" t="s">
        <v>613</v>
      </c>
      <c r="L238" s="59">
        <v>45947</v>
      </c>
      <c r="M238" s="43">
        <v>0</v>
      </c>
      <c r="N238" s="43">
        <v>0</v>
      </c>
      <c r="O238" s="43">
        <v>0</v>
      </c>
      <c r="S238" s="43" t="b">
        <v>0</v>
      </c>
      <c r="T238" s="43">
        <v>0.01</v>
      </c>
      <c r="U238" s="55">
        <v>8.25</v>
      </c>
      <c r="V238" s="43">
        <v>0.01</v>
      </c>
      <c r="W238" s="43">
        <v>0</v>
      </c>
      <c r="X238" s="43">
        <v>1000</v>
      </c>
      <c r="Z238" s="43">
        <v>10</v>
      </c>
      <c r="AB238" s="55">
        <v>50</v>
      </c>
      <c r="AD238" s="43">
        <v>10</v>
      </c>
      <c r="AF238" s="43">
        <v>2000</v>
      </c>
      <c r="AG238" s="43">
        <v>2</v>
      </c>
      <c r="AH238" s="43">
        <v>8.5299997330000004</v>
      </c>
      <c r="AI238" s="43">
        <v>16</v>
      </c>
      <c r="AJ238" s="43">
        <v>0</v>
      </c>
      <c r="AK238" s="43">
        <v>0</v>
      </c>
      <c r="AM238" s="43" t="s">
        <v>2</v>
      </c>
      <c r="AO238" s="43">
        <v>50</v>
      </c>
      <c r="AW238" s="43" t="b">
        <v>0</v>
      </c>
      <c r="BM238" s="36" t="s">
        <v>1</v>
      </c>
      <c r="BN238" s="61">
        <v>13</v>
      </c>
      <c r="BO238" s="38">
        <f t="shared" si="30"/>
        <v>8.25</v>
      </c>
      <c r="BP238" s="61">
        <v>250</v>
      </c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3"/>
      <c r="CF238" s="47" t="s">
        <v>16</v>
      </c>
      <c r="CI238" s="43">
        <v>2.68</v>
      </c>
      <c r="CR238" s="43">
        <v>0</v>
      </c>
      <c r="CS238" s="70">
        <v>0</v>
      </c>
      <c r="CT238" s="70">
        <v>0</v>
      </c>
      <c r="CU238" s="43">
        <v>0</v>
      </c>
      <c r="CV238" s="70">
        <v>0</v>
      </c>
      <c r="CW238" s="70">
        <v>0</v>
      </c>
      <c r="CX238" s="70">
        <v>0</v>
      </c>
      <c r="CY238" s="70">
        <v>0</v>
      </c>
      <c r="CZ238" s="70">
        <v>0</v>
      </c>
      <c r="DA238" s="70">
        <v>0</v>
      </c>
      <c r="DB238" s="70">
        <v>0</v>
      </c>
      <c r="DD238" s="43">
        <v>0</v>
      </c>
      <c r="DI238" s="43" t="s">
        <v>0</v>
      </c>
    </row>
    <row r="239" spans="1:113" s="43" customFormat="1" ht="15.75" thickBot="1" x14ac:dyDescent="0.3">
      <c r="A239" s="43">
        <v>6097</v>
      </c>
      <c r="B239" s="43" t="s">
        <v>499</v>
      </c>
      <c r="C239" s="56" t="s">
        <v>452</v>
      </c>
      <c r="D239" s="43">
        <v>13</v>
      </c>
      <c r="E239" s="43">
        <v>0</v>
      </c>
      <c r="F239" s="43">
        <v>13</v>
      </c>
      <c r="G239" s="43">
        <v>202</v>
      </c>
      <c r="H239" s="43">
        <v>0</v>
      </c>
      <c r="I239" s="43">
        <v>25</v>
      </c>
      <c r="J239" s="57" t="s">
        <v>614</v>
      </c>
      <c r="K239" s="57" t="s">
        <v>615</v>
      </c>
      <c r="L239" s="59">
        <v>45947</v>
      </c>
      <c r="M239" s="43">
        <v>0</v>
      </c>
      <c r="N239" s="43">
        <v>0</v>
      </c>
      <c r="O239" s="43">
        <v>0</v>
      </c>
      <c r="S239" s="43" t="b">
        <v>0</v>
      </c>
      <c r="T239" s="43">
        <v>0.01</v>
      </c>
      <c r="U239" s="55">
        <v>8.25</v>
      </c>
      <c r="V239" s="43">
        <v>0.01</v>
      </c>
      <c r="W239" s="43">
        <v>0</v>
      </c>
      <c r="X239" s="43">
        <v>1000</v>
      </c>
      <c r="Z239" s="43">
        <v>10</v>
      </c>
      <c r="AB239" s="55">
        <v>50</v>
      </c>
      <c r="AD239" s="43">
        <v>10</v>
      </c>
      <c r="AF239" s="43">
        <v>2000</v>
      </c>
      <c r="AG239" s="43">
        <v>2</v>
      </c>
      <c r="AH239" s="43">
        <v>8.5600004199999997</v>
      </c>
      <c r="AI239" s="43">
        <v>16</v>
      </c>
      <c r="AJ239" s="43">
        <v>0</v>
      </c>
      <c r="AK239" s="43">
        <v>0</v>
      </c>
      <c r="AM239" s="43" t="s">
        <v>2</v>
      </c>
      <c r="AO239" s="43">
        <v>50</v>
      </c>
      <c r="AW239" s="43" t="b">
        <v>0</v>
      </c>
      <c r="BM239" s="36" t="s">
        <v>1</v>
      </c>
      <c r="BN239" s="61">
        <v>13</v>
      </c>
      <c r="BO239" s="38">
        <f t="shared" si="30"/>
        <v>8.25</v>
      </c>
      <c r="BP239" s="61">
        <v>250</v>
      </c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3"/>
      <c r="CF239" s="47" t="s">
        <v>16</v>
      </c>
      <c r="CI239" s="43">
        <v>2.68</v>
      </c>
      <c r="CR239" s="43">
        <v>0</v>
      </c>
      <c r="CS239" s="70">
        <v>0</v>
      </c>
      <c r="CT239" s="70">
        <v>0</v>
      </c>
      <c r="CU239" s="43">
        <v>0</v>
      </c>
      <c r="CV239" s="70">
        <v>0</v>
      </c>
      <c r="CW239" s="70">
        <v>0</v>
      </c>
      <c r="CX239" s="70">
        <v>0</v>
      </c>
      <c r="CY239" s="70">
        <v>0</v>
      </c>
      <c r="CZ239" s="70">
        <v>0</v>
      </c>
      <c r="DA239" s="70">
        <v>0</v>
      </c>
      <c r="DB239" s="70">
        <v>0</v>
      </c>
      <c r="DD239" s="43">
        <v>0</v>
      </c>
      <c r="DI239" s="43" t="s">
        <v>0</v>
      </c>
    </row>
    <row r="240" spans="1:113" s="43" customFormat="1" ht="15.75" thickBot="1" x14ac:dyDescent="0.3">
      <c r="A240" s="43">
        <v>6098</v>
      </c>
      <c r="B240" s="43" t="s">
        <v>499</v>
      </c>
      <c r="C240" s="56" t="s">
        <v>452</v>
      </c>
      <c r="D240" s="43">
        <v>13</v>
      </c>
      <c r="E240" s="43">
        <v>0</v>
      </c>
      <c r="F240" s="43">
        <v>13</v>
      </c>
      <c r="G240" s="43">
        <v>203</v>
      </c>
      <c r="H240" s="43">
        <v>0</v>
      </c>
      <c r="I240" s="43">
        <v>25</v>
      </c>
      <c r="J240" s="57" t="s">
        <v>616</v>
      </c>
      <c r="K240" s="57" t="s">
        <v>617</v>
      </c>
      <c r="L240" s="59">
        <v>45947</v>
      </c>
      <c r="M240" s="43">
        <v>0</v>
      </c>
      <c r="N240" s="43">
        <v>0</v>
      </c>
      <c r="O240" s="43">
        <v>0</v>
      </c>
      <c r="S240" s="43" t="b">
        <v>0</v>
      </c>
      <c r="T240" s="43">
        <v>0.01</v>
      </c>
      <c r="U240" s="55">
        <v>8.25</v>
      </c>
      <c r="V240" s="43">
        <v>0.01</v>
      </c>
      <c r="W240" s="43">
        <v>0</v>
      </c>
      <c r="X240" s="43">
        <v>1000</v>
      </c>
      <c r="Z240" s="43">
        <v>10</v>
      </c>
      <c r="AB240" s="55">
        <v>50</v>
      </c>
      <c r="AD240" s="43">
        <v>10</v>
      </c>
      <c r="AF240" s="43">
        <v>2000</v>
      </c>
      <c r="AG240" s="43">
        <v>2</v>
      </c>
      <c r="AH240" s="43">
        <v>8.5100002289999992</v>
      </c>
      <c r="AI240" s="43">
        <v>16</v>
      </c>
      <c r="AJ240" s="43">
        <v>0</v>
      </c>
      <c r="AK240" s="43">
        <v>0</v>
      </c>
      <c r="AM240" s="43" t="s">
        <v>2</v>
      </c>
      <c r="AO240" s="43">
        <v>50</v>
      </c>
      <c r="AW240" s="43" t="b">
        <v>0</v>
      </c>
      <c r="BM240" s="36" t="s">
        <v>1</v>
      </c>
      <c r="BN240" s="61">
        <v>13</v>
      </c>
      <c r="BO240" s="38">
        <f t="shared" si="30"/>
        <v>8.25</v>
      </c>
      <c r="BP240" s="61">
        <v>250</v>
      </c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3"/>
      <c r="CF240" s="47" t="s">
        <v>16</v>
      </c>
      <c r="CI240" s="43">
        <v>2.68</v>
      </c>
      <c r="CR240" s="43">
        <v>0</v>
      </c>
      <c r="CS240" s="70">
        <v>0</v>
      </c>
      <c r="CT240" s="70">
        <v>0</v>
      </c>
      <c r="CU240" s="43">
        <v>0</v>
      </c>
      <c r="CV240" s="70">
        <v>0</v>
      </c>
      <c r="CW240" s="70">
        <v>0</v>
      </c>
      <c r="CX240" s="70">
        <v>0</v>
      </c>
      <c r="CY240" s="70">
        <v>0</v>
      </c>
      <c r="CZ240" s="70">
        <v>0</v>
      </c>
      <c r="DA240" s="70">
        <v>0</v>
      </c>
      <c r="DB240" s="70">
        <v>0</v>
      </c>
      <c r="DD240" s="43">
        <v>0</v>
      </c>
      <c r="DI240" s="43" t="s">
        <v>0</v>
      </c>
    </row>
    <row r="241" spans="1:113" s="43" customFormat="1" ht="15.75" thickBot="1" x14ac:dyDescent="0.3">
      <c r="A241" s="43">
        <v>6099</v>
      </c>
      <c r="B241" s="43" t="s">
        <v>499</v>
      </c>
      <c r="C241" s="56" t="s">
        <v>452</v>
      </c>
      <c r="D241" s="43">
        <v>13</v>
      </c>
      <c r="E241" s="43">
        <v>0</v>
      </c>
      <c r="F241" s="43">
        <v>13</v>
      </c>
      <c r="G241" s="43">
        <v>204</v>
      </c>
      <c r="H241" s="43">
        <v>0</v>
      </c>
      <c r="I241" s="43">
        <v>25</v>
      </c>
      <c r="J241" s="57" t="s">
        <v>618</v>
      </c>
      <c r="K241" s="57" t="s">
        <v>619</v>
      </c>
      <c r="L241" s="59">
        <v>45947</v>
      </c>
      <c r="M241" s="43">
        <v>0</v>
      </c>
      <c r="N241" s="43">
        <v>0</v>
      </c>
      <c r="O241" s="43">
        <v>0</v>
      </c>
      <c r="S241" s="43" t="b">
        <v>0</v>
      </c>
      <c r="T241" s="43">
        <v>0.01</v>
      </c>
      <c r="U241" s="55">
        <v>8.25</v>
      </c>
      <c r="V241" s="43">
        <v>0.01</v>
      </c>
      <c r="W241" s="43">
        <v>0</v>
      </c>
      <c r="X241" s="43">
        <v>1000</v>
      </c>
      <c r="Z241" s="43">
        <v>10</v>
      </c>
      <c r="AB241" s="55">
        <v>50</v>
      </c>
      <c r="AD241" s="43">
        <v>10</v>
      </c>
      <c r="AF241" s="43">
        <v>2000</v>
      </c>
      <c r="AG241" s="43">
        <v>2</v>
      </c>
      <c r="AH241" s="43">
        <v>8.5100002289999992</v>
      </c>
      <c r="AI241" s="43">
        <v>16</v>
      </c>
      <c r="AJ241" s="43">
        <v>0</v>
      </c>
      <c r="AK241" s="43">
        <v>0</v>
      </c>
      <c r="AM241" s="43" t="s">
        <v>2</v>
      </c>
      <c r="AO241" s="43">
        <v>50</v>
      </c>
      <c r="AW241" s="43" t="b">
        <v>0</v>
      </c>
      <c r="BM241" s="36" t="s">
        <v>1</v>
      </c>
      <c r="BN241" s="61">
        <v>13</v>
      </c>
      <c r="BO241" s="38">
        <f t="shared" si="30"/>
        <v>8.25</v>
      </c>
      <c r="BP241" s="61">
        <v>250</v>
      </c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3"/>
      <c r="CF241" s="47" t="s">
        <v>16</v>
      </c>
      <c r="CI241" s="43">
        <v>2.68</v>
      </c>
      <c r="CR241" s="43">
        <v>0</v>
      </c>
      <c r="CS241" s="70">
        <v>0</v>
      </c>
      <c r="CT241" s="70">
        <v>0</v>
      </c>
      <c r="CU241" s="43">
        <v>0</v>
      </c>
      <c r="CV241" s="70">
        <v>0</v>
      </c>
      <c r="CW241" s="70">
        <v>0</v>
      </c>
      <c r="CX241" s="70">
        <v>0</v>
      </c>
      <c r="CY241" s="70">
        <v>0</v>
      </c>
      <c r="CZ241" s="70">
        <v>0</v>
      </c>
      <c r="DA241" s="70">
        <v>0</v>
      </c>
      <c r="DB241" s="70">
        <v>0</v>
      </c>
      <c r="DD241" s="43">
        <v>0</v>
      </c>
      <c r="DI241" s="43" t="s">
        <v>0</v>
      </c>
    </row>
    <row r="242" spans="1:113" s="43" customFormat="1" ht="15.75" thickBot="1" x14ac:dyDescent="0.3">
      <c r="A242" s="43">
        <v>6155</v>
      </c>
      <c r="B242" s="43" t="s">
        <v>499</v>
      </c>
      <c r="C242" s="56" t="s">
        <v>452</v>
      </c>
      <c r="D242" s="43">
        <v>13</v>
      </c>
      <c r="E242" s="43">
        <v>0</v>
      </c>
      <c r="F242" s="43">
        <v>13</v>
      </c>
      <c r="G242" s="43">
        <v>260</v>
      </c>
      <c r="H242" s="43">
        <v>0</v>
      </c>
      <c r="I242" s="43">
        <v>25</v>
      </c>
      <c r="J242" s="57" t="s">
        <v>620</v>
      </c>
      <c r="K242" s="57" t="s">
        <v>621</v>
      </c>
      <c r="L242" s="59">
        <v>45947</v>
      </c>
      <c r="M242" s="43">
        <v>0</v>
      </c>
      <c r="N242" s="43">
        <v>0</v>
      </c>
      <c r="O242" s="43">
        <v>0</v>
      </c>
      <c r="S242" s="43" t="b">
        <v>0</v>
      </c>
      <c r="T242" s="43">
        <v>0.01</v>
      </c>
      <c r="U242" s="55">
        <v>8.25</v>
      </c>
      <c r="V242" s="43">
        <v>0.01</v>
      </c>
      <c r="W242" s="43">
        <v>0</v>
      </c>
      <c r="X242" s="43">
        <v>1000</v>
      </c>
      <c r="Z242" s="43">
        <v>10</v>
      </c>
      <c r="AB242" s="55">
        <v>50</v>
      </c>
      <c r="AD242" s="43">
        <v>10</v>
      </c>
      <c r="AF242" s="43">
        <v>2000</v>
      </c>
      <c r="AG242" s="43">
        <v>2</v>
      </c>
      <c r="AH242" s="43">
        <v>8.5100002289999992</v>
      </c>
      <c r="AI242" s="43">
        <v>16</v>
      </c>
      <c r="AJ242" s="43">
        <v>0</v>
      </c>
      <c r="AK242" s="43">
        <v>0</v>
      </c>
      <c r="AM242" s="43" t="s">
        <v>2</v>
      </c>
      <c r="AO242" s="43">
        <v>50</v>
      </c>
      <c r="AW242" s="43" t="b">
        <v>0</v>
      </c>
      <c r="BM242" s="36" t="s">
        <v>1</v>
      </c>
      <c r="BN242" s="61">
        <v>13</v>
      </c>
      <c r="BO242" s="38">
        <f t="shared" si="30"/>
        <v>8.25</v>
      </c>
      <c r="BP242" s="61">
        <v>250</v>
      </c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3"/>
      <c r="CF242" s="47" t="s">
        <v>16</v>
      </c>
      <c r="CI242" s="43">
        <v>2.68</v>
      </c>
      <c r="CR242" s="43">
        <v>0</v>
      </c>
      <c r="CS242" s="70">
        <v>0</v>
      </c>
      <c r="CT242" s="70">
        <v>0</v>
      </c>
      <c r="CU242" s="43">
        <v>0</v>
      </c>
      <c r="CV242" s="70">
        <v>0</v>
      </c>
      <c r="CW242" s="70">
        <v>0</v>
      </c>
      <c r="CX242" s="70">
        <v>0</v>
      </c>
      <c r="CY242" s="70">
        <v>0</v>
      </c>
      <c r="CZ242" s="70">
        <v>0</v>
      </c>
      <c r="DA242" s="70">
        <v>0</v>
      </c>
      <c r="DB242" s="70">
        <v>0</v>
      </c>
      <c r="DD242" s="43">
        <v>0</v>
      </c>
      <c r="DI242" s="43" t="s">
        <v>0</v>
      </c>
    </row>
    <row r="243" spans="1:113" s="43" customFormat="1" ht="15.75" thickBot="1" x14ac:dyDescent="0.3">
      <c r="A243" s="43">
        <v>6156</v>
      </c>
      <c r="B243" s="43" t="s">
        <v>499</v>
      </c>
      <c r="C243" s="56" t="s">
        <v>452</v>
      </c>
      <c r="D243" s="43">
        <v>13</v>
      </c>
      <c r="E243" s="43">
        <v>0</v>
      </c>
      <c r="F243" s="43">
        <v>13</v>
      </c>
      <c r="G243" s="43">
        <v>261</v>
      </c>
      <c r="H243" s="43">
        <v>0</v>
      </c>
      <c r="I243" s="43">
        <v>25</v>
      </c>
      <c r="J243" s="57" t="s">
        <v>622</v>
      </c>
      <c r="K243" s="57" t="s">
        <v>623</v>
      </c>
      <c r="L243" s="59">
        <v>45947</v>
      </c>
      <c r="M243" s="43">
        <v>0</v>
      </c>
      <c r="N243" s="43">
        <v>0</v>
      </c>
      <c r="O243" s="43">
        <v>0</v>
      </c>
      <c r="S243" s="43" t="b">
        <v>0</v>
      </c>
      <c r="T243" s="43">
        <v>0.01</v>
      </c>
      <c r="U243" s="55">
        <v>8.25</v>
      </c>
      <c r="V243" s="43">
        <v>0.01</v>
      </c>
      <c r="W243" s="43">
        <v>0</v>
      </c>
      <c r="X243" s="43">
        <v>1000</v>
      </c>
      <c r="Z243" s="43">
        <v>10</v>
      </c>
      <c r="AB243" s="55">
        <v>50</v>
      </c>
      <c r="AD243" s="43">
        <v>10</v>
      </c>
      <c r="AF243" s="43">
        <v>2000</v>
      </c>
      <c r="AG243" s="43">
        <v>2</v>
      </c>
      <c r="AH243" s="43">
        <v>8.5399999619999996</v>
      </c>
      <c r="AI243" s="43">
        <v>16</v>
      </c>
      <c r="AJ243" s="43">
        <v>0</v>
      </c>
      <c r="AK243" s="43">
        <v>0</v>
      </c>
      <c r="AM243" s="43" t="s">
        <v>2</v>
      </c>
      <c r="AO243" s="43">
        <v>50</v>
      </c>
      <c r="AW243" s="43" t="b">
        <v>0</v>
      </c>
      <c r="BM243" s="36" t="s">
        <v>1</v>
      </c>
      <c r="BN243" s="61">
        <v>13</v>
      </c>
      <c r="BO243" s="38">
        <f t="shared" si="30"/>
        <v>8.25</v>
      </c>
      <c r="BP243" s="61">
        <v>250</v>
      </c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3"/>
      <c r="CF243" s="47" t="s">
        <v>16</v>
      </c>
      <c r="CI243" s="43">
        <v>2.68</v>
      </c>
      <c r="CR243" s="43">
        <v>0</v>
      </c>
      <c r="CS243" s="70">
        <v>0</v>
      </c>
      <c r="CT243" s="70">
        <v>0</v>
      </c>
      <c r="CU243" s="43">
        <v>0</v>
      </c>
      <c r="CV243" s="70">
        <v>0</v>
      </c>
      <c r="CW243" s="70">
        <v>0</v>
      </c>
      <c r="CX243" s="70">
        <v>0</v>
      </c>
      <c r="CY243" s="70">
        <v>0</v>
      </c>
      <c r="CZ243" s="70">
        <v>0</v>
      </c>
      <c r="DA243" s="70">
        <v>0</v>
      </c>
      <c r="DB243" s="70">
        <v>0</v>
      </c>
      <c r="DD243" s="43">
        <v>0</v>
      </c>
      <c r="DI243" s="43" t="s">
        <v>0</v>
      </c>
    </row>
    <row r="244" spans="1:113" s="43" customFormat="1" ht="15.75" thickBot="1" x14ac:dyDescent="0.3">
      <c r="A244" s="43">
        <v>6157</v>
      </c>
      <c r="B244" s="43" t="s">
        <v>499</v>
      </c>
      <c r="C244" s="56" t="s">
        <v>452</v>
      </c>
      <c r="D244" s="43">
        <v>13</v>
      </c>
      <c r="E244" s="43">
        <v>0</v>
      </c>
      <c r="F244" s="43">
        <v>13</v>
      </c>
      <c r="G244" s="43">
        <v>262</v>
      </c>
      <c r="H244" s="43">
        <v>0</v>
      </c>
      <c r="I244" s="43">
        <v>25</v>
      </c>
      <c r="J244" s="57" t="s">
        <v>624</v>
      </c>
      <c r="K244" s="57" t="s">
        <v>625</v>
      </c>
      <c r="L244" s="59">
        <v>45947</v>
      </c>
      <c r="M244" s="43">
        <v>0</v>
      </c>
      <c r="N244" s="43">
        <v>0</v>
      </c>
      <c r="O244" s="43">
        <v>0</v>
      </c>
      <c r="S244" s="43" t="b">
        <v>0</v>
      </c>
      <c r="T244" s="43">
        <v>0.01</v>
      </c>
      <c r="U244" s="55">
        <v>8.25</v>
      </c>
      <c r="V244" s="43">
        <v>0.01</v>
      </c>
      <c r="W244" s="43">
        <v>0</v>
      </c>
      <c r="X244" s="43">
        <v>1000</v>
      </c>
      <c r="Z244" s="43">
        <v>10</v>
      </c>
      <c r="AB244" s="55">
        <v>50</v>
      </c>
      <c r="AD244" s="43">
        <v>10</v>
      </c>
      <c r="AF244" s="43">
        <v>2000</v>
      </c>
      <c r="AG244" s="43">
        <v>2</v>
      </c>
      <c r="AH244" s="43">
        <v>8.5200004580000002</v>
      </c>
      <c r="AI244" s="43">
        <v>16</v>
      </c>
      <c r="AJ244" s="43">
        <v>0</v>
      </c>
      <c r="AK244" s="43">
        <v>0</v>
      </c>
      <c r="AM244" s="43" t="s">
        <v>2</v>
      </c>
      <c r="AO244" s="43">
        <v>50</v>
      </c>
      <c r="AW244" s="43" t="b">
        <v>0</v>
      </c>
      <c r="BM244" s="36" t="s">
        <v>1</v>
      </c>
      <c r="BN244" s="61">
        <v>13</v>
      </c>
      <c r="BO244" s="38">
        <f t="shared" si="30"/>
        <v>8.25</v>
      </c>
      <c r="BP244" s="61">
        <v>250</v>
      </c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3"/>
      <c r="CF244" s="47" t="s">
        <v>16</v>
      </c>
      <c r="CI244" s="43">
        <v>2.68</v>
      </c>
      <c r="CR244" s="43">
        <v>0</v>
      </c>
      <c r="CS244" s="70">
        <v>0</v>
      </c>
      <c r="CT244" s="70">
        <v>0</v>
      </c>
      <c r="CU244" s="43">
        <v>0</v>
      </c>
      <c r="CV244" s="70">
        <v>0</v>
      </c>
      <c r="CW244" s="70">
        <v>0</v>
      </c>
      <c r="CX244" s="70">
        <v>0</v>
      </c>
      <c r="CY244" s="70">
        <v>0</v>
      </c>
      <c r="CZ244" s="70">
        <v>0</v>
      </c>
      <c r="DA244" s="70">
        <v>0</v>
      </c>
      <c r="DB244" s="70">
        <v>0</v>
      </c>
      <c r="DD244" s="43">
        <v>0</v>
      </c>
      <c r="DI244" s="43" t="s">
        <v>0</v>
      </c>
    </row>
    <row r="245" spans="1:113" s="43" customFormat="1" ht="15.75" thickBot="1" x14ac:dyDescent="0.3">
      <c r="A245" s="43">
        <v>6158</v>
      </c>
      <c r="B245" s="43" t="s">
        <v>499</v>
      </c>
      <c r="C245" s="56" t="s">
        <v>452</v>
      </c>
      <c r="D245" s="43">
        <v>13</v>
      </c>
      <c r="E245" s="43">
        <v>0</v>
      </c>
      <c r="F245" s="43">
        <v>13</v>
      </c>
      <c r="G245" s="43">
        <v>263</v>
      </c>
      <c r="H245" s="43">
        <v>0</v>
      </c>
      <c r="I245" s="43">
        <v>25</v>
      </c>
      <c r="J245" s="57" t="s">
        <v>626</v>
      </c>
      <c r="K245" s="57" t="s">
        <v>627</v>
      </c>
      <c r="L245" s="59">
        <v>45947</v>
      </c>
      <c r="M245" s="43">
        <v>0</v>
      </c>
      <c r="N245" s="43">
        <v>0</v>
      </c>
      <c r="O245" s="43">
        <v>0</v>
      </c>
      <c r="S245" s="43" t="b">
        <v>0</v>
      </c>
      <c r="T245" s="43">
        <v>0.01</v>
      </c>
      <c r="U245" s="55">
        <v>8.25</v>
      </c>
      <c r="V245" s="43">
        <v>0.01</v>
      </c>
      <c r="W245" s="43">
        <v>0</v>
      </c>
      <c r="X245" s="43">
        <v>1000</v>
      </c>
      <c r="Z245" s="43">
        <v>10</v>
      </c>
      <c r="AB245" s="55">
        <v>50</v>
      </c>
      <c r="AD245" s="43">
        <v>10</v>
      </c>
      <c r="AF245" s="43">
        <v>2000</v>
      </c>
      <c r="AG245" s="43">
        <v>2</v>
      </c>
      <c r="AH245" s="43">
        <v>8.5299997330000004</v>
      </c>
      <c r="AI245" s="43">
        <v>16</v>
      </c>
      <c r="AJ245" s="43">
        <v>0</v>
      </c>
      <c r="AK245" s="43">
        <v>0</v>
      </c>
      <c r="AM245" s="43" t="s">
        <v>2</v>
      </c>
      <c r="AO245" s="43">
        <v>50</v>
      </c>
      <c r="AW245" s="43" t="b">
        <v>0</v>
      </c>
      <c r="BM245" s="36" t="s">
        <v>1</v>
      </c>
      <c r="BN245" s="61">
        <v>13</v>
      </c>
      <c r="BO245" s="38">
        <f t="shared" si="30"/>
        <v>8.25</v>
      </c>
      <c r="BP245" s="61">
        <v>250</v>
      </c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3"/>
      <c r="CF245" s="47" t="s">
        <v>16</v>
      </c>
      <c r="CI245" s="43">
        <v>2.68</v>
      </c>
      <c r="CR245" s="43">
        <v>0</v>
      </c>
      <c r="CS245" s="70">
        <v>0</v>
      </c>
      <c r="CT245" s="70">
        <v>0</v>
      </c>
      <c r="CU245" s="43">
        <v>0</v>
      </c>
      <c r="CV245" s="70">
        <v>0</v>
      </c>
      <c r="CW245" s="70">
        <v>0</v>
      </c>
      <c r="CX245" s="70">
        <v>0</v>
      </c>
      <c r="CY245" s="70">
        <v>0</v>
      </c>
      <c r="CZ245" s="70">
        <v>0</v>
      </c>
      <c r="DA245" s="70">
        <v>0</v>
      </c>
      <c r="DB245" s="70">
        <v>0</v>
      </c>
      <c r="DD245" s="43">
        <v>0</v>
      </c>
      <c r="DI245" s="43" t="s">
        <v>0</v>
      </c>
    </row>
    <row r="246" spans="1:113" s="43" customFormat="1" ht="15.75" thickBot="1" x14ac:dyDescent="0.3">
      <c r="A246" s="43">
        <v>6160</v>
      </c>
      <c r="B246" s="43" t="s">
        <v>499</v>
      </c>
      <c r="C246" s="56" t="s">
        <v>452</v>
      </c>
      <c r="D246" s="43">
        <v>13</v>
      </c>
      <c r="E246" s="43">
        <v>0</v>
      </c>
      <c r="F246" s="43">
        <v>13</v>
      </c>
      <c r="G246" s="43">
        <v>265</v>
      </c>
      <c r="H246" s="43">
        <v>0</v>
      </c>
      <c r="I246" s="43">
        <v>25</v>
      </c>
      <c r="J246" s="57" t="s">
        <v>628</v>
      </c>
      <c r="K246" s="57" t="s">
        <v>629</v>
      </c>
      <c r="L246" s="59">
        <v>45947</v>
      </c>
      <c r="M246" s="43">
        <v>0</v>
      </c>
      <c r="N246" s="43">
        <v>0</v>
      </c>
      <c r="O246" s="43">
        <v>0</v>
      </c>
      <c r="S246" s="43" t="b">
        <v>0</v>
      </c>
      <c r="T246" s="43">
        <v>0.01</v>
      </c>
      <c r="U246" s="55">
        <v>8.25</v>
      </c>
      <c r="V246" s="43">
        <v>0.01</v>
      </c>
      <c r="W246" s="43">
        <v>0</v>
      </c>
      <c r="X246" s="43">
        <v>1000</v>
      </c>
      <c r="Z246" s="43">
        <v>10</v>
      </c>
      <c r="AB246" s="55">
        <v>50</v>
      </c>
      <c r="AD246" s="43">
        <v>10</v>
      </c>
      <c r="AF246" s="43">
        <v>2000</v>
      </c>
      <c r="AG246" s="43">
        <v>2</v>
      </c>
      <c r="AH246" s="43">
        <v>8.5299997330000004</v>
      </c>
      <c r="AI246" s="43">
        <v>16</v>
      </c>
      <c r="AJ246" s="43">
        <v>0</v>
      </c>
      <c r="AK246" s="43">
        <v>0</v>
      </c>
      <c r="AM246" s="43" t="s">
        <v>2</v>
      </c>
      <c r="AO246" s="43">
        <v>50</v>
      </c>
      <c r="AW246" s="43" t="b">
        <v>0</v>
      </c>
      <c r="BM246" s="36" t="s">
        <v>1</v>
      </c>
      <c r="BN246" s="61">
        <v>13</v>
      </c>
      <c r="BO246" s="38">
        <f t="shared" si="30"/>
        <v>8.25</v>
      </c>
      <c r="BP246" s="61">
        <v>250</v>
      </c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3"/>
      <c r="CF246" s="47" t="s">
        <v>16</v>
      </c>
      <c r="CI246" s="43">
        <v>2.68</v>
      </c>
      <c r="CR246" s="43">
        <v>0</v>
      </c>
      <c r="CS246" s="70">
        <v>0</v>
      </c>
      <c r="CT246" s="70">
        <v>0</v>
      </c>
      <c r="CU246" s="43">
        <v>0</v>
      </c>
      <c r="CV246" s="70">
        <v>0</v>
      </c>
      <c r="CW246" s="70">
        <v>0</v>
      </c>
      <c r="CX246" s="70">
        <v>0</v>
      </c>
      <c r="CY246" s="70">
        <v>0</v>
      </c>
      <c r="CZ246" s="70">
        <v>0</v>
      </c>
      <c r="DA246" s="70">
        <v>0</v>
      </c>
      <c r="DB246" s="70">
        <v>0</v>
      </c>
      <c r="DD246" s="43">
        <v>0</v>
      </c>
      <c r="DI246" s="43" t="s">
        <v>0</v>
      </c>
    </row>
    <row r="247" spans="1:113" s="43" customFormat="1" ht="15.75" thickBot="1" x14ac:dyDescent="0.3">
      <c r="A247" s="43">
        <v>6161</v>
      </c>
      <c r="B247" s="43" t="s">
        <v>499</v>
      </c>
      <c r="C247" s="56" t="s">
        <v>452</v>
      </c>
      <c r="D247" s="43">
        <v>13</v>
      </c>
      <c r="E247" s="43">
        <v>0</v>
      </c>
      <c r="F247" s="43">
        <v>13</v>
      </c>
      <c r="G247" s="43">
        <v>266</v>
      </c>
      <c r="H247" s="43">
        <v>0</v>
      </c>
      <c r="I247" s="43">
        <v>25</v>
      </c>
      <c r="J247" s="57" t="s">
        <v>630</v>
      </c>
      <c r="K247" s="57" t="s">
        <v>631</v>
      </c>
      <c r="L247" s="59">
        <v>45947</v>
      </c>
      <c r="M247" s="43">
        <v>0</v>
      </c>
      <c r="N247" s="43">
        <v>0</v>
      </c>
      <c r="O247" s="43">
        <v>0</v>
      </c>
      <c r="S247" s="43" t="b">
        <v>0</v>
      </c>
      <c r="T247" s="43">
        <v>0.01</v>
      </c>
      <c r="U247" s="55">
        <v>8.25</v>
      </c>
      <c r="V247" s="43">
        <v>0.01</v>
      </c>
      <c r="W247" s="43">
        <v>0</v>
      </c>
      <c r="X247" s="43">
        <v>1000</v>
      </c>
      <c r="Z247" s="43">
        <v>10</v>
      </c>
      <c r="AB247" s="55">
        <v>50</v>
      </c>
      <c r="AD247" s="43">
        <v>10</v>
      </c>
      <c r="AF247" s="43">
        <v>2000</v>
      </c>
      <c r="AG247" s="43">
        <v>2</v>
      </c>
      <c r="AH247" s="43">
        <v>8.5500001910000005</v>
      </c>
      <c r="AI247" s="43">
        <v>16</v>
      </c>
      <c r="AJ247" s="43">
        <v>0</v>
      </c>
      <c r="AK247" s="43">
        <v>0</v>
      </c>
      <c r="AM247" s="43" t="s">
        <v>2</v>
      </c>
      <c r="AO247" s="43">
        <v>50</v>
      </c>
      <c r="AW247" s="43" t="b">
        <v>0</v>
      </c>
      <c r="BM247" s="36" t="s">
        <v>1</v>
      </c>
      <c r="BN247" s="61">
        <v>13</v>
      </c>
      <c r="BO247" s="38">
        <f t="shared" si="30"/>
        <v>8.25</v>
      </c>
      <c r="BP247" s="61">
        <v>250</v>
      </c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3"/>
      <c r="CF247" s="47" t="s">
        <v>16</v>
      </c>
      <c r="CI247" s="43">
        <v>2.68</v>
      </c>
      <c r="CR247" s="43">
        <v>0</v>
      </c>
      <c r="CS247" s="70">
        <v>0</v>
      </c>
      <c r="CT247" s="70">
        <v>0</v>
      </c>
      <c r="CU247" s="43">
        <v>0</v>
      </c>
      <c r="CV247" s="70">
        <v>0</v>
      </c>
      <c r="CW247" s="70">
        <v>0</v>
      </c>
      <c r="CX247" s="70">
        <v>0</v>
      </c>
      <c r="CY247" s="70">
        <v>0</v>
      </c>
      <c r="CZ247" s="70">
        <v>0</v>
      </c>
      <c r="DA247" s="70">
        <v>0</v>
      </c>
      <c r="DB247" s="70">
        <v>0</v>
      </c>
      <c r="DD247" s="43">
        <v>0</v>
      </c>
      <c r="DI247" s="43" t="s">
        <v>0</v>
      </c>
    </row>
    <row r="248" spans="1:113" s="43" customFormat="1" ht="15.75" thickBot="1" x14ac:dyDescent="0.3">
      <c r="A248" s="43">
        <v>6162</v>
      </c>
      <c r="B248" s="43" t="s">
        <v>499</v>
      </c>
      <c r="C248" s="56" t="s">
        <v>452</v>
      </c>
      <c r="D248" s="43">
        <v>13</v>
      </c>
      <c r="E248" s="43">
        <v>0</v>
      </c>
      <c r="F248" s="43">
        <v>13</v>
      </c>
      <c r="G248" s="43">
        <v>267</v>
      </c>
      <c r="H248" s="43">
        <v>0</v>
      </c>
      <c r="I248" s="43">
        <v>25</v>
      </c>
      <c r="J248" s="57" t="s">
        <v>632</v>
      </c>
      <c r="K248" s="57" t="s">
        <v>633</v>
      </c>
      <c r="L248" s="59">
        <v>45947</v>
      </c>
      <c r="M248" s="43">
        <v>0</v>
      </c>
      <c r="N248" s="43">
        <v>0</v>
      </c>
      <c r="O248" s="43">
        <v>0</v>
      </c>
      <c r="S248" s="43" t="b">
        <v>0</v>
      </c>
      <c r="T248" s="43">
        <v>0.01</v>
      </c>
      <c r="U248" s="55">
        <v>8.25</v>
      </c>
      <c r="V248" s="43">
        <v>0.01</v>
      </c>
      <c r="W248" s="43">
        <v>0</v>
      </c>
      <c r="X248" s="43">
        <v>1000</v>
      </c>
      <c r="Z248" s="43">
        <v>10</v>
      </c>
      <c r="AB248" s="55">
        <v>50</v>
      </c>
      <c r="AD248" s="43">
        <v>10</v>
      </c>
      <c r="AF248" s="43">
        <v>2000</v>
      </c>
      <c r="AG248" s="43">
        <v>2</v>
      </c>
      <c r="AH248" s="43">
        <v>8.5399999619999996</v>
      </c>
      <c r="AI248" s="43">
        <v>16</v>
      </c>
      <c r="AJ248" s="43">
        <v>0</v>
      </c>
      <c r="AK248" s="43">
        <v>0</v>
      </c>
      <c r="AM248" s="43" t="s">
        <v>2</v>
      </c>
      <c r="AO248" s="43">
        <v>50</v>
      </c>
      <c r="AW248" s="43" t="b">
        <v>0</v>
      </c>
      <c r="BM248" s="36" t="s">
        <v>1</v>
      </c>
      <c r="BN248" s="61">
        <v>13</v>
      </c>
      <c r="BO248" s="38">
        <f t="shared" si="30"/>
        <v>8.25</v>
      </c>
      <c r="BP248" s="61">
        <v>250</v>
      </c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3"/>
      <c r="CF248" s="47" t="s">
        <v>16</v>
      </c>
      <c r="CI248" s="43">
        <v>2.68</v>
      </c>
      <c r="CR248" s="43">
        <v>0</v>
      </c>
      <c r="CS248" s="70">
        <v>0</v>
      </c>
      <c r="CT248" s="70">
        <v>0</v>
      </c>
      <c r="CU248" s="43">
        <v>0</v>
      </c>
      <c r="CV248" s="70">
        <v>0</v>
      </c>
      <c r="CW248" s="70">
        <v>0</v>
      </c>
      <c r="CX248" s="70">
        <v>0</v>
      </c>
      <c r="CY248" s="70">
        <v>0</v>
      </c>
      <c r="CZ248" s="70">
        <v>0</v>
      </c>
      <c r="DA248" s="70">
        <v>0</v>
      </c>
      <c r="DB248" s="70">
        <v>0</v>
      </c>
      <c r="DD248" s="43">
        <v>0</v>
      </c>
      <c r="DI248" s="43" t="s">
        <v>0</v>
      </c>
    </row>
    <row r="249" spans="1:113" s="43" customFormat="1" ht="15.75" thickBot="1" x14ac:dyDescent="0.3">
      <c r="A249" s="43">
        <v>6163</v>
      </c>
      <c r="B249" s="43" t="s">
        <v>499</v>
      </c>
      <c r="C249" s="56" t="s">
        <v>452</v>
      </c>
      <c r="D249" s="43">
        <v>13</v>
      </c>
      <c r="E249" s="43">
        <v>0</v>
      </c>
      <c r="F249" s="43">
        <v>13</v>
      </c>
      <c r="G249" s="43">
        <v>268</v>
      </c>
      <c r="H249" s="43">
        <v>0</v>
      </c>
      <c r="I249" s="43">
        <v>25</v>
      </c>
      <c r="J249" s="57" t="s">
        <v>634</v>
      </c>
      <c r="K249" s="57" t="s">
        <v>635</v>
      </c>
      <c r="L249" s="59">
        <v>45947</v>
      </c>
      <c r="M249" s="43">
        <v>0</v>
      </c>
      <c r="N249" s="43">
        <v>0</v>
      </c>
      <c r="O249" s="43">
        <v>0</v>
      </c>
      <c r="S249" s="43" t="b">
        <v>0</v>
      </c>
      <c r="T249" s="43">
        <v>0.01</v>
      </c>
      <c r="U249" s="55">
        <v>8.25</v>
      </c>
      <c r="V249" s="43">
        <v>0.01</v>
      </c>
      <c r="W249" s="43">
        <v>0</v>
      </c>
      <c r="X249" s="43">
        <v>1000</v>
      </c>
      <c r="Z249" s="43">
        <v>10</v>
      </c>
      <c r="AB249" s="55">
        <v>50</v>
      </c>
      <c r="AD249" s="43">
        <v>10</v>
      </c>
      <c r="AF249" s="43">
        <v>2000</v>
      </c>
      <c r="AG249" s="43">
        <v>2</v>
      </c>
      <c r="AH249" s="43">
        <v>8.5200004580000002</v>
      </c>
      <c r="AI249" s="43">
        <v>16</v>
      </c>
      <c r="AJ249" s="43">
        <v>0</v>
      </c>
      <c r="AK249" s="43">
        <v>0</v>
      </c>
      <c r="AM249" s="43" t="s">
        <v>2</v>
      </c>
      <c r="AO249" s="43">
        <v>50</v>
      </c>
      <c r="AW249" s="43" t="b">
        <v>0</v>
      </c>
      <c r="BM249" s="36" t="s">
        <v>1</v>
      </c>
      <c r="BN249" s="61">
        <v>13</v>
      </c>
      <c r="BO249" s="38">
        <f t="shared" si="30"/>
        <v>8.25</v>
      </c>
      <c r="BP249" s="61">
        <v>250</v>
      </c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3"/>
      <c r="CF249" s="47" t="s">
        <v>16</v>
      </c>
      <c r="CI249" s="43">
        <v>2.68</v>
      </c>
      <c r="CR249" s="43">
        <v>0</v>
      </c>
      <c r="CS249" s="70">
        <v>0</v>
      </c>
      <c r="CT249" s="70">
        <v>0</v>
      </c>
      <c r="CU249" s="43">
        <v>0</v>
      </c>
      <c r="CV249" s="70">
        <v>0</v>
      </c>
      <c r="CW249" s="70">
        <v>0</v>
      </c>
      <c r="CX249" s="70">
        <v>0</v>
      </c>
      <c r="CY249" s="70">
        <v>0</v>
      </c>
      <c r="CZ249" s="70">
        <v>0</v>
      </c>
      <c r="DA249" s="70">
        <v>0</v>
      </c>
      <c r="DB249" s="70">
        <v>0</v>
      </c>
      <c r="DD249" s="43">
        <v>0</v>
      </c>
      <c r="DI249" s="43" t="s">
        <v>0</v>
      </c>
    </row>
    <row r="250" spans="1:113" s="43" customFormat="1" ht="15.75" thickBot="1" x14ac:dyDescent="0.3">
      <c r="A250" s="43">
        <v>6219</v>
      </c>
      <c r="B250" s="43" t="s">
        <v>499</v>
      </c>
      <c r="C250" s="56" t="s">
        <v>452</v>
      </c>
      <c r="D250" s="43">
        <v>13</v>
      </c>
      <c r="E250" s="43">
        <v>0</v>
      </c>
      <c r="F250" s="43">
        <v>13</v>
      </c>
      <c r="G250" s="43">
        <v>324</v>
      </c>
      <c r="H250" s="43">
        <v>0</v>
      </c>
      <c r="I250" s="43">
        <v>25</v>
      </c>
      <c r="J250" s="57" t="s">
        <v>636</v>
      </c>
      <c r="K250" s="57" t="s">
        <v>637</v>
      </c>
      <c r="L250" s="59">
        <v>45947</v>
      </c>
      <c r="M250" s="43">
        <v>0</v>
      </c>
      <c r="N250" s="43">
        <v>0</v>
      </c>
      <c r="O250" s="43">
        <v>0</v>
      </c>
      <c r="S250" s="43" t="b">
        <v>0</v>
      </c>
      <c r="T250" s="43">
        <v>0.01</v>
      </c>
      <c r="U250" s="55">
        <v>8.25</v>
      </c>
      <c r="V250" s="43">
        <v>0.01</v>
      </c>
      <c r="W250" s="43">
        <v>0</v>
      </c>
      <c r="X250" s="43">
        <v>1000</v>
      </c>
      <c r="Z250" s="43">
        <v>10</v>
      </c>
      <c r="AB250" s="55">
        <v>50</v>
      </c>
      <c r="AD250" s="43">
        <v>10</v>
      </c>
      <c r="AF250" s="43">
        <v>2000</v>
      </c>
      <c r="AG250" s="43">
        <v>2</v>
      </c>
      <c r="AH250" s="43">
        <v>8.5600004199999997</v>
      </c>
      <c r="AI250" s="43">
        <v>16</v>
      </c>
      <c r="AJ250" s="43">
        <v>0</v>
      </c>
      <c r="AK250" s="43">
        <v>0</v>
      </c>
      <c r="AM250" s="43" t="s">
        <v>2</v>
      </c>
      <c r="AO250" s="43">
        <v>50</v>
      </c>
      <c r="AW250" s="43" t="b">
        <v>0</v>
      </c>
      <c r="BM250" s="36" t="s">
        <v>1</v>
      </c>
      <c r="BN250" s="61">
        <v>13</v>
      </c>
      <c r="BO250" s="38">
        <f t="shared" si="30"/>
        <v>8.25</v>
      </c>
      <c r="BP250" s="61">
        <v>250</v>
      </c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3"/>
      <c r="CF250" s="47" t="s">
        <v>16</v>
      </c>
      <c r="CI250" s="43">
        <v>2.68</v>
      </c>
      <c r="CR250" s="43">
        <v>0</v>
      </c>
      <c r="CS250" s="70">
        <v>0</v>
      </c>
      <c r="CT250" s="70">
        <v>0</v>
      </c>
      <c r="CU250" s="43">
        <v>0</v>
      </c>
      <c r="CV250" s="70">
        <v>0</v>
      </c>
      <c r="CW250" s="70">
        <v>0</v>
      </c>
      <c r="CX250" s="70">
        <v>0</v>
      </c>
      <c r="CY250" s="70">
        <v>0</v>
      </c>
      <c r="CZ250" s="70">
        <v>0</v>
      </c>
      <c r="DA250" s="70">
        <v>0</v>
      </c>
      <c r="DB250" s="70">
        <v>0</v>
      </c>
      <c r="DD250" s="43">
        <v>0</v>
      </c>
      <c r="DI250" s="43" t="s">
        <v>0</v>
      </c>
    </row>
    <row r="251" spans="1:113" s="43" customFormat="1" ht="15.75" thickBot="1" x14ac:dyDescent="0.3">
      <c r="A251" s="43">
        <v>6220</v>
      </c>
      <c r="B251" s="43" t="s">
        <v>499</v>
      </c>
      <c r="C251" s="56" t="s">
        <v>452</v>
      </c>
      <c r="D251" s="43">
        <v>13</v>
      </c>
      <c r="E251" s="43">
        <v>0</v>
      </c>
      <c r="F251" s="43">
        <v>13</v>
      </c>
      <c r="G251" s="43">
        <v>325</v>
      </c>
      <c r="H251" s="43">
        <v>0</v>
      </c>
      <c r="I251" s="43">
        <v>25</v>
      </c>
      <c r="J251" s="57" t="s">
        <v>638</v>
      </c>
      <c r="K251" s="57" t="s">
        <v>639</v>
      </c>
      <c r="L251" s="59">
        <v>45947</v>
      </c>
      <c r="M251" s="43">
        <v>0</v>
      </c>
      <c r="N251" s="43">
        <v>0</v>
      </c>
      <c r="O251" s="43">
        <v>0</v>
      </c>
      <c r="S251" s="43" t="b">
        <v>0</v>
      </c>
      <c r="T251" s="43">
        <v>0.01</v>
      </c>
      <c r="U251" s="55">
        <v>8.25</v>
      </c>
      <c r="V251" s="43">
        <v>0.01</v>
      </c>
      <c r="W251" s="43">
        <v>0</v>
      </c>
      <c r="X251" s="43">
        <v>1000</v>
      </c>
      <c r="Z251" s="43">
        <v>10</v>
      </c>
      <c r="AB251" s="55">
        <v>50</v>
      </c>
      <c r="AD251" s="43">
        <v>10</v>
      </c>
      <c r="AF251" s="43">
        <v>2000</v>
      </c>
      <c r="AG251" s="43">
        <v>2</v>
      </c>
      <c r="AH251" s="43">
        <v>8.5399999619999996</v>
      </c>
      <c r="AI251" s="43">
        <v>16</v>
      </c>
      <c r="AJ251" s="43">
        <v>0</v>
      </c>
      <c r="AK251" s="43">
        <v>0</v>
      </c>
      <c r="AM251" s="43" t="s">
        <v>2</v>
      </c>
      <c r="AO251" s="43">
        <v>50</v>
      </c>
      <c r="AW251" s="43" t="b">
        <v>0</v>
      </c>
      <c r="BM251" s="36" t="s">
        <v>1</v>
      </c>
      <c r="BN251" s="61">
        <v>13</v>
      </c>
      <c r="BO251" s="38">
        <f t="shared" si="30"/>
        <v>8.25</v>
      </c>
      <c r="BP251" s="61">
        <v>250</v>
      </c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3"/>
      <c r="CF251" s="47" t="s">
        <v>16</v>
      </c>
      <c r="CI251" s="43">
        <v>2.68</v>
      </c>
      <c r="CR251" s="43">
        <v>0</v>
      </c>
      <c r="CS251" s="70">
        <v>0</v>
      </c>
      <c r="CT251" s="70">
        <v>0</v>
      </c>
      <c r="CU251" s="43">
        <v>0</v>
      </c>
      <c r="CV251" s="70">
        <v>0</v>
      </c>
      <c r="CW251" s="70">
        <v>0</v>
      </c>
      <c r="CX251" s="70">
        <v>0</v>
      </c>
      <c r="CY251" s="70">
        <v>0</v>
      </c>
      <c r="CZ251" s="70">
        <v>0</v>
      </c>
      <c r="DA251" s="70">
        <v>0</v>
      </c>
      <c r="DB251" s="70">
        <v>0</v>
      </c>
      <c r="DD251" s="43">
        <v>0</v>
      </c>
      <c r="DI251" s="43" t="s">
        <v>0</v>
      </c>
    </row>
    <row r="252" spans="1:113" s="43" customFormat="1" ht="15.75" thickBot="1" x14ac:dyDescent="0.3">
      <c r="A252" s="43">
        <v>6221</v>
      </c>
      <c r="B252" s="43" t="s">
        <v>499</v>
      </c>
      <c r="C252" s="56" t="s">
        <v>452</v>
      </c>
      <c r="D252" s="43">
        <v>13</v>
      </c>
      <c r="E252" s="43">
        <v>0</v>
      </c>
      <c r="F252" s="43">
        <v>13</v>
      </c>
      <c r="G252" s="43">
        <v>326</v>
      </c>
      <c r="H252" s="43">
        <v>0</v>
      </c>
      <c r="I252" s="43">
        <v>25</v>
      </c>
      <c r="J252" s="57" t="s">
        <v>640</v>
      </c>
      <c r="K252" s="57" t="s">
        <v>641</v>
      </c>
      <c r="L252" s="59">
        <v>45947</v>
      </c>
      <c r="M252" s="43">
        <v>0</v>
      </c>
      <c r="N252" s="43">
        <v>0</v>
      </c>
      <c r="O252" s="43">
        <v>0</v>
      </c>
      <c r="S252" s="43" t="b">
        <v>0</v>
      </c>
      <c r="T252" s="43">
        <v>0.01</v>
      </c>
      <c r="U252" s="55">
        <v>8.25</v>
      </c>
      <c r="V252" s="43">
        <v>0.01</v>
      </c>
      <c r="W252" s="43">
        <v>0</v>
      </c>
      <c r="X252" s="43">
        <v>1000</v>
      </c>
      <c r="Z252" s="43">
        <v>10</v>
      </c>
      <c r="AB252" s="55">
        <v>50</v>
      </c>
      <c r="AD252" s="43">
        <v>10</v>
      </c>
      <c r="AF252" s="43">
        <v>2000</v>
      </c>
      <c r="AG252" s="43">
        <v>2</v>
      </c>
      <c r="AH252" s="43">
        <v>8.5100002289999992</v>
      </c>
      <c r="AI252" s="43">
        <v>16</v>
      </c>
      <c r="AJ252" s="43">
        <v>0</v>
      </c>
      <c r="AK252" s="43">
        <v>0</v>
      </c>
      <c r="AM252" s="43" t="s">
        <v>2</v>
      </c>
      <c r="AO252" s="43">
        <v>50</v>
      </c>
      <c r="AW252" s="43" t="b">
        <v>0</v>
      </c>
      <c r="BM252" s="36" t="s">
        <v>1</v>
      </c>
      <c r="BN252" s="61">
        <v>13</v>
      </c>
      <c r="BO252" s="38">
        <f t="shared" si="30"/>
        <v>8.25</v>
      </c>
      <c r="BP252" s="61">
        <v>250</v>
      </c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3"/>
      <c r="CF252" s="47" t="s">
        <v>16</v>
      </c>
      <c r="CI252" s="43">
        <v>2.68</v>
      </c>
      <c r="CR252" s="43">
        <v>0</v>
      </c>
      <c r="CS252" s="70">
        <v>0</v>
      </c>
      <c r="CT252" s="70">
        <v>0</v>
      </c>
      <c r="CU252" s="43">
        <v>0</v>
      </c>
      <c r="CV252" s="70">
        <v>0</v>
      </c>
      <c r="CW252" s="70">
        <v>0</v>
      </c>
      <c r="CX252" s="70">
        <v>0</v>
      </c>
      <c r="CY252" s="70">
        <v>0</v>
      </c>
      <c r="CZ252" s="70">
        <v>0</v>
      </c>
      <c r="DA252" s="70">
        <v>0</v>
      </c>
      <c r="DB252" s="70">
        <v>0</v>
      </c>
      <c r="DD252" s="43">
        <v>0</v>
      </c>
      <c r="DI252" s="43" t="s">
        <v>0</v>
      </c>
    </row>
    <row r="253" spans="1:113" s="43" customFormat="1" ht="15.75" thickBot="1" x14ac:dyDescent="0.3">
      <c r="A253" s="43">
        <v>6222</v>
      </c>
      <c r="B253" s="43" t="s">
        <v>499</v>
      </c>
      <c r="C253" s="56" t="s">
        <v>452</v>
      </c>
      <c r="D253" s="43">
        <v>13</v>
      </c>
      <c r="E253" s="43">
        <v>0</v>
      </c>
      <c r="F253" s="43">
        <v>13</v>
      </c>
      <c r="G253" s="43">
        <v>327</v>
      </c>
      <c r="H253" s="43">
        <v>0</v>
      </c>
      <c r="I253" s="43">
        <v>25</v>
      </c>
      <c r="J253" s="57" t="s">
        <v>642</v>
      </c>
      <c r="K253" s="57" t="s">
        <v>643</v>
      </c>
      <c r="L253" s="59">
        <v>45947</v>
      </c>
      <c r="M253" s="43">
        <v>0</v>
      </c>
      <c r="N253" s="43">
        <v>0</v>
      </c>
      <c r="O253" s="43">
        <v>0</v>
      </c>
      <c r="S253" s="43" t="b">
        <v>0</v>
      </c>
      <c r="T253" s="43">
        <v>0.01</v>
      </c>
      <c r="U253" s="55">
        <v>8.25</v>
      </c>
      <c r="V253" s="43">
        <v>0.01</v>
      </c>
      <c r="W253" s="43">
        <v>0</v>
      </c>
      <c r="X253" s="43">
        <v>1000</v>
      </c>
      <c r="Z253" s="43">
        <v>10</v>
      </c>
      <c r="AB253" s="55">
        <v>50</v>
      </c>
      <c r="AD253" s="43">
        <v>10</v>
      </c>
      <c r="AF253" s="43">
        <v>2000</v>
      </c>
      <c r="AG253" s="43">
        <v>2</v>
      </c>
      <c r="AH253" s="43">
        <v>8.5299997330000004</v>
      </c>
      <c r="AI253" s="43">
        <v>16</v>
      </c>
      <c r="AJ253" s="43">
        <v>0</v>
      </c>
      <c r="AK253" s="43">
        <v>0</v>
      </c>
      <c r="AM253" s="43" t="s">
        <v>2</v>
      </c>
      <c r="AO253" s="43">
        <v>50</v>
      </c>
      <c r="AW253" s="43" t="b">
        <v>0</v>
      </c>
      <c r="BM253" s="36" t="s">
        <v>1</v>
      </c>
      <c r="BN253" s="61">
        <v>13</v>
      </c>
      <c r="BO253" s="38">
        <f t="shared" si="30"/>
        <v>8.25</v>
      </c>
      <c r="BP253" s="61">
        <v>250</v>
      </c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3"/>
      <c r="CF253" s="47" t="s">
        <v>16</v>
      </c>
      <c r="CI253" s="43">
        <v>2.68</v>
      </c>
      <c r="CR253" s="43">
        <v>0</v>
      </c>
      <c r="CS253" s="70">
        <v>0</v>
      </c>
      <c r="CT253" s="70">
        <v>0</v>
      </c>
      <c r="CU253" s="43">
        <v>0</v>
      </c>
      <c r="CV253" s="70">
        <v>0</v>
      </c>
      <c r="CW253" s="70">
        <v>0</v>
      </c>
      <c r="CX253" s="70">
        <v>0</v>
      </c>
      <c r="CY253" s="70">
        <v>0</v>
      </c>
      <c r="CZ253" s="70">
        <v>0</v>
      </c>
      <c r="DA253" s="70">
        <v>0</v>
      </c>
      <c r="DB253" s="70">
        <v>0</v>
      </c>
      <c r="DD253" s="43">
        <v>0</v>
      </c>
      <c r="DI253" s="43" t="s">
        <v>0</v>
      </c>
    </row>
    <row r="254" spans="1:113" s="43" customFormat="1" ht="15.75" thickBot="1" x14ac:dyDescent="0.3">
      <c r="A254" s="43">
        <v>6224</v>
      </c>
      <c r="B254" s="43" t="s">
        <v>499</v>
      </c>
      <c r="C254" s="56" t="s">
        <v>452</v>
      </c>
      <c r="D254" s="43">
        <v>13</v>
      </c>
      <c r="E254" s="43">
        <v>0</v>
      </c>
      <c r="F254" s="43">
        <v>13</v>
      </c>
      <c r="G254" s="43">
        <v>329</v>
      </c>
      <c r="H254" s="43">
        <v>0</v>
      </c>
      <c r="I254" s="43">
        <v>25</v>
      </c>
      <c r="J254" s="57" t="s">
        <v>644</v>
      </c>
      <c r="K254" s="57" t="s">
        <v>645</v>
      </c>
      <c r="L254" s="59">
        <v>45947</v>
      </c>
      <c r="M254" s="43">
        <v>0</v>
      </c>
      <c r="N254" s="43">
        <v>0</v>
      </c>
      <c r="O254" s="43">
        <v>0</v>
      </c>
      <c r="S254" s="43" t="b">
        <v>0</v>
      </c>
      <c r="T254" s="43">
        <v>0.01</v>
      </c>
      <c r="U254" s="55">
        <v>8.25</v>
      </c>
      <c r="V254" s="43">
        <v>0.01</v>
      </c>
      <c r="W254" s="43">
        <v>0</v>
      </c>
      <c r="X254" s="43">
        <v>1000</v>
      </c>
      <c r="Z254" s="43">
        <v>10</v>
      </c>
      <c r="AB254" s="55">
        <v>50</v>
      </c>
      <c r="AD254" s="43">
        <v>10</v>
      </c>
      <c r="AF254" s="43">
        <v>2000</v>
      </c>
      <c r="AG254" s="43">
        <v>2</v>
      </c>
      <c r="AH254" s="43">
        <v>8.5500001910000005</v>
      </c>
      <c r="AI254" s="43">
        <v>16</v>
      </c>
      <c r="AJ254" s="43">
        <v>0</v>
      </c>
      <c r="AK254" s="43">
        <v>0</v>
      </c>
      <c r="AM254" s="43" t="s">
        <v>2</v>
      </c>
      <c r="AO254" s="43">
        <v>50</v>
      </c>
      <c r="AW254" s="43" t="b">
        <v>0</v>
      </c>
      <c r="BM254" s="36" t="s">
        <v>1</v>
      </c>
      <c r="BN254" s="61">
        <v>13</v>
      </c>
      <c r="BO254" s="38">
        <f t="shared" si="30"/>
        <v>8.25</v>
      </c>
      <c r="BP254" s="61">
        <v>250</v>
      </c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3"/>
      <c r="CF254" s="47" t="s">
        <v>16</v>
      </c>
      <c r="CI254" s="43">
        <v>2.68</v>
      </c>
      <c r="CR254" s="43">
        <v>0</v>
      </c>
      <c r="CS254" s="70">
        <v>0</v>
      </c>
      <c r="CT254" s="70">
        <v>0</v>
      </c>
      <c r="CU254" s="43">
        <v>0</v>
      </c>
      <c r="CV254" s="70">
        <v>0</v>
      </c>
      <c r="CW254" s="70">
        <v>0</v>
      </c>
      <c r="CX254" s="70">
        <v>0</v>
      </c>
      <c r="CY254" s="70">
        <v>0</v>
      </c>
      <c r="CZ254" s="70">
        <v>0</v>
      </c>
      <c r="DA254" s="70">
        <v>0</v>
      </c>
      <c r="DB254" s="70">
        <v>0</v>
      </c>
      <c r="DD254" s="43">
        <v>0</v>
      </c>
      <c r="DI254" s="43" t="s">
        <v>0</v>
      </c>
    </row>
    <row r="255" spans="1:113" s="43" customFormat="1" ht="15.75" thickBot="1" x14ac:dyDescent="0.3">
      <c r="A255" s="43">
        <v>6225</v>
      </c>
      <c r="B255" s="43" t="s">
        <v>499</v>
      </c>
      <c r="C255" s="56" t="s">
        <v>452</v>
      </c>
      <c r="D255" s="43">
        <v>13</v>
      </c>
      <c r="E255" s="43">
        <v>0</v>
      </c>
      <c r="F255" s="43">
        <v>13</v>
      </c>
      <c r="G255" s="43">
        <v>330</v>
      </c>
      <c r="H255" s="43">
        <v>0</v>
      </c>
      <c r="I255" s="43">
        <v>25</v>
      </c>
      <c r="J255" s="57" t="s">
        <v>646</v>
      </c>
      <c r="K255" s="57" t="s">
        <v>647</v>
      </c>
      <c r="L255" s="59">
        <v>45947</v>
      </c>
      <c r="M255" s="43">
        <v>0</v>
      </c>
      <c r="N255" s="43">
        <v>0</v>
      </c>
      <c r="O255" s="43">
        <v>0</v>
      </c>
      <c r="S255" s="43" t="b">
        <v>0</v>
      </c>
      <c r="T255" s="43">
        <v>0.01</v>
      </c>
      <c r="U255" s="55">
        <v>8.25</v>
      </c>
      <c r="V255" s="43">
        <v>0.01</v>
      </c>
      <c r="W255" s="43">
        <v>0</v>
      </c>
      <c r="X255" s="43">
        <v>1000</v>
      </c>
      <c r="Z255" s="43">
        <v>10</v>
      </c>
      <c r="AB255" s="55">
        <v>50</v>
      </c>
      <c r="AD255" s="43">
        <v>10</v>
      </c>
      <c r="AF255" s="43">
        <v>2000</v>
      </c>
      <c r="AG255" s="43">
        <v>2</v>
      </c>
      <c r="AH255" s="43">
        <v>8.4799995419999998</v>
      </c>
      <c r="AI255" s="43">
        <v>16</v>
      </c>
      <c r="AJ255" s="43">
        <v>0</v>
      </c>
      <c r="AK255" s="43">
        <v>0</v>
      </c>
      <c r="AM255" s="43" t="s">
        <v>2</v>
      </c>
      <c r="AO255" s="43">
        <v>50</v>
      </c>
      <c r="AW255" s="43" t="b">
        <v>0</v>
      </c>
      <c r="BM255" s="36" t="s">
        <v>1</v>
      </c>
      <c r="BN255" s="61">
        <v>13</v>
      </c>
      <c r="BO255" s="38">
        <f t="shared" si="30"/>
        <v>8.25</v>
      </c>
      <c r="BP255" s="61">
        <v>250</v>
      </c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3"/>
      <c r="CF255" s="47" t="s">
        <v>16</v>
      </c>
      <c r="CI255" s="43">
        <v>2.68</v>
      </c>
      <c r="CR255" s="43">
        <v>0</v>
      </c>
      <c r="CS255" s="70">
        <v>0</v>
      </c>
      <c r="CT255" s="70">
        <v>0</v>
      </c>
      <c r="CU255" s="43">
        <v>0</v>
      </c>
      <c r="CV255" s="70">
        <v>0</v>
      </c>
      <c r="CW255" s="70">
        <v>0</v>
      </c>
      <c r="CX255" s="70">
        <v>0</v>
      </c>
      <c r="CY255" s="70">
        <v>0</v>
      </c>
      <c r="CZ255" s="70">
        <v>0</v>
      </c>
      <c r="DA255" s="70">
        <v>0</v>
      </c>
      <c r="DB255" s="70">
        <v>0</v>
      </c>
      <c r="DD255" s="43">
        <v>0</v>
      </c>
      <c r="DI255" s="43" t="s">
        <v>0</v>
      </c>
    </row>
    <row r="256" spans="1:113" s="43" customFormat="1" ht="15.75" thickBot="1" x14ac:dyDescent="0.3">
      <c r="A256" s="43">
        <v>6226</v>
      </c>
      <c r="B256" s="43" t="s">
        <v>499</v>
      </c>
      <c r="C256" s="56" t="s">
        <v>452</v>
      </c>
      <c r="D256" s="43">
        <v>13</v>
      </c>
      <c r="E256" s="43">
        <v>0</v>
      </c>
      <c r="F256" s="43">
        <v>13</v>
      </c>
      <c r="G256" s="43">
        <v>331</v>
      </c>
      <c r="H256" s="43">
        <v>0</v>
      </c>
      <c r="I256" s="43">
        <v>25</v>
      </c>
      <c r="J256" s="57" t="s">
        <v>648</v>
      </c>
      <c r="K256" s="57" t="s">
        <v>649</v>
      </c>
      <c r="L256" s="59">
        <v>45947</v>
      </c>
      <c r="M256" s="43">
        <v>0</v>
      </c>
      <c r="N256" s="43">
        <v>0</v>
      </c>
      <c r="O256" s="43">
        <v>0</v>
      </c>
      <c r="S256" s="43" t="b">
        <v>0</v>
      </c>
      <c r="T256" s="43">
        <v>0.01</v>
      </c>
      <c r="U256" s="55">
        <v>8.25</v>
      </c>
      <c r="V256" s="43">
        <v>0.01</v>
      </c>
      <c r="W256" s="43">
        <v>0</v>
      </c>
      <c r="X256" s="43">
        <v>1000</v>
      </c>
      <c r="Z256" s="43">
        <v>10</v>
      </c>
      <c r="AB256" s="55">
        <v>50</v>
      </c>
      <c r="AD256" s="43">
        <v>10</v>
      </c>
      <c r="AF256" s="43">
        <v>2000</v>
      </c>
      <c r="AG256" s="43">
        <v>2</v>
      </c>
      <c r="AH256" s="43">
        <v>8.5</v>
      </c>
      <c r="AI256" s="43">
        <v>16</v>
      </c>
      <c r="AJ256" s="43">
        <v>0</v>
      </c>
      <c r="AK256" s="43">
        <v>0</v>
      </c>
      <c r="AM256" s="43" t="s">
        <v>2</v>
      </c>
      <c r="AO256" s="43">
        <v>50</v>
      </c>
      <c r="AW256" s="43" t="b">
        <v>0</v>
      </c>
      <c r="BM256" s="36" t="s">
        <v>1</v>
      </c>
      <c r="BN256" s="61">
        <v>13</v>
      </c>
      <c r="BO256" s="38">
        <f t="shared" si="30"/>
        <v>8.25</v>
      </c>
      <c r="BP256" s="61">
        <v>250</v>
      </c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3"/>
      <c r="CF256" s="47" t="s">
        <v>16</v>
      </c>
      <c r="CI256" s="43">
        <v>2.68</v>
      </c>
      <c r="CR256" s="43">
        <v>0</v>
      </c>
      <c r="CS256" s="70">
        <v>0</v>
      </c>
      <c r="CT256" s="70">
        <v>0</v>
      </c>
      <c r="CU256" s="43">
        <v>0</v>
      </c>
      <c r="CV256" s="70">
        <v>0</v>
      </c>
      <c r="CW256" s="70">
        <v>0</v>
      </c>
      <c r="CX256" s="70">
        <v>0</v>
      </c>
      <c r="CY256" s="70">
        <v>0</v>
      </c>
      <c r="CZ256" s="70">
        <v>0</v>
      </c>
      <c r="DA256" s="70">
        <v>0</v>
      </c>
      <c r="DB256" s="70">
        <v>0</v>
      </c>
      <c r="DD256" s="43">
        <v>0</v>
      </c>
      <c r="DI256" s="43" t="s">
        <v>0</v>
      </c>
    </row>
    <row r="257" spans="1:113" s="43" customFormat="1" ht="15.75" thickBot="1" x14ac:dyDescent="0.3">
      <c r="A257" s="43">
        <v>6227</v>
      </c>
      <c r="B257" s="43" t="s">
        <v>499</v>
      </c>
      <c r="C257" s="56" t="s">
        <v>452</v>
      </c>
      <c r="D257" s="43">
        <v>13</v>
      </c>
      <c r="E257" s="43">
        <v>0</v>
      </c>
      <c r="F257" s="43">
        <v>13</v>
      </c>
      <c r="G257" s="43">
        <v>332</v>
      </c>
      <c r="H257" s="43">
        <v>0</v>
      </c>
      <c r="I257" s="43">
        <v>25</v>
      </c>
      <c r="J257" s="57" t="s">
        <v>650</v>
      </c>
      <c r="K257" s="57" t="s">
        <v>651</v>
      </c>
      <c r="L257" s="59">
        <v>45947</v>
      </c>
      <c r="M257" s="43">
        <v>0</v>
      </c>
      <c r="N257" s="43">
        <v>0</v>
      </c>
      <c r="O257" s="43">
        <v>0</v>
      </c>
      <c r="S257" s="43" t="b">
        <v>0</v>
      </c>
      <c r="T257" s="43">
        <v>0.01</v>
      </c>
      <c r="U257" s="55">
        <v>8.25</v>
      </c>
      <c r="V257" s="43">
        <v>0.01</v>
      </c>
      <c r="W257" s="43">
        <v>0</v>
      </c>
      <c r="X257" s="43">
        <v>1000</v>
      </c>
      <c r="Z257" s="43">
        <v>10</v>
      </c>
      <c r="AB257" s="55">
        <v>50</v>
      </c>
      <c r="AD257" s="43">
        <v>10</v>
      </c>
      <c r="AF257" s="43">
        <v>2000</v>
      </c>
      <c r="AG257" s="43">
        <v>2</v>
      </c>
      <c r="AH257" s="43">
        <v>8.5399999619999996</v>
      </c>
      <c r="AI257" s="43">
        <v>16</v>
      </c>
      <c r="AJ257" s="43">
        <v>0</v>
      </c>
      <c r="AK257" s="43">
        <v>0</v>
      </c>
      <c r="AM257" s="43" t="s">
        <v>2</v>
      </c>
      <c r="AO257" s="43">
        <v>50</v>
      </c>
      <c r="AW257" s="43" t="b">
        <v>0</v>
      </c>
      <c r="BM257" s="36" t="s">
        <v>1</v>
      </c>
      <c r="BN257" s="61">
        <v>13</v>
      </c>
      <c r="BO257" s="38">
        <f t="shared" si="30"/>
        <v>8.25</v>
      </c>
      <c r="BP257" s="61">
        <v>250</v>
      </c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3"/>
      <c r="CF257" s="47" t="s">
        <v>16</v>
      </c>
      <c r="CI257" s="43">
        <v>2.68</v>
      </c>
      <c r="CR257" s="43">
        <v>0</v>
      </c>
      <c r="CS257" s="70">
        <v>0</v>
      </c>
      <c r="CT257" s="70">
        <v>0</v>
      </c>
      <c r="CU257" s="43">
        <v>0</v>
      </c>
      <c r="CV257" s="70">
        <v>0</v>
      </c>
      <c r="CW257" s="70">
        <v>0</v>
      </c>
      <c r="CX257" s="70">
        <v>0</v>
      </c>
      <c r="CY257" s="70">
        <v>0</v>
      </c>
      <c r="CZ257" s="70">
        <v>0</v>
      </c>
      <c r="DA257" s="70">
        <v>0</v>
      </c>
      <c r="DB257" s="70">
        <v>0</v>
      </c>
      <c r="DD257" s="43">
        <v>0</v>
      </c>
      <c r="DI257" s="43" t="s">
        <v>0</v>
      </c>
    </row>
    <row r="258" spans="1:113" s="43" customFormat="1" ht="15.75" thickBot="1" x14ac:dyDescent="0.3">
      <c r="A258" s="43">
        <v>6283</v>
      </c>
      <c r="B258" s="43" t="s">
        <v>499</v>
      </c>
      <c r="C258" s="56" t="s">
        <v>452</v>
      </c>
      <c r="D258" s="43">
        <v>13</v>
      </c>
      <c r="E258" s="43">
        <v>0</v>
      </c>
      <c r="F258" s="43">
        <v>13</v>
      </c>
      <c r="G258" s="43">
        <v>388</v>
      </c>
      <c r="H258" s="43">
        <v>0</v>
      </c>
      <c r="I258" s="43">
        <v>25</v>
      </c>
      <c r="J258" s="57" t="s">
        <v>652</v>
      </c>
      <c r="K258" s="57" t="s">
        <v>653</v>
      </c>
      <c r="L258" s="59">
        <v>45947</v>
      </c>
      <c r="M258" s="43">
        <v>0</v>
      </c>
      <c r="N258" s="43">
        <v>0</v>
      </c>
      <c r="O258" s="43">
        <v>0</v>
      </c>
      <c r="S258" s="43" t="b">
        <v>0</v>
      </c>
      <c r="T258" s="43">
        <v>0.01</v>
      </c>
      <c r="U258" s="55">
        <v>8.25</v>
      </c>
      <c r="V258" s="43">
        <v>0.01</v>
      </c>
      <c r="W258" s="43">
        <v>0</v>
      </c>
      <c r="X258" s="43">
        <v>1000</v>
      </c>
      <c r="Z258" s="43">
        <v>10</v>
      </c>
      <c r="AB258" s="55">
        <v>50</v>
      </c>
      <c r="AD258" s="43">
        <v>10</v>
      </c>
      <c r="AF258" s="43">
        <v>2000</v>
      </c>
      <c r="AG258" s="43">
        <v>2</v>
      </c>
      <c r="AH258" s="43">
        <v>8.5500001910000005</v>
      </c>
      <c r="AI258" s="43">
        <v>16</v>
      </c>
      <c r="AJ258" s="43">
        <v>0</v>
      </c>
      <c r="AK258" s="43">
        <v>0</v>
      </c>
      <c r="AM258" s="43" t="s">
        <v>2</v>
      </c>
      <c r="AO258" s="43">
        <v>50</v>
      </c>
      <c r="AW258" s="43" t="b">
        <v>0</v>
      </c>
      <c r="BM258" s="36" t="s">
        <v>1</v>
      </c>
      <c r="BN258" s="61">
        <v>13</v>
      </c>
      <c r="BO258" s="38">
        <f t="shared" si="30"/>
        <v>8.25</v>
      </c>
      <c r="BP258" s="61">
        <v>250</v>
      </c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3"/>
      <c r="CF258" s="47" t="s">
        <v>16</v>
      </c>
      <c r="CI258" s="43">
        <v>2.68</v>
      </c>
      <c r="CR258" s="43">
        <v>0</v>
      </c>
      <c r="CS258" s="70">
        <v>0</v>
      </c>
      <c r="CT258" s="70">
        <v>0</v>
      </c>
      <c r="CU258" s="43">
        <v>0</v>
      </c>
      <c r="CV258" s="70">
        <v>0</v>
      </c>
      <c r="CW258" s="70">
        <v>0</v>
      </c>
      <c r="CX258" s="70">
        <v>0</v>
      </c>
      <c r="CY258" s="70">
        <v>0</v>
      </c>
      <c r="CZ258" s="70">
        <v>0</v>
      </c>
      <c r="DA258" s="70">
        <v>0</v>
      </c>
      <c r="DB258" s="70">
        <v>0</v>
      </c>
      <c r="DD258" s="43">
        <v>0</v>
      </c>
      <c r="DI258" s="43" t="s">
        <v>0</v>
      </c>
    </row>
    <row r="259" spans="1:113" s="43" customFormat="1" ht="15.75" thickBot="1" x14ac:dyDescent="0.3">
      <c r="A259" s="43">
        <v>6284</v>
      </c>
      <c r="B259" s="43" t="s">
        <v>499</v>
      </c>
      <c r="C259" s="56" t="s">
        <v>452</v>
      </c>
      <c r="D259" s="43">
        <v>13</v>
      </c>
      <c r="E259" s="43">
        <v>0</v>
      </c>
      <c r="F259" s="43">
        <v>13</v>
      </c>
      <c r="G259" s="43">
        <v>389</v>
      </c>
      <c r="H259" s="43">
        <v>0</v>
      </c>
      <c r="I259" s="43">
        <v>25</v>
      </c>
      <c r="J259" s="57" t="s">
        <v>654</v>
      </c>
      <c r="K259" s="57" t="s">
        <v>655</v>
      </c>
      <c r="L259" s="59">
        <v>45947</v>
      </c>
      <c r="M259" s="43">
        <v>0</v>
      </c>
      <c r="N259" s="43">
        <v>0</v>
      </c>
      <c r="O259" s="43">
        <v>0</v>
      </c>
      <c r="S259" s="43" t="b">
        <v>0</v>
      </c>
      <c r="T259" s="43">
        <v>0.01</v>
      </c>
      <c r="U259" s="55">
        <v>8.25</v>
      </c>
      <c r="V259" s="43">
        <v>0.01</v>
      </c>
      <c r="W259" s="43">
        <v>0</v>
      </c>
      <c r="X259" s="43">
        <v>1000</v>
      </c>
      <c r="Z259" s="43">
        <v>10</v>
      </c>
      <c r="AB259" s="55">
        <v>50</v>
      </c>
      <c r="AD259" s="43">
        <v>10</v>
      </c>
      <c r="AF259" s="43">
        <v>2000</v>
      </c>
      <c r="AG259" s="43">
        <v>2</v>
      </c>
      <c r="AH259" s="43">
        <v>8.5200004580000002</v>
      </c>
      <c r="AI259" s="43">
        <v>16</v>
      </c>
      <c r="AJ259" s="43">
        <v>0</v>
      </c>
      <c r="AK259" s="43">
        <v>0</v>
      </c>
      <c r="AM259" s="43" t="s">
        <v>2</v>
      </c>
      <c r="AO259" s="43">
        <v>50</v>
      </c>
      <c r="AW259" s="43" t="b">
        <v>0</v>
      </c>
      <c r="BM259" s="36" t="s">
        <v>1</v>
      </c>
      <c r="BN259" s="61">
        <v>13</v>
      </c>
      <c r="BO259" s="38">
        <f t="shared" si="30"/>
        <v>8.25</v>
      </c>
      <c r="BP259" s="61">
        <v>250</v>
      </c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3"/>
      <c r="CF259" s="47" t="s">
        <v>16</v>
      </c>
      <c r="CI259" s="43">
        <v>2.68</v>
      </c>
      <c r="CR259" s="43">
        <v>0</v>
      </c>
      <c r="CS259" s="70">
        <v>0</v>
      </c>
      <c r="CT259" s="70">
        <v>0</v>
      </c>
      <c r="CU259" s="43">
        <v>0</v>
      </c>
      <c r="CV259" s="70">
        <v>0</v>
      </c>
      <c r="CW259" s="70">
        <v>0</v>
      </c>
      <c r="CX259" s="70">
        <v>0</v>
      </c>
      <c r="CY259" s="70">
        <v>0</v>
      </c>
      <c r="CZ259" s="70">
        <v>0</v>
      </c>
      <c r="DA259" s="70">
        <v>0</v>
      </c>
      <c r="DB259" s="70">
        <v>0</v>
      </c>
      <c r="DD259" s="43">
        <v>0</v>
      </c>
      <c r="DI259" s="43" t="s">
        <v>0</v>
      </c>
    </row>
    <row r="260" spans="1:113" s="43" customFormat="1" ht="15.75" thickBot="1" x14ac:dyDescent="0.3">
      <c r="A260" s="43">
        <v>6285</v>
      </c>
      <c r="B260" s="43" t="s">
        <v>499</v>
      </c>
      <c r="C260" s="56" t="s">
        <v>452</v>
      </c>
      <c r="D260" s="43">
        <v>13</v>
      </c>
      <c r="E260" s="43">
        <v>0</v>
      </c>
      <c r="F260" s="43">
        <v>13</v>
      </c>
      <c r="G260" s="43">
        <v>390</v>
      </c>
      <c r="H260" s="43">
        <v>0</v>
      </c>
      <c r="I260" s="43">
        <v>25</v>
      </c>
      <c r="J260" s="57" t="s">
        <v>656</v>
      </c>
      <c r="K260" s="57" t="s">
        <v>657</v>
      </c>
      <c r="L260" s="59">
        <v>45947</v>
      </c>
      <c r="M260" s="43">
        <v>0</v>
      </c>
      <c r="N260" s="43">
        <v>0</v>
      </c>
      <c r="O260" s="43">
        <v>0</v>
      </c>
      <c r="S260" s="43" t="b">
        <v>0</v>
      </c>
      <c r="T260" s="43">
        <v>0.01</v>
      </c>
      <c r="U260" s="55">
        <v>8.25</v>
      </c>
      <c r="V260" s="43">
        <v>0.01</v>
      </c>
      <c r="W260" s="43">
        <v>0</v>
      </c>
      <c r="X260" s="43">
        <v>1000</v>
      </c>
      <c r="Z260" s="43">
        <v>10</v>
      </c>
      <c r="AB260" s="55">
        <v>50</v>
      </c>
      <c r="AD260" s="43">
        <v>10</v>
      </c>
      <c r="AF260" s="43">
        <v>2000</v>
      </c>
      <c r="AG260" s="43">
        <v>2</v>
      </c>
      <c r="AH260" s="43">
        <v>8.5500001910000005</v>
      </c>
      <c r="AI260" s="43">
        <v>16</v>
      </c>
      <c r="AJ260" s="43">
        <v>0</v>
      </c>
      <c r="AK260" s="43">
        <v>0</v>
      </c>
      <c r="AM260" s="43" t="s">
        <v>2</v>
      </c>
      <c r="AO260" s="43">
        <v>50</v>
      </c>
      <c r="AW260" s="43" t="b">
        <v>0</v>
      </c>
      <c r="BM260" s="36" t="s">
        <v>1</v>
      </c>
      <c r="BN260" s="61">
        <v>13</v>
      </c>
      <c r="BO260" s="38">
        <f t="shared" si="30"/>
        <v>8.25</v>
      </c>
      <c r="BP260" s="61">
        <v>250</v>
      </c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3"/>
      <c r="CF260" s="47" t="s">
        <v>16</v>
      </c>
      <c r="CI260" s="43">
        <v>2.68</v>
      </c>
      <c r="CR260" s="43">
        <v>0</v>
      </c>
      <c r="CS260" s="70">
        <v>0</v>
      </c>
      <c r="CT260" s="70">
        <v>0</v>
      </c>
      <c r="CU260" s="43">
        <v>0</v>
      </c>
      <c r="CV260" s="70">
        <v>0</v>
      </c>
      <c r="CW260" s="70">
        <v>0</v>
      </c>
      <c r="CX260" s="70">
        <v>0</v>
      </c>
      <c r="CY260" s="70">
        <v>0</v>
      </c>
      <c r="CZ260" s="70">
        <v>0</v>
      </c>
      <c r="DA260" s="70">
        <v>0</v>
      </c>
      <c r="DB260" s="70">
        <v>0</v>
      </c>
      <c r="DD260" s="43">
        <v>0</v>
      </c>
      <c r="DI260" s="43" t="s">
        <v>0</v>
      </c>
    </row>
    <row r="261" spans="1:113" s="43" customFormat="1" ht="15.75" thickBot="1" x14ac:dyDescent="0.3">
      <c r="A261" s="43">
        <v>6286</v>
      </c>
      <c r="B261" s="43" t="s">
        <v>499</v>
      </c>
      <c r="C261" s="56" t="s">
        <v>452</v>
      </c>
      <c r="D261" s="43">
        <v>13</v>
      </c>
      <c r="E261" s="43">
        <v>0</v>
      </c>
      <c r="F261" s="43">
        <v>13</v>
      </c>
      <c r="G261" s="43">
        <v>391</v>
      </c>
      <c r="H261" s="43">
        <v>0</v>
      </c>
      <c r="I261" s="43">
        <v>25</v>
      </c>
      <c r="J261" s="57" t="s">
        <v>658</v>
      </c>
      <c r="K261" s="57" t="s">
        <v>659</v>
      </c>
      <c r="L261" s="59">
        <v>45947</v>
      </c>
      <c r="M261" s="43">
        <v>0</v>
      </c>
      <c r="N261" s="43">
        <v>0</v>
      </c>
      <c r="O261" s="43">
        <v>0</v>
      </c>
      <c r="S261" s="43" t="b">
        <v>0</v>
      </c>
      <c r="T261" s="43">
        <v>0.01</v>
      </c>
      <c r="U261" s="55">
        <v>8.25</v>
      </c>
      <c r="V261" s="43">
        <v>0.01</v>
      </c>
      <c r="W261" s="43">
        <v>0</v>
      </c>
      <c r="X261" s="43">
        <v>1000</v>
      </c>
      <c r="Z261" s="43">
        <v>10</v>
      </c>
      <c r="AB261" s="55">
        <v>50</v>
      </c>
      <c r="AD261" s="43">
        <v>10</v>
      </c>
      <c r="AF261" s="43">
        <v>2000</v>
      </c>
      <c r="AG261" s="43">
        <v>2</v>
      </c>
      <c r="AH261" s="43">
        <v>8.5299997330000004</v>
      </c>
      <c r="AI261" s="43">
        <v>16</v>
      </c>
      <c r="AJ261" s="43">
        <v>0</v>
      </c>
      <c r="AK261" s="43">
        <v>0</v>
      </c>
      <c r="AM261" s="43" t="s">
        <v>2</v>
      </c>
      <c r="AO261" s="43">
        <v>50</v>
      </c>
      <c r="AW261" s="43" t="b">
        <v>0</v>
      </c>
      <c r="BM261" s="36" t="s">
        <v>1</v>
      </c>
      <c r="BN261" s="61">
        <v>13</v>
      </c>
      <c r="BO261" s="38">
        <f t="shared" si="30"/>
        <v>8.25</v>
      </c>
      <c r="BP261" s="61">
        <v>250</v>
      </c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3"/>
      <c r="CF261" s="47" t="s">
        <v>16</v>
      </c>
      <c r="CI261" s="43">
        <v>2.68</v>
      </c>
      <c r="CR261" s="43">
        <v>0</v>
      </c>
      <c r="CS261" s="70">
        <v>0</v>
      </c>
      <c r="CT261" s="70">
        <v>0</v>
      </c>
      <c r="CU261" s="43">
        <v>0</v>
      </c>
      <c r="CV261" s="70">
        <v>0</v>
      </c>
      <c r="CW261" s="70">
        <v>0</v>
      </c>
      <c r="CX261" s="70">
        <v>0</v>
      </c>
      <c r="CY261" s="70">
        <v>0</v>
      </c>
      <c r="CZ261" s="70">
        <v>0</v>
      </c>
      <c r="DA261" s="70">
        <v>0</v>
      </c>
      <c r="DB261" s="70">
        <v>0</v>
      </c>
      <c r="DD261" s="43">
        <v>0</v>
      </c>
      <c r="DI261" s="43" t="s">
        <v>0</v>
      </c>
    </row>
    <row r="262" spans="1:113" s="43" customFormat="1" ht="15.75" thickBot="1" x14ac:dyDescent="0.3">
      <c r="A262" s="43">
        <v>6288</v>
      </c>
      <c r="B262" s="43" t="s">
        <v>499</v>
      </c>
      <c r="C262" s="56" t="s">
        <v>452</v>
      </c>
      <c r="D262" s="43">
        <v>13</v>
      </c>
      <c r="E262" s="43">
        <v>0</v>
      </c>
      <c r="F262" s="43">
        <v>13</v>
      </c>
      <c r="G262" s="43">
        <v>393</v>
      </c>
      <c r="H262" s="43">
        <v>0</v>
      </c>
      <c r="I262" s="43">
        <v>25</v>
      </c>
      <c r="J262" s="57" t="s">
        <v>660</v>
      </c>
      <c r="K262" s="57" t="s">
        <v>661</v>
      </c>
      <c r="L262" s="59">
        <v>45947</v>
      </c>
      <c r="M262" s="43">
        <v>0</v>
      </c>
      <c r="N262" s="43">
        <v>0</v>
      </c>
      <c r="O262" s="43">
        <v>0</v>
      </c>
      <c r="S262" s="43" t="b">
        <v>0</v>
      </c>
      <c r="T262" s="43">
        <v>0.01</v>
      </c>
      <c r="U262" s="55">
        <v>8.25</v>
      </c>
      <c r="V262" s="43">
        <v>0.01</v>
      </c>
      <c r="W262" s="43">
        <v>0</v>
      </c>
      <c r="X262" s="43">
        <v>1000</v>
      </c>
      <c r="Z262" s="43">
        <v>10</v>
      </c>
      <c r="AB262" s="55">
        <v>50</v>
      </c>
      <c r="AD262" s="43">
        <v>10</v>
      </c>
      <c r="AF262" s="43">
        <v>2000</v>
      </c>
      <c r="AG262" s="43">
        <v>2</v>
      </c>
      <c r="AH262" s="43">
        <v>8.5200004580000002</v>
      </c>
      <c r="AI262" s="43">
        <v>16</v>
      </c>
      <c r="AJ262" s="43">
        <v>0</v>
      </c>
      <c r="AK262" s="43">
        <v>0</v>
      </c>
      <c r="AM262" s="43" t="s">
        <v>2</v>
      </c>
      <c r="AO262" s="43">
        <v>50</v>
      </c>
      <c r="AW262" s="43" t="b">
        <v>0</v>
      </c>
      <c r="BM262" s="36" t="s">
        <v>1</v>
      </c>
      <c r="BN262" s="61">
        <v>13</v>
      </c>
      <c r="BO262" s="38">
        <f t="shared" si="30"/>
        <v>8.25</v>
      </c>
      <c r="BP262" s="61">
        <v>250</v>
      </c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3"/>
      <c r="CF262" s="47" t="s">
        <v>16</v>
      </c>
      <c r="CI262" s="43">
        <v>2.68</v>
      </c>
      <c r="CR262" s="43">
        <v>0</v>
      </c>
      <c r="CS262" s="70">
        <v>0</v>
      </c>
      <c r="CT262" s="70">
        <v>0</v>
      </c>
      <c r="CU262" s="43">
        <v>0</v>
      </c>
      <c r="CV262" s="70">
        <v>0</v>
      </c>
      <c r="CW262" s="70">
        <v>0</v>
      </c>
      <c r="CX262" s="70">
        <v>0</v>
      </c>
      <c r="CY262" s="70">
        <v>0</v>
      </c>
      <c r="CZ262" s="70">
        <v>0</v>
      </c>
      <c r="DA262" s="70">
        <v>0</v>
      </c>
      <c r="DB262" s="70">
        <v>0</v>
      </c>
      <c r="DD262" s="43">
        <v>0</v>
      </c>
      <c r="DI262" s="43" t="s">
        <v>0</v>
      </c>
    </row>
    <row r="263" spans="1:113" s="43" customFormat="1" ht="15.75" thickBot="1" x14ac:dyDescent="0.3">
      <c r="A263" s="43">
        <v>6289</v>
      </c>
      <c r="B263" s="43" t="s">
        <v>499</v>
      </c>
      <c r="C263" s="56" t="s">
        <v>452</v>
      </c>
      <c r="D263" s="43">
        <v>13</v>
      </c>
      <c r="E263" s="43">
        <v>0</v>
      </c>
      <c r="F263" s="43">
        <v>13</v>
      </c>
      <c r="G263" s="43">
        <v>394</v>
      </c>
      <c r="H263" s="43">
        <v>0</v>
      </c>
      <c r="I263" s="43">
        <v>25</v>
      </c>
      <c r="J263" s="57" t="s">
        <v>662</v>
      </c>
      <c r="K263" s="57" t="s">
        <v>663</v>
      </c>
      <c r="L263" s="59">
        <v>45947</v>
      </c>
      <c r="M263" s="43">
        <v>0</v>
      </c>
      <c r="N263" s="43">
        <v>0</v>
      </c>
      <c r="O263" s="43">
        <v>0</v>
      </c>
      <c r="S263" s="43" t="b">
        <v>0</v>
      </c>
      <c r="T263" s="43">
        <v>0.01</v>
      </c>
      <c r="U263" s="55">
        <v>8.25</v>
      </c>
      <c r="V263" s="43">
        <v>0.01</v>
      </c>
      <c r="W263" s="43">
        <v>0</v>
      </c>
      <c r="X263" s="43">
        <v>1000</v>
      </c>
      <c r="Z263" s="43">
        <v>10</v>
      </c>
      <c r="AB263" s="55">
        <v>50</v>
      </c>
      <c r="AD263" s="43">
        <v>10</v>
      </c>
      <c r="AF263" s="43">
        <v>2000</v>
      </c>
      <c r="AG263" s="43">
        <v>2</v>
      </c>
      <c r="AH263" s="43">
        <v>8.5699996949999999</v>
      </c>
      <c r="AI263" s="43">
        <v>16</v>
      </c>
      <c r="AJ263" s="43">
        <v>0</v>
      </c>
      <c r="AK263" s="43">
        <v>0</v>
      </c>
      <c r="AM263" s="43" t="s">
        <v>2</v>
      </c>
      <c r="AO263" s="43">
        <v>50</v>
      </c>
      <c r="AW263" s="43" t="b">
        <v>0</v>
      </c>
      <c r="BM263" s="36" t="s">
        <v>1</v>
      </c>
      <c r="BN263" s="61">
        <v>13</v>
      </c>
      <c r="BO263" s="38">
        <f t="shared" si="30"/>
        <v>8.25</v>
      </c>
      <c r="BP263" s="61">
        <v>250</v>
      </c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3"/>
      <c r="CF263" s="47" t="s">
        <v>16</v>
      </c>
      <c r="CI263" s="43">
        <v>2.68</v>
      </c>
      <c r="CR263" s="43">
        <v>0</v>
      </c>
      <c r="CS263" s="70">
        <v>0</v>
      </c>
      <c r="CT263" s="70">
        <v>0</v>
      </c>
      <c r="CU263" s="43">
        <v>0</v>
      </c>
      <c r="CV263" s="70">
        <v>0</v>
      </c>
      <c r="CW263" s="70">
        <v>0</v>
      </c>
      <c r="CX263" s="70">
        <v>0</v>
      </c>
      <c r="CY263" s="70">
        <v>0</v>
      </c>
      <c r="CZ263" s="70">
        <v>0</v>
      </c>
      <c r="DA263" s="70">
        <v>0</v>
      </c>
      <c r="DB263" s="70">
        <v>0</v>
      </c>
      <c r="DD263" s="43">
        <v>0</v>
      </c>
      <c r="DI263" s="43" t="s">
        <v>0</v>
      </c>
    </row>
    <row r="264" spans="1:113" s="43" customFormat="1" ht="15.75" thickBot="1" x14ac:dyDescent="0.3">
      <c r="A264" s="43">
        <v>6290</v>
      </c>
      <c r="B264" s="43" t="s">
        <v>499</v>
      </c>
      <c r="C264" s="56" t="s">
        <v>452</v>
      </c>
      <c r="D264" s="43">
        <v>13</v>
      </c>
      <c r="E264" s="43">
        <v>0</v>
      </c>
      <c r="F264" s="43">
        <v>13</v>
      </c>
      <c r="G264" s="43">
        <v>395</v>
      </c>
      <c r="H264" s="43">
        <v>0</v>
      </c>
      <c r="I264" s="43">
        <v>25</v>
      </c>
      <c r="J264" s="57" t="s">
        <v>664</v>
      </c>
      <c r="K264" s="57" t="s">
        <v>665</v>
      </c>
      <c r="L264" s="59">
        <v>45947</v>
      </c>
      <c r="M264" s="43">
        <v>0</v>
      </c>
      <c r="N264" s="43">
        <v>0</v>
      </c>
      <c r="O264" s="43">
        <v>0</v>
      </c>
      <c r="S264" s="43" t="b">
        <v>0</v>
      </c>
      <c r="T264" s="43">
        <v>0.01</v>
      </c>
      <c r="U264" s="55">
        <v>8.25</v>
      </c>
      <c r="V264" s="43">
        <v>0.01</v>
      </c>
      <c r="W264" s="43">
        <v>0</v>
      </c>
      <c r="X264" s="43">
        <v>1000</v>
      </c>
      <c r="Z264" s="43">
        <v>10</v>
      </c>
      <c r="AB264" s="55">
        <v>50</v>
      </c>
      <c r="AD264" s="43">
        <v>10</v>
      </c>
      <c r="AF264" s="43">
        <v>2000</v>
      </c>
      <c r="AG264" s="43">
        <v>2</v>
      </c>
      <c r="AH264" s="43">
        <v>8.5100002289999992</v>
      </c>
      <c r="AI264" s="43">
        <v>16</v>
      </c>
      <c r="AJ264" s="43">
        <v>0</v>
      </c>
      <c r="AK264" s="43">
        <v>0</v>
      </c>
      <c r="AM264" s="43" t="s">
        <v>2</v>
      </c>
      <c r="AO264" s="43">
        <v>50</v>
      </c>
      <c r="AW264" s="43" t="b">
        <v>0</v>
      </c>
      <c r="BM264" s="36" t="s">
        <v>1</v>
      </c>
      <c r="BN264" s="61">
        <v>13</v>
      </c>
      <c r="BO264" s="38">
        <f t="shared" si="30"/>
        <v>8.25</v>
      </c>
      <c r="BP264" s="61">
        <v>250</v>
      </c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3"/>
      <c r="CF264" s="47" t="s">
        <v>16</v>
      </c>
      <c r="CI264" s="43">
        <v>2.68</v>
      </c>
      <c r="CR264" s="43">
        <v>0</v>
      </c>
      <c r="CS264" s="70">
        <v>0</v>
      </c>
      <c r="CT264" s="70">
        <v>0</v>
      </c>
      <c r="CU264" s="43">
        <v>0</v>
      </c>
      <c r="CV264" s="70">
        <v>0</v>
      </c>
      <c r="CW264" s="70">
        <v>0</v>
      </c>
      <c r="CX264" s="70">
        <v>0</v>
      </c>
      <c r="CY264" s="70">
        <v>0</v>
      </c>
      <c r="CZ264" s="70">
        <v>0</v>
      </c>
      <c r="DA264" s="70">
        <v>0</v>
      </c>
      <c r="DB264" s="70">
        <v>0</v>
      </c>
      <c r="DD264" s="43">
        <v>0</v>
      </c>
      <c r="DI264" s="43" t="s">
        <v>0</v>
      </c>
    </row>
    <row r="265" spans="1:113" s="43" customFormat="1" ht="15.75" thickBot="1" x14ac:dyDescent="0.3">
      <c r="A265" s="43">
        <v>6291</v>
      </c>
      <c r="B265" s="43" t="s">
        <v>499</v>
      </c>
      <c r="C265" s="56" t="s">
        <v>452</v>
      </c>
      <c r="D265" s="43">
        <v>13</v>
      </c>
      <c r="E265" s="43">
        <v>0</v>
      </c>
      <c r="F265" s="43">
        <v>13</v>
      </c>
      <c r="G265" s="43">
        <v>396</v>
      </c>
      <c r="H265" s="43">
        <v>0</v>
      </c>
      <c r="I265" s="43">
        <v>25</v>
      </c>
      <c r="J265" s="57" t="s">
        <v>666</v>
      </c>
      <c r="K265" s="57" t="s">
        <v>667</v>
      </c>
      <c r="L265" s="59">
        <v>45947</v>
      </c>
      <c r="M265" s="43">
        <v>0</v>
      </c>
      <c r="N265" s="43">
        <v>0</v>
      </c>
      <c r="O265" s="43">
        <v>0</v>
      </c>
      <c r="S265" s="43" t="b">
        <v>0</v>
      </c>
      <c r="T265" s="43">
        <v>0.01</v>
      </c>
      <c r="U265" s="55">
        <v>8.25</v>
      </c>
      <c r="V265" s="43">
        <v>0.01</v>
      </c>
      <c r="W265" s="43">
        <v>0</v>
      </c>
      <c r="X265" s="43">
        <v>1000</v>
      </c>
      <c r="Z265" s="43">
        <v>10</v>
      </c>
      <c r="AB265" s="55">
        <v>50</v>
      </c>
      <c r="AD265" s="43">
        <v>10</v>
      </c>
      <c r="AF265" s="43">
        <v>2000</v>
      </c>
      <c r="AG265" s="43">
        <v>2</v>
      </c>
      <c r="AH265" s="43">
        <v>8.5299997330000004</v>
      </c>
      <c r="AI265" s="43">
        <v>16</v>
      </c>
      <c r="AJ265" s="43">
        <v>0</v>
      </c>
      <c r="AK265" s="43">
        <v>0</v>
      </c>
      <c r="AM265" s="43" t="s">
        <v>2</v>
      </c>
      <c r="AO265" s="43">
        <v>50</v>
      </c>
      <c r="AW265" s="43" t="b">
        <v>0</v>
      </c>
      <c r="BM265" s="36" t="s">
        <v>1</v>
      </c>
      <c r="BN265" s="61">
        <v>13</v>
      </c>
      <c r="BO265" s="38">
        <f t="shared" si="30"/>
        <v>8.25</v>
      </c>
      <c r="BP265" s="61">
        <v>250</v>
      </c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3"/>
      <c r="CF265" s="47" t="s">
        <v>16</v>
      </c>
      <c r="CI265" s="43">
        <v>2.68</v>
      </c>
      <c r="CR265" s="43">
        <v>0</v>
      </c>
      <c r="CS265" s="70">
        <v>0</v>
      </c>
      <c r="CT265" s="70">
        <v>0</v>
      </c>
      <c r="CU265" s="43">
        <v>0</v>
      </c>
      <c r="CV265" s="70">
        <v>0</v>
      </c>
      <c r="CW265" s="70">
        <v>0</v>
      </c>
      <c r="CX265" s="70">
        <v>0</v>
      </c>
      <c r="CY265" s="70">
        <v>0</v>
      </c>
      <c r="CZ265" s="70">
        <v>0</v>
      </c>
      <c r="DA265" s="70">
        <v>0</v>
      </c>
      <c r="DB265" s="70">
        <v>0</v>
      </c>
      <c r="DD265" s="43">
        <v>0</v>
      </c>
      <c r="DI265" s="43" t="s">
        <v>0</v>
      </c>
    </row>
    <row r="266" spans="1:113" s="43" customFormat="1" ht="15.75" thickBot="1" x14ac:dyDescent="0.3">
      <c r="A266" s="43">
        <v>6292</v>
      </c>
      <c r="B266" s="43" t="s">
        <v>499</v>
      </c>
      <c r="C266" s="56" t="s">
        <v>452</v>
      </c>
      <c r="D266" s="43">
        <v>13</v>
      </c>
      <c r="E266" s="43">
        <v>0</v>
      </c>
      <c r="F266" s="43">
        <v>13</v>
      </c>
      <c r="G266" s="43">
        <v>397</v>
      </c>
      <c r="H266" s="43">
        <v>0</v>
      </c>
      <c r="I266" s="43">
        <v>25</v>
      </c>
      <c r="J266" s="57" t="s">
        <v>668</v>
      </c>
      <c r="K266" s="57" t="s">
        <v>669</v>
      </c>
      <c r="L266" s="59">
        <v>45947</v>
      </c>
      <c r="M266" s="43">
        <v>0</v>
      </c>
      <c r="N266" s="43">
        <v>0</v>
      </c>
      <c r="O266" s="43">
        <v>0</v>
      </c>
      <c r="S266" s="43" t="b">
        <v>0</v>
      </c>
      <c r="T266" s="43">
        <v>0.01</v>
      </c>
      <c r="U266" s="55">
        <v>8.25</v>
      </c>
      <c r="V266" s="43">
        <v>0.01</v>
      </c>
      <c r="W266" s="43">
        <v>0</v>
      </c>
      <c r="X266" s="43">
        <v>1000</v>
      </c>
      <c r="Z266" s="43">
        <v>10</v>
      </c>
      <c r="AB266" s="55">
        <v>50</v>
      </c>
      <c r="AD266" s="43">
        <v>10</v>
      </c>
      <c r="AF266" s="43">
        <v>2000</v>
      </c>
      <c r="AG266" s="43">
        <v>2</v>
      </c>
      <c r="AH266" s="43">
        <v>8.5</v>
      </c>
      <c r="AI266" s="43">
        <v>16</v>
      </c>
      <c r="AJ266" s="43">
        <v>0</v>
      </c>
      <c r="AK266" s="43">
        <v>0</v>
      </c>
      <c r="AM266" s="43" t="s">
        <v>2</v>
      </c>
      <c r="AO266" s="43">
        <v>50</v>
      </c>
      <c r="AW266" s="43" t="b">
        <v>0</v>
      </c>
      <c r="BM266" s="36" t="s">
        <v>1</v>
      </c>
      <c r="BN266" s="61">
        <v>13</v>
      </c>
      <c r="BO266" s="38">
        <f t="shared" si="30"/>
        <v>8.25</v>
      </c>
      <c r="BP266" s="61">
        <v>250</v>
      </c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3"/>
      <c r="CF266" s="47" t="s">
        <v>16</v>
      </c>
      <c r="CI266" s="43">
        <v>2.68</v>
      </c>
      <c r="CR266" s="43">
        <v>0</v>
      </c>
      <c r="CS266" s="70">
        <v>0</v>
      </c>
      <c r="CT266" s="70">
        <v>0</v>
      </c>
      <c r="CU266" s="43">
        <v>0</v>
      </c>
      <c r="CV266" s="70">
        <v>0</v>
      </c>
      <c r="CW266" s="70">
        <v>0</v>
      </c>
      <c r="CX266" s="70">
        <v>0</v>
      </c>
      <c r="CY266" s="70">
        <v>0</v>
      </c>
      <c r="CZ266" s="70">
        <v>0</v>
      </c>
      <c r="DA266" s="70">
        <v>0</v>
      </c>
      <c r="DB266" s="70">
        <v>0</v>
      </c>
      <c r="DD266" s="43">
        <v>0</v>
      </c>
      <c r="DI266" s="43" t="s">
        <v>0</v>
      </c>
    </row>
    <row r="267" spans="1:113" s="43" customFormat="1" ht="15.75" thickBot="1" x14ac:dyDescent="0.3">
      <c r="A267" s="43">
        <v>6293</v>
      </c>
      <c r="B267" s="43" t="s">
        <v>499</v>
      </c>
      <c r="C267" s="56" t="s">
        <v>452</v>
      </c>
      <c r="D267" s="43">
        <v>13</v>
      </c>
      <c r="E267" s="43">
        <v>0</v>
      </c>
      <c r="F267" s="43">
        <v>13</v>
      </c>
      <c r="G267" s="43">
        <v>398</v>
      </c>
      <c r="H267" s="43">
        <v>0</v>
      </c>
      <c r="I267" s="43">
        <v>25</v>
      </c>
      <c r="J267" s="57" t="s">
        <v>670</v>
      </c>
      <c r="K267" s="57" t="s">
        <v>671</v>
      </c>
      <c r="L267" s="59">
        <v>45947</v>
      </c>
      <c r="M267" s="43">
        <v>0</v>
      </c>
      <c r="N267" s="43">
        <v>0</v>
      </c>
      <c r="O267" s="43">
        <v>0</v>
      </c>
      <c r="S267" s="43" t="b">
        <v>0</v>
      </c>
      <c r="T267" s="43">
        <v>0.01</v>
      </c>
      <c r="U267" s="55">
        <v>8.25</v>
      </c>
      <c r="V267" s="43">
        <v>0.01</v>
      </c>
      <c r="W267" s="43">
        <v>0</v>
      </c>
      <c r="X267" s="43">
        <v>1000</v>
      </c>
      <c r="Z267" s="43">
        <v>10</v>
      </c>
      <c r="AB267" s="55">
        <v>50</v>
      </c>
      <c r="AD267" s="43">
        <v>10</v>
      </c>
      <c r="AF267" s="43">
        <v>2000</v>
      </c>
      <c r="AG267" s="43">
        <v>2</v>
      </c>
      <c r="AH267" s="43">
        <v>8.4300003050000001</v>
      </c>
      <c r="AI267" s="43">
        <v>16</v>
      </c>
      <c r="AJ267" s="43">
        <v>0</v>
      </c>
      <c r="AK267" s="43">
        <v>0</v>
      </c>
      <c r="AM267" s="43" t="s">
        <v>2</v>
      </c>
      <c r="AO267" s="43">
        <v>50</v>
      </c>
      <c r="AW267" s="43" t="b">
        <v>0</v>
      </c>
      <c r="BM267" s="36" t="s">
        <v>1</v>
      </c>
      <c r="BN267" s="61">
        <v>13</v>
      </c>
      <c r="BO267" s="38">
        <f t="shared" si="30"/>
        <v>8.25</v>
      </c>
      <c r="BP267" s="61">
        <v>250</v>
      </c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3"/>
      <c r="CF267" s="47" t="s">
        <v>16</v>
      </c>
      <c r="CI267" s="43">
        <v>2.68</v>
      </c>
      <c r="CR267" s="43">
        <v>0</v>
      </c>
      <c r="CS267" s="70">
        <v>0</v>
      </c>
      <c r="CT267" s="70">
        <v>0</v>
      </c>
      <c r="CU267" s="43">
        <v>0</v>
      </c>
      <c r="CV267" s="70">
        <v>0</v>
      </c>
      <c r="CW267" s="70">
        <v>0</v>
      </c>
      <c r="CX267" s="70">
        <v>0</v>
      </c>
      <c r="CY267" s="70">
        <v>0</v>
      </c>
      <c r="CZ267" s="70">
        <v>0</v>
      </c>
      <c r="DA267" s="70">
        <v>0</v>
      </c>
      <c r="DB267" s="70">
        <v>0</v>
      </c>
      <c r="DD267" s="43">
        <v>0</v>
      </c>
      <c r="DI267" s="43" t="s">
        <v>0</v>
      </c>
    </row>
    <row r="268" spans="1:113" s="43" customFormat="1" ht="15.75" thickBot="1" x14ac:dyDescent="0.3">
      <c r="A268" s="43">
        <v>6294</v>
      </c>
      <c r="B268" s="43" t="s">
        <v>499</v>
      </c>
      <c r="C268" s="56" t="s">
        <v>452</v>
      </c>
      <c r="D268" s="43">
        <v>13</v>
      </c>
      <c r="E268" s="43">
        <v>0</v>
      </c>
      <c r="F268" s="43">
        <v>13</v>
      </c>
      <c r="G268" s="43">
        <v>399</v>
      </c>
      <c r="H268" s="43">
        <v>0</v>
      </c>
      <c r="I268" s="43">
        <v>25</v>
      </c>
      <c r="J268" s="57" t="s">
        <v>672</v>
      </c>
      <c r="K268" s="57" t="s">
        <v>673</v>
      </c>
      <c r="L268" s="59">
        <v>45947</v>
      </c>
      <c r="M268" s="43">
        <v>0</v>
      </c>
      <c r="N268" s="43">
        <v>0</v>
      </c>
      <c r="O268" s="43">
        <v>0</v>
      </c>
      <c r="S268" s="43" t="b">
        <v>0</v>
      </c>
      <c r="T268" s="43">
        <v>0.01</v>
      </c>
      <c r="U268" s="55">
        <v>8.25</v>
      </c>
      <c r="V268" s="43">
        <v>0.01</v>
      </c>
      <c r="W268" s="43">
        <v>0</v>
      </c>
      <c r="X268" s="43">
        <v>1000</v>
      </c>
      <c r="Z268" s="43">
        <v>10</v>
      </c>
      <c r="AB268" s="55">
        <v>50</v>
      </c>
      <c r="AD268" s="43">
        <v>10</v>
      </c>
      <c r="AF268" s="43">
        <v>2000</v>
      </c>
      <c r="AG268" s="43">
        <v>2</v>
      </c>
      <c r="AH268" s="43">
        <v>8.4099998469999999</v>
      </c>
      <c r="AI268" s="43">
        <v>16</v>
      </c>
      <c r="AJ268" s="43">
        <v>0</v>
      </c>
      <c r="AK268" s="43">
        <v>0</v>
      </c>
      <c r="AM268" s="43" t="s">
        <v>2</v>
      </c>
      <c r="AO268" s="43">
        <v>50</v>
      </c>
      <c r="AW268" s="43" t="b">
        <v>0</v>
      </c>
      <c r="BM268" s="36" t="s">
        <v>1</v>
      </c>
      <c r="BN268" s="61">
        <v>13</v>
      </c>
      <c r="BO268" s="38">
        <f t="shared" si="30"/>
        <v>8.25</v>
      </c>
      <c r="BP268" s="61">
        <v>250</v>
      </c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3"/>
      <c r="CF268" s="47" t="s">
        <v>16</v>
      </c>
      <c r="CI268" s="43">
        <v>2.68</v>
      </c>
      <c r="CR268" s="43">
        <v>0</v>
      </c>
      <c r="CS268" s="70">
        <v>0</v>
      </c>
      <c r="CT268" s="70">
        <v>0</v>
      </c>
      <c r="CU268" s="43">
        <v>0</v>
      </c>
      <c r="CV268" s="70">
        <v>0</v>
      </c>
      <c r="CW268" s="70">
        <v>0</v>
      </c>
      <c r="CX268" s="70">
        <v>0</v>
      </c>
      <c r="CY268" s="70">
        <v>0</v>
      </c>
      <c r="CZ268" s="70">
        <v>0</v>
      </c>
      <c r="DA268" s="70">
        <v>0</v>
      </c>
      <c r="DB268" s="70">
        <v>0</v>
      </c>
      <c r="DD268" s="43">
        <v>0</v>
      </c>
      <c r="DI268" s="43" t="s">
        <v>0</v>
      </c>
    </row>
    <row r="269" spans="1:113" s="43" customFormat="1" ht="15.75" thickBot="1" x14ac:dyDescent="0.3">
      <c r="A269" s="43">
        <v>6295</v>
      </c>
      <c r="B269" s="43" t="s">
        <v>499</v>
      </c>
      <c r="C269" s="56" t="s">
        <v>452</v>
      </c>
      <c r="D269" s="43">
        <v>13</v>
      </c>
      <c r="E269" s="43">
        <v>0</v>
      </c>
      <c r="F269" s="43">
        <v>13</v>
      </c>
      <c r="G269" s="43">
        <v>400</v>
      </c>
      <c r="H269" s="43">
        <v>0</v>
      </c>
      <c r="I269" s="43">
        <v>25</v>
      </c>
      <c r="J269" s="57" t="s">
        <v>674</v>
      </c>
      <c r="K269" s="57" t="s">
        <v>675</v>
      </c>
      <c r="L269" s="59">
        <v>45947</v>
      </c>
      <c r="M269" s="43">
        <v>0</v>
      </c>
      <c r="N269" s="43">
        <v>0</v>
      </c>
      <c r="O269" s="43">
        <v>0</v>
      </c>
      <c r="S269" s="43" t="b">
        <v>0</v>
      </c>
      <c r="T269" s="43">
        <v>0.01</v>
      </c>
      <c r="U269" s="55">
        <v>8.25</v>
      </c>
      <c r="V269" s="43">
        <v>0.01</v>
      </c>
      <c r="W269" s="43">
        <v>0</v>
      </c>
      <c r="X269" s="43">
        <v>1000</v>
      </c>
      <c r="Z269" s="43">
        <v>10</v>
      </c>
      <c r="AB269" s="55">
        <v>50</v>
      </c>
      <c r="AD269" s="43">
        <v>10</v>
      </c>
      <c r="AF269" s="43">
        <v>2000</v>
      </c>
      <c r="AG269" s="43">
        <v>2</v>
      </c>
      <c r="AH269" s="43">
        <v>8.4899997710000008</v>
      </c>
      <c r="AI269" s="43">
        <v>16</v>
      </c>
      <c r="AJ269" s="43">
        <v>0</v>
      </c>
      <c r="AK269" s="43">
        <v>0</v>
      </c>
      <c r="AM269" s="43" t="s">
        <v>2</v>
      </c>
      <c r="AO269" s="43">
        <v>50</v>
      </c>
      <c r="AW269" s="43" t="b">
        <v>0</v>
      </c>
      <c r="BM269" s="36" t="s">
        <v>1</v>
      </c>
      <c r="BN269" s="61">
        <v>13</v>
      </c>
      <c r="BO269" s="38">
        <f t="shared" si="30"/>
        <v>8.25</v>
      </c>
      <c r="BP269" s="61">
        <v>250</v>
      </c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3"/>
      <c r="CF269" s="47" t="s">
        <v>16</v>
      </c>
      <c r="CI269" s="43">
        <v>2.68</v>
      </c>
      <c r="CR269" s="43">
        <v>0</v>
      </c>
      <c r="CS269" s="70">
        <v>0</v>
      </c>
      <c r="CT269" s="70">
        <v>0</v>
      </c>
      <c r="CU269" s="43">
        <v>0</v>
      </c>
      <c r="CV269" s="70">
        <v>0</v>
      </c>
      <c r="CW269" s="70">
        <v>0</v>
      </c>
      <c r="CX269" s="70">
        <v>0</v>
      </c>
      <c r="CY269" s="70">
        <v>0</v>
      </c>
      <c r="CZ269" s="70">
        <v>0</v>
      </c>
      <c r="DA269" s="70">
        <v>0</v>
      </c>
      <c r="DB269" s="70">
        <v>0</v>
      </c>
      <c r="DD269" s="43">
        <v>0</v>
      </c>
      <c r="DI269" s="43" t="s">
        <v>0</v>
      </c>
    </row>
    <row r="270" spans="1:113" s="43" customFormat="1" ht="15.75" thickBot="1" x14ac:dyDescent="0.3">
      <c r="A270" s="43">
        <v>31289</v>
      </c>
      <c r="B270" s="43" t="s">
        <v>499</v>
      </c>
      <c r="C270" s="56" t="s">
        <v>15</v>
      </c>
      <c r="D270" s="43">
        <v>60</v>
      </c>
      <c r="E270" s="43">
        <v>0</v>
      </c>
      <c r="F270" s="43">
        <v>60</v>
      </c>
      <c r="G270" s="43">
        <v>15</v>
      </c>
      <c r="H270" s="43">
        <v>0</v>
      </c>
      <c r="I270" s="43">
        <v>15</v>
      </c>
      <c r="J270" s="57" t="s">
        <v>681</v>
      </c>
      <c r="K270" s="57" t="s">
        <v>682</v>
      </c>
      <c r="L270" s="59">
        <v>46000.437905092593</v>
      </c>
      <c r="M270" s="43">
        <v>0</v>
      </c>
      <c r="N270" s="43">
        <v>0</v>
      </c>
      <c r="O270" s="43">
        <v>0</v>
      </c>
      <c r="S270" s="43" t="b">
        <v>0</v>
      </c>
      <c r="T270" s="43">
        <v>9.9999997764825821E-3</v>
      </c>
      <c r="U270" s="55">
        <v>4.5999999046325684</v>
      </c>
      <c r="V270" s="43">
        <v>9.9999997764825821E-3</v>
      </c>
      <c r="W270" s="43">
        <v>0</v>
      </c>
      <c r="X270" s="43">
        <v>1000</v>
      </c>
      <c r="Z270" s="43">
        <v>10</v>
      </c>
      <c r="AB270" s="55">
        <v>30</v>
      </c>
      <c r="AD270" s="43">
        <v>10</v>
      </c>
      <c r="AF270" s="43">
        <v>2000</v>
      </c>
      <c r="AG270" s="43">
        <v>2</v>
      </c>
      <c r="AH270" s="43">
        <v>5</v>
      </c>
      <c r="AI270" s="43">
        <v>571</v>
      </c>
      <c r="AJ270" s="43">
        <v>0</v>
      </c>
      <c r="AK270" s="43">
        <v>62</v>
      </c>
      <c r="AM270" s="43" t="s">
        <v>2</v>
      </c>
      <c r="AO270" s="43">
        <v>30</v>
      </c>
      <c r="AW270" s="43" t="b">
        <v>0</v>
      </c>
      <c r="AX270" s="43">
        <v>59</v>
      </c>
      <c r="BC270" s="43">
        <v>0</v>
      </c>
      <c r="BD270" s="43">
        <v>0</v>
      </c>
      <c r="BE270" s="43">
        <v>0</v>
      </c>
      <c r="BF270" s="43" t="s">
        <v>734</v>
      </c>
      <c r="BG270" s="43" t="s">
        <v>734</v>
      </c>
      <c r="BH270" s="43">
        <v>0</v>
      </c>
      <c r="BI270" s="43">
        <v>0</v>
      </c>
      <c r="BJ270" s="43">
        <v>0</v>
      </c>
      <c r="BK270" s="43">
        <v>0</v>
      </c>
      <c r="BM270" s="36" t="s">
        <v>1</v>
      </c>
      <c r="BN270" s="61">
        <v>60</v>
      </c>
      <c r="BO270" s="61">
        <v>4.5999999046325684</v>
      </c>
      <c r="BP270" s="61">
        <v>225</v>
      </c>
      <c r="CF270" s="47" t="s">
        <v>16</v>
      </c>
      <c r="CR270" s="43">
        <v>0</v>
      </c>
      <c r="CS270" s="70">
        <v>0</v>
      </c>
      <c r="CT270" s="70">
        <v>0</v>
      </c>
      <c r="CU270" s="43">
        <v>0</v>
      </c>
      <c r="CV270" s="70">
        <v>0</v>
      </c>
      <c r="CW270" s="70">
        <v>0</v>
      </c>
      <c r="CX270" s="70">
        <v>0</v>
      </c>
      <c r="CY270" s="70">
        <v>0</v>
      </c>
      <c r="CZ270" s="70">
        <v>0</v>
      </c>
      <c r="DA270" s="70">
        <v>0</v>
      </c>
      <c r="DB270" s="70">
        <v>0</v>
      </c>
      <c r="DD270" s="43">
        <v>0</v>
      </c>
    </row>
    <row r="271" spans="1:113" s="43" customFormat="1" ht="15.75" thickBot="1" x14ac:dyDescent="0.3">
      <c r="A271" s="43">
        <v>31294</v>
      </c>
      <c r="B271" s="43" t="s">
        <v>499</v>
      </c>
      <c r="C271" s="56" t="s">
        <v>15</v>
      </c>
      <c r="D271" s="43">
        <v>60</v>
      </c>
      <c r="E271" s="43">
        <v>0</v>
      </c>
      <c r="F271" s="43">
        <v>60</v>
      </c>
      <c r="G271" s="43">
        <v>20</v>
      </c>
      <c r="H271" s="43">
        <v>0</v>
      </c>
      <c r="I271" s="43">
        <v>37</v>
      </c>
      <c r="J271" s="57" t="s">
        <v>683</v>
      </c>
      <c r="K271" s="57" t="s">
        <v>684</v>
      </c>
      <c r="L271" s="59">
        <v>46000.444027777776</v>
      </c>
      <c r="M271" s="43">
        <v>0</v>
      </c>
      <c r="N271" s="43">
        <v>0</v>
      </c>
      <c r="O271" s="43">
        <v>0</v>
      </c>
      <c r="S271" s="43" t="b">
        <v>0</v>
      </c>
      <c r="T271" s="43">
        <v>9.9999997764825821E-3</v>
      </c>
      <c r="U271" s="55">
        <v>6.6999998092651367</v>
      </c>
      <c r="V271" s="43">
        <v>9.9999997764825821E-3</v>
      </c>
      <c r="W271" s="43">
        <v>0</v>
      </c>
      <c r="X271" s="43">
        <v>1000</v>
      </c>
      <c r="Z271" s="43">
        <v>10</v>
      </c>
      <c r="AB271" s="55">
        <v>75</v>
      </c>
      <c r="AD271" s="43">
        <v>10</v>
      </c>
      <c r="AF271" s="43">
        <v>2000</v>
      </c>
      <c r="AG271" s="43">
        <v>2</v>
      </c>
      <c r="AH271" s="43">
        <v>6.7699999809265137</v>
      </c>
      <c r="AI271" s="43">
        <v>783</v>
      </c>
      <c r="AJ271" s="43">
        <v>0</v>
      </c>
      <c r="AK271" s="43">
        <v>369</v>
      </c>
      <c r="AM271" s="43" t="s">
        <v>2</v>
      </c>
      <c r="AO271" s="43">
        <v>74</v>
      </c>
      <c r="AW271" s="43" t="b">
        <v>0</v>
      </c>
      <c r="BC271" s="43">
        <v>0</v>
      </c>
      <c r="BD271" s="43">
        <v>0</v>
      </c>
      <c r="BE271" s="43">
        <v>0</v>
      </c>
      <c r="BF271" s="43" t="s">
        <v>733</v>
      </c>
      <c r="BG271" s="43">
        <v>2</v>
      </c>
      <c r="BH271" s="43">
        <v>0</v>
      </c>
      <c r="BI271" s="43">
        <v>0</v>
      </c>
      <c r="BJ271" s="43">
        <v>0</v>
      </c>
      <c r="BK271" s="43">
        <v>0</v>
      </c>
      <c r="BM271" s="36" t="s">
        <v>1</v>
      </c>
      <c r="BN271" s="61">
        <v>60</v>
      </c>
      <c r="BO271" s="61">
        <v>6.6999998092651367</v>
      </c>
      <c r="BP271" s="61">
        <v>350</v>
      </c>
      <c r="CF271" s="47" t="s">
        <v>12</v>
      </c>
      <c r="CR271" s="43">
        <v>0</v>
      </c>
      <c r="CS271" s="70">
        <v>0</v>
      </c>
      <c r="CT271" s="70">
        <v>0</v>
      </c>
      <c r="CU271" s="43">
        <v>1</v>
      </c>
      <c r="CV271" s="70">
        <v>0</v>
      </c>
      <c r="CW271" s="70">
        <v>0</v>
      </c>
      <c r="CX271" s="70">
        <v>0</v>
      </c>
      <c r="CY271" s="70">
        <v>0</v>
      </c>
      <c r="CZ271" s="70">
        <v>0</v>
      </c>
      <c r="DA271" s="70">
        <v>0</v>
      </c>
      <c r="DB271" s="70">
        <v>0</v>
      </c>
      <c r="DD271" s="43">
        <v>2</v>
      </c>
    </row>
    <row r="272" spans="1:113" s="43" customFormat="1" ht="15.75" thickBot="1" x14ac:dyDescent="0.3">
      <c r="A272" s="43">
        <v>31297</v>
      </c>
      <c r="B272" s="43" t="s">
        <v>499</v>
      </c>
      <c r="C272" s="56" t="s">
        <v>15</v>
      </c>
      <c r="D272" s="43">
        <v>60</v>
      </c>
      <c r="E272" s="43">
        <v>0</v>
      </c>
      <c r="F272" s="43">
        <v>60</v>
      </c>
      <c r="G272" s="43">
        <v>23</v>
      </c>
      <c r="H272" s="43">
        <v>0</v>
      </c>
      <c r="I272" s="43">
        <v>15</v>
      </c>
      <c r="J272" s="57" t="s">
        <v>685</v>
      </c>
      <c r="K272" s="57" t="s">
        <v>686</v>
      </c>
      <c r="L272" s="59">
        <v>46000.445798611108</v>
      </c>
      <c r="M272" s="43">
        <v>0</v>
      </c>
      <c r="N272" s="43">
        <v>0</v>
      </c>
      <c r="O272" s="43">
        <v>0</v>
      </c>
      <c r="S272" s="43" t="b">
        <v>0</v>
      </c>
      <c r="T272" s="43">
        <v>9.9999997764825821E-3</v>
      </c>
      <c r="U272" s="55">
        <v>8.5</v>
      </c>
      <c r="V272" s="43">
        <v>9.9999997764825821E-3</v>
      </c>
      <c r="W272" s="43">
        <v>0</v>
      </c>
      <c r="X272" s="43">
        <v>1000</v>
      </c>
      <c r="Z272" s="43">
        <v>10</v>
      </c>
      <c r="AB272" s="55">
        <v>30</v>
      </c>
      <c r="AD272" s="43">
        <v>10</v>
      </c>
      <c r="AF272" s="43">
        <v>2000</v>
      </c>
      <c r="AG272" s="43">
        <v>2</v>
      </c>
      <c r="AH272" s="43">
        <v>8.8400001525878906</v>
      </c>
      <c r="AI272" s="43">
        <v>864</v>
      </c>
      <c r="AJ272" s="43">
        <v>0</v>
      </c>
      <c r="AK272" s="43">
        <v>172</v>
      </c>
      <c r="AM272" s="43" t="s">
        <v>2</v>
      </c>
      <c r="AO272" s="43">
        <v>30</v>
      </c>
      <c r="AW272" s="43" t="b">
        <v>0</v>
      </c>
      <c r="BC272" s="43">
        <v>0</v>
      </c>
      <c r="BD272" s="43">
        <v>0</v>
      </c>
      <c r="BE272" s="43">
        <v>0</v>
      </c>
      <c r="BF272" s="43" t="s">
        <v>735</v>
      </c>
      <c r="BG272" s="43" t="s">
        <v>735</v>
      </c>
      <c r="BH272" s="43">
        <v>0</v>
      </c>
      <c r="BI272" s="43">
        <v>0</v>
      </c>
      <c r="BJ272" s="43">
        <v>0</v>
      </c>
      <c r="BK272" s="43">
        <v>0</v>
      </c>
      <c r="BM272" s="36" t="s">
        <v>1</v>
      </c>
      <c r="BN272" s="61">
        <v>60</v>
      </c>
      <c r="BO272" s="61">
        <v>8.5</v>
      </c>
      <c r="BP272" s="61">
        <v>350</v>
      </c>
      <c r="CF272" s="47" t="s">
        <v>12</v>
      </c>
      <c r="CR272" s="43">
        <v>0</v>
      </c>
      <c r="CS272" s="70">
        <v>0</v>
      </c>
      <c r="CT272" s="70">
        <v>0</v>
      </c>
      <c r="CU272" s="43">
        <v>1</v>
      </c>
      <c r="CV272" s="70">
        <v>0</v>
      </c>
      <c r="CW272" s="70">
        <v>0</v>
      </c>
      <c r="CX272" s="70">
        <v>0</v>
      </c>
      <c r="CY272" s="70">
        <v>0</v>
      </c>
      <c r="CZ272" s="70">
        <v>0</v>
      </c>
      <c r="DA272" s="70">
        <v>0</v>
      </c>
      <c r="DB272" s="70">
        <v>0</v>
      </c>
      <c r="DD272" s="43">
        <v>2</v>
      </c>
    </row>
    <row r="273" spans="1:108" s="43" customFormat="1" ht="15.75" thickBot="1" x14ac:dyDescent="0.3">
      <c r="A273" s="43">
        <v>31298</v>
      </c>
      <c r="B273" s="43" t="s">
        <v>499</v>
      </c>
      <c r="C273" s="56" t="s">
        <v>15</v>
      </c>
      <c r="D273" s="43">
        <v>60</v>
      </c>
      <c r="E273" s="43">
        <v>0</v>
      </c>
      <c r="F273" s="43">
        <v>60</v>
      </c>
      <c r="G273" s="43">
        <v>24</v>
      </c>
      <c r="H273" s="43">
        <v>0</v>
      </c>
      <c r="I273" s="43">
        <v>15</v>
      </c>
      <c r="J273" s="57" t="s">
        <v>687</v>
      </c>
      <c r="K273" s="57" t="s">
        <v>688</v>
      </c>
      <c r="L273" s="59">
        <v>46000.445891203701</v>
      </c>
      <c r="M273" s="43">
        <v>0</v>
      </c>
      <c r="N273" s="43">
        <v>0</v>
      </c>
      <c r="O273" s="43">
        <v>0</v>
      </c>
      <c r="S273" s="43" t="b">
        <v>0</v>
      </c>
      <c r="T273" s="43">
        <v>9.9999997764825821E-3</v>
      </c>
      <c r="U273" s="55">
        <v>8</v>
      </c>
      <c r="V273" s="43">
        <v>9.9999997764825821E-3</v>
      </c>
      <c r="W273" s="43">
        <v>0</v>
      </c>
      <c r="X273" s="43">
        <v>1000</v>
      </c>
      <c r="Z273" s="43">
        <v>10</v>
      </c>
      <c r="AB273" s="55">
        <v>30</v>
      </c>
      <c r="AD273" s="43">
        <v>10</v>
      </c>
      <c r="AF273" s="43">
        <v>2000</v>
      </c>
      <c r="AG273" s="43">
        <v>2</v>
      </c>
      <c r="AH273" s="43">
        <v>8.2299995422363281</v>
      </c>
      <c r="AI273" s="43">
        <v>813</v>
      </c>
      <c r="AJ273" s="43">
        <v>0</v>
      </c>
      <c r="AK273" s="43">
        <v>158</v>
      </c>
      <c r="AM273" s="43" t="s">
        <v>2</v>
      </c>
      <c r="AO273" s="43">
        <v>30</v>
      </c>
      <c r="AW273" s="43" t="b">
        <v>0</v>
      </c>
      <c r="BC273" s="43">
        <v>0</v>
      </c>
      <c r="BD273" s="43">
        <v>0</v>
      </c>
      <c r="BE273" s="43">
        <v>0</v>
      </c>
      <c r="BF273" s="43" t="s">
        <v>735</v>
      </c>
      <c r="BG273" s="43" t="s">
        <v>735</v>
      </c>
      <c r="BH273" s="43">
        <v>0</v>
      </c>
      <c r="BI273" s="43">
        <v>0</v>
      </c>
      <c r="BJ273" s="43">
        <v>0</v>
      </c>
      <c r="BK273" s="43">
        <v>0</v>
      </c>
      <c r="BM273" s="36" t="s">
        <v>1</v>
      </c>
      <c r="BN273" s="61">
        <v>60</v>
      </c>
      <c r="BO273" s="61">
        <v>8</v>
      </c>
      <c r="BP273" s="61">
        <v>350</v>
      </c>
      <c r="CF273" s="47" t="s">
        <v>12</v>
      </c>
      <c r="CR273" s="43">
        <v>0</v>
      </c>
      <c r="CS273" s="70">
        <v>0</v>
      </c>
      <c r="CT273" s="70">
        <v>0</v>
      </c>
      <c r="CU273" s="43">
        <v>1</v>
      </c>
      <c r="CV273" s="70">
        <v>0</v>
      </c>
      <c r="CW273" s="70">
        <v>0</v>
      </c>
      <c r="CX273" s="70">
        <v>0</v>
      </c>
      <c r="CY273" s="70">
        <v>0</v>
      </c>
      <c r="CZ273" s="70">
        <v>0</v>
      </c>
      <c r="DA273" s="70">
        <v>0</v>
      </c>
      <c r="DB273" s="70">
        <v>0</v>
      </c>
      <c r="DD273" s="43">
        <v>2</v>
      </c>
    </row>
    <row r="274" spans="1:108" s="43" customFormat="1" ht="15.75" thickBot="1" x14ac:dyDescent="0.3">
      <c r="A274" s="43">
        <v>31299</v>
      </c>
      <c r="B274" s="43" t="s">
        <v>499</v>
      </c>
      <c r="C274" s="56" t="s">
        <v>15</v>
      </c>
      <c r="D274" s="43">
        <v>60</v>
      </c>
      <c r="E274" s="43">
        <v>0</v>
      </c>
      <c r="F274" s="43">
        <v>60</v>
      </c>
      <c r="G274" s="43">
        <v>25</v>
      </c>
      <c r="H274" s="43">
        <v>0</v>
      </c>
      <c r="I274" s="43">
        <v>12</v>
      </c>
      <c r="J274" s="57" t="s">
        <v>689</v>
      </c>
      <c r="K274" s="57" t="s">
        <v>690</v>
      </c>
      <c r="L274" s="59">
        <v>46000.446018518516</v>
      </c>
      <c r="M274" s="43">
        <v>0</v>
      </c>
      <c r="N274" s="43">
        <v>0</v>
      </c>
      <c r="O274" s="43">
        <v>0</v>
      </c>
      <c r="S274" s="43" t="b">
        <v>0</v>
      </c>
      <c r="T274" s="43">
        <v>9.9999997764825821E-3</v>
      </c>
      <c r="U274" s="55">
        <v>9</v>
      </c>
      <c r="V274" s="43">
        <v>9.9999997764825821E-3</v>
      </c>
      <c r="W274" s="43">
        <v>0</v>
      </c>
      <c r="X274" s="43">
        <v>1000</v>
      </c>
      <c r="Z274" s="43">
        <v>10</v>
      </c>
      <c r="AB274" s="55">
        <v>25</v>
      </c>
      <c r="AD274" s="43">
        <v>10</v>
      </c>
      <c r="AF274" s="43">
        <v>2000</v>
      </c>
      <c r="AG274" s="43">
        <v>2</v>
      </c>
      <c r="AH274" s="43">
        <v>9.4799995422363281</v>
      </c>
      <c r="AI274" s="43">
        <v>881</v>
      </c>
      <c r="AJ274" s="43">
        <v>0</v>
      </c>
      <c r="AK274" s="43">
        <v>150</v>
      </c>
      <c r="AM274" s="43" t="s">
        <v>2</v>
      </c>
      <c r="AO274" s="43">
        <v>24</v>
      </c>
      <c r="AW274" s="43" t="b">
        <v>0</v>
      </c>
      <c r="BC274" s="43">
        <v>0</v>
      </c>
      <c r="BD274" s="43">
        <v>0</v>
      </c>
      <c r="BE274" s="43">
        <v>0</v>
      </c>
      <c r="BF274" s="43" t="s">
        <v>735</v>
      </c>
      <c r="BG274" s="43" t="s">
        <v>735</v>
      </c>
      <c r="BH274" s="43">
        <v>0</v>
      </c>
      <c r="BI274" s="43">
        <v>0</v>
      </c>
      <c r="BJ274" s="43">
        <v>0</v>
      </c>
      <c r="BK274" s="43">
        <v>0</v>
      </c>
      <c r="BM274" s="36" t="s">
        <v>1</v>
      </c>
      <c r="BN274" s="61">
        <v>60</v>
      </c>
      <c r="BO274" s="61">
        <v>9</v>
      </c>
      <c r="BP274" s="61">
        <v>350</v>
      </c>
      <c r="CF274" s="47" t="s">
        <v>12</v>
      </c>
      <c r="CR274" s="43">
        <v>0</v>
      </c>
      <c r="CS274" s="70">
        <v>0</v>
      </c>
      <c r="CT274" s="70">
        <v>0</v>
      </c>
      <c r="CU274" s="43">
        <v>1</v>
      </c>
      <c r="CV274" s="70">
        <v>0</v>
      </c>
      <c r="CW274" s="70">
        <v>0</v>
      </c>
      <c r="CX274" s="70">
        <v>0</v>
      </c>
      <c r="CY274" s="70">
        <v>0</v>
      </c>
      <c r="CZ274" s="70">
        <v>0</v>
      </c>
      <c r="DA274" s="70">
        <v>0</v>
      </c>
      <c r="DB274" s="70">
        <v>0</v>
      </c>
      <c r="DD274" s="43">
        <v>2</v>
      </c>
    </row>
    <row r="275" spans="1:108" s="43" customFormat="1" ht="15.75" thickBot="1" x14ac:dyDescent="0.3">
      <c r="A275" s="43">
        <v>31300</v>
      </c>
      <c r="B275" s="43" t="s">
        <v>499</v>
      </c>
      <c r="C275" s="56" t="s">
        <v>15</v>
      </c>
      <c r="D275" s="43">
        <v>60</v>
      </c>
      <c r="E275" s="43">
        <v>0</v>
      </c>
      <c r="F275" s="43">
        <v>60</v>
      </c>
      <c r="G275" s="43">
        <v>26</v>
      </c>
      <c r="H275" s="43">
        <v>0</v>
      </c>
      <c r="I275" s="43">
        <v>11</v>
      </c>
      <c r="J275" s="57" t="s">
        <v>691</v>
      </c>
      <c r="K275" s="57" t="s">
        <v>692</v>
      </c>
      <c r="L275" s="59">
        <v>46000.446111111109</v>
      </c>
      <c r="M275" s="43">
        <v>0</v>
      </c>
      <c r="N275" s="43">
        <v>0</v>
      </c>
      <c r="O275" s="43">
        <v>0</v>
      </c>
      <c r="S275" s="43" t="b">
        <v>0</v>
      </c>
      <c r="T275" s="43">
        <v>9.9999997764825821E-3</v>
      </c>
      <c r="U275" s="55">
        <v>9</v>
      </c>
      <c r="V275" s="43">
        <v>9.9999997764825821E-3</v>
      </c>
      <c r="W275" s="43">
        <v>0</v>
      </c>
      <c r="X275" s="43">
        <v>1000</v>
      </c>
      <c r="Z275" s="43">
        <v>10</v>
      </c>
      <c r="AB275" s="55">
        <v>22</v>
      </c>
      <c r="AD275" s="43">
        <v>10</v>
      </c>
      <c r="AF275" s="43">
        <v>2000</v>
      </c>
      <c r="AG275" s="43">
        <v>2</v>
      </c>
      <c r="AH275" s="43">
        <v>6.9200000762939453</v>
      </c>
      <c r="AI275" s="43">
        <v>847</v>
      </c>
      <c r="AJ275" s="43">
        <v>0</v>
      </c>
      <c r="AK275" s="43">
        <v>109</v>
      </c>
      <c r="AM275" s="43" t="s">
        <v>2</v>
      </c>
      <c r="AO275" s="43">
        <v>22</v>
      </c>
      <c r="AW275" s="43" t="b">
        <v>0</v>
      </c>
      <c r="AX275" s="43">
        <v>56</v>
      </c>
      <c r="BC275" s="43">
        <v>0</v>
      </c>
      <c r="BD275" s="43">
        <v>0</v>
      </c>
      <c r="BE275" s="43">
        <v>0</v>
      </c>
      <c r="BF275" s="43" t="s">
        <v>735</v>
      </c>
      <c r="BG275" s="43" t="s">
        <v>735</v>
      </c>
      <c r="BH275" s="43">
        <v>0</v>
      </c>
      <c r="BI275" s="43">
        <v>0</v>
      </c>
      <c r="BJ275" s="43">
        <v>0</v>
      </c>
      <c r="BK275" s="43">
        <v>0</v>
      </c>
      <c r="BM275" s="36" t="s">
        <v>1</v>
      </c>
      <c r="BN275" s="61">
        <v>60</v>
      </c>
      <c r="BO275" s="61">
        <v>9</v>
      </c>
      <c r="BP275" s="61">
        <v>350</v>
      </c>
      <c r="CF275" s="47" t="s">
        <v>12</v>
      </c>
      <c r="CR275" s="43">
        <v>0</v>
      </c>
      <c r="CS275" s="70">
        <v>0</v>
      </c>
      <c r="CT275" s="70">
        <v>0</v>
      </c>
      <c r="CU275" s="43">
        <v>1</v>
      </c>
      <c r="CV275" s="70">
        <v>0</v>
      </c>
      <c r="CW275" s="70">
        <v>0</v>
      </c>
      <c r="CX275" s="70">
        <v>0</v>
      </c>
      <c r="CY275" s="70">
        <v>0</v>
      </c>
      <c r="CZ275" s="70">
        <v>0</v>
      </c>
      <c r="DA275" s="70">
        <v>0</v>
      </c>
      <c r="DB275" s="70">
        <v>0</v>
      </c>
      <c r="DD275" s="43">
        <v>2</v>
      </c>
    </row>
    <row r="276" spans="1:108" s="43" customFormat="1" ht="15.75" thickBot="1" x14ac:dyDescent="0.3">
      <c r="A276" s="43">
        <v>34706</v>
      </c>
      <c r="B276" s="43" t="s">
        <v>499</v>
      </c>
      <c r="C276" s="56" t="s">
        <v>15</v>
      </c>
      <c r="D276" s="43">
        <v>60</v>
      </c>
      <c r="E276" s="43">
        <v>0</v>
      </c>
      <c r="F276" s="43">
        <v>60</v>
      </c>
      <c r="G276" s="43">
        <v>1</v>
      </c>
      <c r="H276" s="43">
        <v>0</v>
      </c>
      <c r="I276" s="43">
        <v>42</v>
      </c>
      <c r="J276" s="57" t="s">
        <v>693</v>
      </c>
      <c r="K276" s="57" t="s">
        <v>694</v>
      </c>
      <c r="L276" s="59">
        <v>46010.437789351854</v>
      </c>
      <c r="M276" s="43">
        <v>0</v>
      </c>
      <c r="N276" s="43">
        <v>0</v>
      </c>
      <c r="O276" s="43">
        <v>0</v>
      </c>
      <c r="S276" s="43" t="b">
        <v>0</v>
      </c>
      <c r="T276" s="43">
        <v>9.9999997764825821E-3</v>
      </c>
      <c r="U276" s="55">
        <v>6.5</v>
      </c>
      <c r="V276" s="43">
        <v>9.9999997764825821E-3</v>
      </c>
      <c r="W276" s="43">
        <v>0</v>
      </c>
      <c r="X276" s="43">
        <v>1000</v>
      </c>
      <c r="Z276" s="43">
        <v>10</v>
      </c>
      <c r="AB276" s="55">
        <v>85</v>
      </c>
      <c r="AD276" s="43">
        <v>10</v>
      </c>
      <c r="AF276" s="43">
        <v>2000</v>
      </c>
      <c r="AG276" s="43">
        <v>2</v>
      </c>
      <c r="AH276" s="43">
        <v>6.559999942779541</v>
      </c>
      <c r="AI276" s="43">
        <v>915</v>
      </c>
      <c r="AJ276" s="43">
        <v>0</v>
      </c>
      <c r="AK276" s="43">
        <v>478</v>
      </c>
      <c r="AM276" s="43" t="s">
        <v>2</v>
      </c>
      <c r="AO276" s="43">
        <v>84</v>
      </c>
      <c r="AW276" s="43" t="b">
        <v>0</v>
      </c>
      <c r="BC276" s="43">
        <v>0</v>
      </c>
      <c r="BD276" s="43">
        <v>0</v>
      </c>
      <c r="BE276" s="43">
        <v>0</v>
      </c>
      <c r="BF276" s="43" t="s">
        <v>735</v>
      </c>
      <c r="BG276" s="43" t="s">
        <v>733</v>
      </c>
      <c r="BH276" s="43" t="s">
        <v>733</v>
      </c>
      <c r="BI276" s="43">
        <v>0</v>
      </c>
      <c r="BJ276" s="43">
        <v>0</v>
      </c>
      <c r="BK276" s="43">
        <v>0</v>
      </c>
      <c r="BM276" s="36" t="s">
        <v>1</v>
      </c>
      <c r="BN276" s="61">
        <v>60</v>
      </c>
      <c r="BO276" s="61">
        <v>6.5</v>
      </c>
      <c r="BP276" s="61">
        <v>300</v>
      </c>
      <c r="CF276" s="47" t="s">
        <v>12</v>
      </c>
      <c r="CR276" s="43">
        <v>0</v>
      </c>
      <c r="CS276" s="70">
        <v>0</v>
      </c>
      <c r="CT276" s="70">
        <v>0</v>
      </c>
      <c r="CU276" s="43">
        <v>1</v>
      </c>
      <c r="CV276" s="70">
        <v>0</v>
      </c>
      <c r="CW276" s="70">
        <v>0</v>
      </c>
      <c r="CX276" s="70">
        <v>0</v>
      </c>
      <c r="CY276" s="70">
        <v>0</v>
      </c>
      <c r="CZ276" s="70">
        <v>0</v>
      </c>
      <c r="DA276" s="70">
        <v>0</v>
      </c>
      <c r="DB276" s="70">
        <v>0</v>
      </c>
      <c r="DD276" s="43">
        <v>2</v>
      </c>
    </row>
    <row r="277" spans="1:108" s="43" customFormat="1" ht="15.75" thickBot="1" x14ac:dyDescent="0.3">
      <c r="A277" s="43">
        <v>34707</v>
      </c>
      <c r="B277" s="43" t="s">
        <v>499</v>
      </c>
      <c r="C277" s="56" t="s">
        <v>15</v>
      </c>
      <c r="D277" s="43">
        <v>60</v>
      </c>
      <c r="E277" s="43">
        <v>0</v>
      </c>
      <c r="F277" s="43">
        <v>60</v>
      </c>
      <c r="G277" s="43">
        <v>2</v>
      </c>
      <c r="H277" s="43">
        <v>0</v>
      </c>
      <c r="I277" s="43">
        <v>42</v>
      </c>
      <c r="J277" s="57" t="s">
        <v>695</v>
      </c>
      <c r="K277" s="57" t="s">
        <v>696</v>
      </c>
      <c r="L277" s="59">
        <v>46010.437939814816</v>
      </c>
      <c r="M277" s="43">
        <v>0</v>
      </c>
      <c r="N277" s="43">
        <v>0</v>
      </c>
      <c r="O277" s="43">
        <v>0</v>
      </c>
      <c r="S277" s="43" t="b">
        <v>0</v>
      </c>
      <c r="T277" s="43">
        <v>9.9999997764825821E-3</v>
      </c>
      <c r="U277" s="55">
        <v>6</v>
      </c>
      <c r="V277" s="43">
        <v>9.9999997764825821E-3</v>
      </c>
      <c r="W277" s="43">
        <v>0</v>
      </c>
      <c r="X277" s="43">
        <v>1000</v>
      </c>
      <c r="Z277" s="43">
        <v>10</v>
      </c>
      <c r="AB277" s="55">
        <v>85</v>
      </c>
      <c r="AD277" s="43">
        <v>10</v>
      </c>
      <c r="AF277" s="43">
        <v>2000</v>
      </c>
      <c r="AG277" s="43">
        <v>2</v>
      </c>
      <c r="AH277" s="43">
        <v>6.059999942779541</v>
      </c>
      <c r="AI277" s="43">
        <v>834</v>
      </c>
      <c r="AJ277" s="43">
        <v>0</v>
      </c>
      <c r="AK277" s="43">
        <v>401</v>
      </c>
      <c r="AM277" s="43" t="s">
        <v>2</v>
      </c>
      <c r="AO277" s="43">
        <v>84</v>
      </c>
      <c r="AW277" s="43" t="b">
        <v>0</v>
      </c>
      <c r="BC277" s="43">
        <v>0</v>
      </c>
      <c r="BD277" s="43">
        <v>0</v>
      </c>
      <c r="BE277" s="43">
        <v>0</v>
      </c>
      <c r="BF277" s="43" t="s">
        <v>735</v>
      </c>
      <c r="BG277" s="43" t="s">
        <v>733</v>
      </c>
      <c r="BH277" s="43" t="s">
        <v>733</v>
      </c>
      <c r="BI277" s="43">
        <v>0</v>
      </c>
      <c r="BJ277" s="43">
        <v>0</v>
      </c>
      <c r="BK277" s="43">
        <v>0</v>
      </c>
      <c r="BM277" s="36" t="s">
        <v>1</v>
      </c>
      <c r="BN277" s="61">
        <v>60</v>
      </c>
      <c r="BO277" s="61">
        <v>6</v>
      </c>
      <c r="BP277" s="61">
        <v>300</v>
      </c>
      <c r="CF277" s="47" t="s">
        <v>12</v>
      </c>
      <c r="CR277" s="43">
        <v>0</v>
      </c>
      <c r="CS277" s="70">
        <v>0</v>
      </c>
      <c r="CT277" s="70">
        <v>0</v>
      </c>
      <c r="CU277" s="43">
        <v>1</v>
      </c>
      <c r="CV277" s="70">
        <v>0</v>
      </c>
      <c r="CW277" s="70">
        <v>0</v>
      </c>
      <c r="CX277" s="70">
        <v>0</v>
      </c>
      <c r="CY277" s="70">
        <v>0</v>
      </c>
      <c r="CZ277" s="70">
        <v>0</v>
      </c>
      <c r="DA277" s="70">
        <v>0</v>
      </c>
      <c r="DB277" s="70">
        <v>0</v>
      </c>
      <c r="DD277" s="43">
        <v>2</v>
      </c>
    </row>
    <row r="278" spans="1:108" s="43" customFormat="1" ht="15.75" thickBot="1" x14ac:dyDescent="0.3">
      <c r="A278" s="43">
        <v>34708</v>
      </c>
      <c r="B278" s="43" t="s">
        <v>499</v>
      </c>
      <c r="C278" s="56" t="s">
        <v>15</v>
      </c>
      <c r="D278" s="43">
        <v>60</v>
      </c>
      <c r="E278" s="43">
        <v>0</v>
      </c>
      <c r="F278" s="43">
        <v>60</v>
      </c>
      <c r="G278" s="43">
        <v>3</v>
      </c>
      <c r="H278" s="43">
        <v>0</v>
      </c>
      <c r="I278" s="43">
        <v>15</v>
      </c>
      <c r="J278" s="57" t="s">
        <v>697</v>
      </c>
      <c r="K278" s="57" t="s">
        <v>698</v>
      </c>
      <c r="L278" s="59">
        <v>46010.438078703701</v>
      </c>
      <c r="M278" s="43">
        <v>0</v>
      </c>
      <c r="N278" s="43">
        <v>0</v>
      </c>
      <c r="O278" s="43">
        <v>0</v>
      </c>
      <c r="S278" s="43" t="b">
        <v>0</v>
      </c>
      <c r="T278" s="43">
        <v>9.9999997764825821E-3</v>
      </c>
      <c r="U278" s="55">
        <v>8.5</v>
      </c>
      <c r="V278" s="43">
        <v>9.9999997764825821E-3</v>
      </c>
      <c r="W278" s="43">
        <v>0</v>
      </c>
      <c r="X278" s="43">
        <v>1000</v>
      </c>
      <c r="Z278" s="43">
        <v>10</v>
      </c>
      <c r="AB278" s="55">
        <v>30</v>
      </c>
      <c r="AD278" s="43">
        <v>10</v>
      </c>
      <c r="AF278" s="43">
        <v>2000</v>
      </c>
      <c r="AG278" s="43">
        <v>2</v>
      </c>
      <c r="AH278" s="43">
        <v>8.7899999618530273</v>
      </c>
      <c r="AI278" s="43">
        <v>931</v>
      </c>
      <c r="AJ278" s="43">
        <v>0</v>
      </c>
      <c r="AK278" s="43">
        <v>185</v>
      </c>
      <c r="AM278" s="43" t="s">
        <v>2</v>
      </c>
      <c r="AO278" s="43">
        <v>30</v>
      </c>
      <c r="AW278" s="43" t="b">
        <v>0</v>
      </c>
      <c r="BC278" s="43">
        <v>0</v>
      </c>
      <c r="BD278" s="43">
        <v>0</v>
      </c>
      <c r="BE278" s="43">
        <v>0</v>
      </c>
      <c r="BF278" s="43" t="s">
        <v>735</v>
      </c>
      <c r="BG278" s="43" t="s">
        <v>733</v>
      </c>
      <c r="BH278" s="43" t="s">
        <v>733</v>
      </c>
      <c r="BI278" s="43">
        <v>0</v>
      </c>
      <c r="BJ278" s="43">
        <v>0</v>
      </c>
      <c r="BK278" s="43">
        <v>0</v>
      </c>
      <c r="BM278" s="36" t="s">
        <v>1</v>
      </c>
      <c r="BN278" s="61">
        <v>60</v>
      </c>
      <c r="BO278" s="61">
        <v>8.5</v>
      </c>
      <c r="BP278" s="61">
        <v>300</v>
      </c>
      <c r="CF278" s="47" t="s">
        <v>12</v>
      </c>
      <c r="CR278" s="43">
        <v>0</v>
      </c>
      <c r="CS278" s="70">
        <v>0</v>
      </c>
      <c r="CT278" s="70">
        <v>0</v>
      </c>
      <c r="CU278" s="43">
        <v>1</v>
      </c>
      <c r="CV278" s="70">
        <v>0</v>
      </c>
      <c r="CW278" s="70">
        <v>0</v>
      </c>
      <c r="CX278" s="70">
        <v>0</v>
      </c>
      <c r="CY278" s="70">
        <v>0</v>
      </c>
      <c r="CZ278" s="70">
        <v>0</v>
      </c>
      <c r="DA278" s="70">
        <v>0</v>
      </c>
      <c r="DB278" s="70">
        <v>0</v>
      </c>
      <c r="DD278" s="43">
        <v>2</v>
      </c>
    </row>
    <row r="279" spans="1:108" s="43" customFormat="1" ht="15.75" thickBot="1" x14ac:dyDescent="0.3">
      <c r="A279" s="43">
        <v>34709</v>
      </c>
      <c r="B279" s="43" t="s">
        <v>499</v>
      </c>
      <c r="C279" s="56" t="s">
        <v>15</v>
      </c>
      <c r="D279" s="43">
        <v>60</v>
      </c>
      <c r="E279" s="43">
        <v>0</v>
      </c>
      <c r="F279" s="43">
        <v>60</v>
      </c>
      <c r="G279" s="43">
        <v>4</v>
      </c>
      <c r="H279" s="43">
        <v>0</v>
      </c>
      <c r="I279" s="43">
        <v>12</v>
      </c>
      <c r="J279" s="57" t="s">
        <v>699</v>
      </c>
      <c r="K279" s="57" t="s">
        <v>700</v>
      </c>
      <c r="L279" s="59">
        <v>46010.438206018516</v>
      </c>
      <c r="M279" s="43">
        <v>0</v>
      </c>
      <c r="N279" s="43">
        <v>0</v>
      </c>
      <c r="O279" s="43">
        <v>0</v>
      </c>
      <c r="S279" s="43" t="b">
        <v>0</v>
      </c>
      <c r="T279" s="43">
        <v>9.9999997764825821E-3</v>
      </c>
      <c r="U279" s="55">
        <v>8.5</v>
      </c>
      <c r="V279" s="43">
        <v>9.9999997764825821E-3</v>
      </c>
      <c r="W279" s="43">
        <v>0</v>
      </c>
      <c r="X279" s="43">
        <v>1000</v>
      </c>
      <c r="Z279" s="43">
        <v>10</v>
      </c>
      <c r="AB279" s="55">
        <v>25</v>
      </c>
      <c r="AD279" s="43">
        <v>10</v>
      </c>
      <c r="AF279" s="43">
        <v>2000</v>
      </c>
      <c r="AG279" s="43">
        <v>2</v>
      </c>
      <c r="AH279" s="43">
        <v>9.0799999237060547</v>
      </c>
      <c r="AI279" s="43">
        <v>881</v>
      </c>
      <c r="AJ279" s="43">
        <v>0</v>
      </c>
      <c r="AK279" s="43">
        <v>132</v>
      </c>
      <c r="AM279" s="43" t="s">
        <v>2</v>
      </c>
      <c r="AO279" s="43">
        <v>24</v>
      </c>
      <c r="AW279" s="43" t="b">
        <v>0</v>
      </c>
      <c r="BC279" s="43">
        <v>0</v>
      </c>
      <c r="BD279" s="43">
        <v>0</v>
      </c>
      <c r="BE279" s="43">
        <v>0</v>
      </c>
      <c r="BF279" s="43" t="s">
        <v>735</v>
      </c>
      <c r="BG279" s="43" t="s">
        <v>733</v>
      </c>
      <c r="BH279" s="43" t="s">
        <v>733</v>
      </c>
      <c r="BI279" s="43">
        <v>0</v>
      </c>
      <c r="BJ279" s="43">
        <v>0</v>
      </c>
      <c r="BK279" s="43">
        <v>0</v>
      </c>
      <c r="BM279" s="36" t="s">
        <v>1</v>
      </c>
      <c r="BN279" s="61">
        <v>60</v>
      </c>
      <c r="BO279" s="61">
        <v>8.5</v>
      </c>
      <c r="BP279" s="61">
        <v>300</v>
      </c>
      <c r="CF279" s="47" t="s">
        <v>12</v>
      </c>
      <c r="CR279" s="43">
        <v>0</v>
      </c>
      <c r="CS279" s="70">
        <v>0</v>
      </c>
      <c r="CT279" s="70">
        <v>0</v>
      </c>
      <c r="CU279" s="43">
        <v>1</v>
      </c>
      <c r="CV279" s="70">
        <v>0</v>
      </c>
      <c r="CW279" s="70">
        <v>0</v>
      </c>
      <c r="CX279" s="70">
        <v>0</v>
      </c>
      <c r="CY279" s="70">
        <v>0</v>
      </c>
      <c r="CZ279" s="70">
        <v>0</v>
      </c>
      <c r="DA279" s="70">
        <v>0</v>
      </c>
      <c r="DB279" s="70">
        <v>0</v>
      </c>
      <c r="DD279" s="43">
        <v>2</v>
      </c>
    </row>
    <row r="280" spans="1:108" s="43" customFormat="1" ht="15.75" thickBot="1" x14ac:dyDescent="0.3">
      <c r="A280" s="43">
        <v>34710</v>
      </c>
      <c r="B280" s="43" t="s">
        <v>499</v>
      </c>
      <c r="C280" s="56" t="s">
        <v>15</v>
      </c>
      <c r="D280" s="43">
        <v>60</v>
      </c>
      <c r="E280" s="43">
        <v>0</v>
      </c>
      <c r="F280" s="43">
        <v>60</v>
      </c>
      <c r="G280" s="43">
        <v>5</v>
      </c>
      <c r="H280" s="43">
        <v>0</v>
      </c>
      <c r="I280" s="43">
        <v>25</v>
      </c>
      <c r="J280" s="57" t="s">
        <v>701</v>
      </c>
      <c r="K280" s="57" t="s">
        <v>702</v>
      </c>
      <c r="L280" s="59">
        <v>46010.439432870371</v>
      </c>
      <c r="M280" s="43">
        <v>0</v>
      </c>
      <c r="N280" s="43">
        <v>0</v>
      </c>
      <c r="O280" s="43">
        <v>0</v>
      </c>
      <c r="S280" s="43" t="b">
        <v>0</v>
      </c>
      <c r="T280" s="43">
        <v>9.9999997764825821E-3</v>
      </c>
      <c r="U280" s="55">
        <v>6</v>
      </c>
      <c r="V280" s="43">
        <v>9.9999997764825821E-3</v>
      </c>
      <c r="W280" s="43">
        <v>0</v>
      </c>
      <c r="X280" s="43">
        <v>1000</v>
      </c>
      <c r="Z280" s="43">
        <v>10</v>
      </c>
      <c r="AB280" s="55">
        <v>50</v>
      </c>
      <c r="AD280" s="43">
        <v>10</v>
      </c>
      <c r="AF280" s="43">
        <v>2000</v>
      </c>
      <c r="AG280" s="43">
        <v>2</v>
      </c>
      <c r="AH280" s="43">
        <v>6.1700000762939453</v>
      </c>
      <c r="AI280" s="43">
        <v>864</v>
      </c>
      <c r="AJ280" s="43">
        <v>0</v>
      </c>
      <c r="AK280" s="43">
        <v>229</v>
      </c>
      <c r="AM280" s="43" t="s">
        <v>2</v>
      </c>
      <c r="AO280" s="43">
        <v>50</v>
      </c>
      <c r="AW280" s="43" t="b">
        <v>0</v>
      </c>
      <c r="BC280" s="43">
        <v>0</v>
      </c>
      <c r="BD280" s="43">
        <v>0</v>
      </c>
      <c r="BE280" s="43">
        <v>0</v>
      </c>
      <c r="BF280" s="43" t="s">
        <v>733</v>
      </c>
      <c r="BG280" s="43">
        <v>1</v>
      </c>
      <c r="BH280" s="43" t="s">
        <v>734</v>
      </c>
      <c r="BI280" s="43">
        <v>0</v>
      </c>
      <c r="BJ280" s="43">
        <v>0</v>
      </c>
      <c r="BK280" s="43">
        <v>0</v>
      </c>
      <c r="BM280" s="36" t="s">
        <v>1</v>
      </c>
      <c r="BN280" s="61">
        <v>60</v>
      </c>
      <c r="BO280" s="61">
        <v>6</v>
      </c>
      <c r="BP280" s="61">
        <v>250</v>
      </c>
      <c r="CF280" s="47" t="s">
        <v>12</v>
      </c>
      <c r="CR280" s="43">
        <v>0</v>
      </c>
      <c r="CS280" s="70">
        <v>0</v>
      </c>
      <c r="CT280" s="70">
        <v>0</v>
      </c>
      <c r="CU280" s="43">
        <v>1</v>
      </c>
      <c r="CV280" s="70">
        <v>0</v>
      </c>
      <c r="CW280" s="70">
        <v>0</v>
      </c>
      <c r="CX280" s="70">
        <v>0</v>
      </c>
      <c r="CY280" s="70">
        <v>0</v>
      </c>
      <c r="CZ280" s="70">
        <v>0</v>
      </c>
      <c r="DA280" s="70">
        <v>0</v>
      </c>
      <c r="DB280" s="70">
        <v>0</v>
      </c>
      <c r="DD280" s="43">
        <v>2</v>
      </c>
    </row>
    <row r="281" spans="1:108" s="43" customFormat="1" ht="15.75" thickBot="1" x14ac:dyDescent="0.3">
      <c r="A281" s="43">
        <v>34711</v>
      </c>
      <c r="B281" s="43" t="s">
        <v>499</v>
      </c>
      <c r="C281" s="56" t="s">
        <v>15</v>
      </c>
      <c r="D281" s="43">
        <v>60</v>
      </c>
      <c r="E281" s="43">
        <v>0</v>
      </c>
      <c r="F281" s="43">
        <v>60</v>
      </c>
      <c r="G281" s="43">
        <v>6</v>
      </c>
      <c r="H281" s="43">
        <v>0</v>
      </c>
      <c r="I281" s="43">
        <v>25</v>
      </c>
      <c r="J281" s="57" t="s">
        <v>703</v>
      </c>
      <c r="K281" s="57" t="s">
        <v>704</v>
      </c>
      <c r="L281" s="59">
        <v>46010.43954861111</v>
      </c>
      <c r="M281" s="43">
        <v>0</v>
      </c>
      <c r="N281" s="43">
        <v>0</v>
      </c>
      <c r="O281" s="43">
        <v>0</v>
      </c>
      <c r="S281" s="43" t="b">
        <v>0</v>
      </c>
      <c r="T281" s="43">
        <v>9.9999997764825821E-3</v>
      </c>
      <c r="U281" s="55">
        <v>5.8000001907348633</v>
      </c>
      <c r="V281" s="43">
        <v>9.9999997764825821E-3</v>
      </c>
      <c r="W281" s="43">
        <v>0</v>
      </c>
      <c r="X281" s="43">
        <v>1000</v>
      </c>
      <c r="Z281" s="43">
        <v>10</v>
      </c>
      <c r="AB281" s="55">
        <v>50</v>
      </c>
      <c r="AD281" s="43">
        <v>10</v>
      </c>
      <c r="AF281" s="43">
        <v>2000</v>
      </c>
      <c r="AG281" s="43">
        <v>2</v>
      </c>
      <c r="AH281" s="43">
        <v>5.940000057220459</v>
      </c>
      <c r="AI281" s="43">
        <v>813</v>
      </c>
      <c r="AJ281" s="43">
        <v>0</v>
      </c>
      <c r="AK281" s="43">
        <v>208</v>
      </c>
      <c r="AM281" s="43" t="s">
        <v>2</v>
      </c>
      <c r="AO281" s="43">
        <v>50</v>
      </c>
      <c r="AW281" s="43" t="b">
        <v>0</v>
      </c>
      <c r="BC281" s="43">
        <v>0</v>
      </c>
      <c r="BD281" s="43">
        <v>0</v>
      </c>
      <c r="BE281" s="43">
        <v>0</v>
      </c>
      <c r="BF281" s="43" t="s">
        <v>733</v>
      </c>
      <c r="BG281" s="43">
        <v>1</v>
      </c>
      <c r="BH281" s="43" t="s">
        <v>734</v>
      </c>
      <c r="BI281" s="43">
        <v>0</v>
      </c>
      <c r="BJ281" s="43">
        <v>0</v>
      </c>
      <c r="BK281" s="43">
        <v>0</v>
      </c>
      <c r="BM281" s="36" t="s">
        <v>1</v>
      </c>
      <c r="BN281" s="61">
        <v>60</v>
      </c>
      <c r="BO281" s="61">
        <v>5.8000001907348633</v>
      </c>
      <c r="BP281" s="61">
        <v>250</v>
      </c>
      <c r="CF281" s="47" t="s">
        <v>12</v>
      </c>
      <c r="CR281" s="43">
        <v>0</v>
      </c>
      <c r="CS281" s="70">
        <v>0</v>
      </c>
      <c r="CT281" s="70">
        <v>0</v>
      </c>
      <c r="CU281" s="43">
        <v>1</v>
      </c>
      <c r="CV281" s="70">
        <v>0</v>
      </c>
      <c r="CW281" s="70">
        <v>0</v>
      </c>
      <c r="CX281" s="70">
        <v>0</v>
      </c>
      <c r="CY281" s="70">
        <v>0</v>
      </c>
      <c r="CZ281" s="70">
        <v>0</v>
      </c>
      <c r="DA281" s="70">
        <v>0</v>
      </c>
      <c r="DB281" s="70">
        <v>0</v>
      </c>
      <c r="DD281" s="43">
        <v>2</v>
      </c>
    </row>
    <row r="282" spans="1:108" s="43" customFormat="1" ht="15.75" thickBot="1" x14ac:dyDescent="0.3">
      <c r="A282" s="43">
        <v>34712</v>
      </c>
      <c r="B282" s="43" t="s">
        <v>499</v>
      </c>
      <c r="C282" s="56" t="s">
        <v>15</v>
      </c>
      <c r="D282" s="43">
        <v>60</v>
      </c>
      <c r="E282" s="43">
        <v>0</v>
      </c>
      <c r="F282" s="43">
        <v>60</v>
      </c>
      <c r="G282" s="43">
        <v>7</v>
      </c>
      <c r="H282" s="43">
        <v>0</v>
      </c>
      <c r="I282" s="43">
        <v>20</v>
      </c>
      <c r="J282" s="57" t="s">
        <v>705</v>
      </c>
      <c r="K282" s="57" t="s">
        <v>706</v>
      </c>
      <c r="L282" s="59">
        <v>46010.439699074072</v>
      </c>
      <c r="M282" s="43">
        <v>0</v>
      </c>
      <c r="N282" s="43">
        <v>0</v>
      </c>
      <c r="O282" s="43">
        <v>0</v>
      </c>
      <c r="S282" s="43" t="b">
        <v>0</v>
      </c>
      <c r="T282" s="43">
        <v>9.9999997764825821E-3</v>
      </c>
      <c r="U282" s="55">
        <v>6.5</v>
      </c>
      <c r="V282" s="43">
        <v>9.9999997764825821E-3</v>
      </c>
      <c r="W282" s="43">
        <v>0</v>
      </c>
      <c r="X282" s="43">
        <v>1000</v>
      </c>
      <c r="Z282" s="43">
        <v>10</v>
      </c>
      <c r="AB282" s="55">
        <v>40</v>
      </c>
      <c r="AD282" s="43">
        <v>10</v>
      </c>
      <c r="AF282" s="43">
        <v>2000</v>
      </c>
      <c r="AG282" s="43">
        <v>2</v>
      </c>
      <c r="AH282" s="43">
        <v>6.7100000381469727</v>
      </c>
      <c r="AI282" s="43">
        <v>855</v>
      </c>
      <c r="AJ282" s="43">
        <v>0</v>
      </c>
      <c r="AK282" s="43">
        <v>190</v>
      </c>
      <c r="AM282" s="43" t="s">
        <v>2</v>
      </c>
      <c r="AO282" s="43">
        <v>40</v>
      </c>
      <c r="AW282" s="43" t="b">
        <v>0</v>
      </c>
      <c r="BC282" s="43">
        <v>0</v>
      </c>
      <c r="BD282" s="43">
        <v>0</v>
      </c>
      <c r="BE282" s="43">
        <v>0</v>
      </c>
      <c r="BF282" s="43" t="s">
        <v>733</v>
      </c>
      <c r="BG282" s="43">
        <v>1</v>
      </c>
      <c r="BH282" s="43" t="s">
        <v>734</v>
      </c>
      <c r="BI282" s="43">
        <v>0</v>
      </c>
      <c r="BJ282" s="43">
        <v>0</v>
      </c>
      <c r="BK282" s="43">
        <v>0</v>
      </c>
      <c r="BM282" s="36" t="s">
        <v>1</v>
      </c>
      <c r="BN282" s="61">
        <v>60</v>
      </c>
      <c r="BO282" s="61">
        <v>6.5</v>
      </c>
      <c r="BP282" s="61">
        <v>250</v>
      </c>
      <c r="CF282" s="47" t="s">
        <v>12</v>
      </c>
      <c r="CR282" s="43">
        <v>0</v>
      </c>
      <c r="CS282" s="70">
        <v>0</v>
      </c>
      <c r="CT282" s="70">
        <v>0</v>
      </c>
      <c r="CU282" s="43">
        <v>1</v>
      </c>
      <c r="CV282" s="70">
        <v>0</v>
      </c>
      <c r="CW282" s="70">
        <v>0</v>
      </c>
      <c r="CX282" s="70">
        <v>0</v>
      </c>
      <c r="CY282" s="70">
        <v>0</v>
      </c>
      <c r="CZ282" s="70">
        <v>0</v>
      </c>
      <c r="DA282" s="70">
        <v>0</v>
      </c>
      <c r="DB282" s="70">
        <v>0</v>
      </c>
      <c r="DD282" s="43">
        <v>2</v>
      </c>
    </row>
    <row r="283" spans="1:108" s="43" customFormat="1" ht="15.75" thickBot="1" x14ac:dyDescent="0.3">
      <c r="A283" s="43">
        <v>34713</v>
      </c>
      <c r="B283" s="43" t="s">
        <v>499</v>
      </c>
      <c r="C283" s="56" t="s">
        <v>15</v>
      </c>
      <c r="D283" s="43">
        <v>60</v>
      </c>
      <c r="E283" s="43">
        <v>0</v>
      </c>
      <c r="F283" s="43">
        <v>60</v>
      </c>
      <c r="G283" s="43">
        <v>8</v>
      </c>
      <c r="H283" s="43">
        <v>0</v>
      </c>
      <c r="I283" s="43">
        <v>17</v>
      </c>
      <c r="J283" s="57" t="s">
        <v>725</v>
      </c>
      <c r="K283" s="57" t="s">
        <v>726</v>
      </c>
      <c r="L283" s="59">
        <v>46010.439791666664</v>
      </c>
      <c r="M283" s="43">
        <v>0</v>
      </c>
      <c r="N283" s="43">
        <v>0</v>
      </c>
      <c r="O283" s="43">
        <v>0</v>
      </c>
      <c r="S283" s="43" t="b">
        <v>0</v>
      </c>
      <c r="T283" s="43">
        <v>9.9999997764825821E-3</v>
      </c>
      <c r="U283" s="55">
        <v>6.5</v>
      </c>
      <c r="V283" s="43">
        <v>9.9999997764825821E-3</v>
      </c>
      <c r="W283" s="43">
        <v>0</v>
      </c>
      <c r="X283" s="43">
        <v>1000</v>
      </c>
      <c r="Z283" s="43">
        <v>10</v>
      </c>
      <c r="AB283" s="55">
        <v>35</v>
      </c>
      <c r="AD283" s="43">
        <v>10</v>
      </c>
      <c r="AF283" s="43">
        <v>2000</v>
      </c>
      <c r="AG283" s="43">
        <v>2</v>
      </c>
      <c r="AH283" s="43">
        <v>6.7600002288818359</v>
      </c>
      <c r="AI283" s="43">
        <v>838</v>
      </c>
      <c r="AJ283" s="43">
        <v>0</v>
      </c>
      <c r="AK283" s="43">
        <v>158</v>
      </c>
      <c r="AM283" s="43" t="s">
        <v>2</v>
      </c>
      <c r="AO283" s="43">
        <v>34</v>
      </c>
      <c r="AW283" s="43" t="b">
        <v>0</v>
      </c>
      <c r="BC283" s="43">
        <v>0</v>
      </c>
      <c r="BD283" s="43">
        <v>0</v>
      </c>
      <c r="BE283" s="43">
        <v>0</v>
      </c>
      <c r="BF283" s="43" t="s">
        <v>733</v>
      </c>
      <c r="BG283" s="43">
        <v>1</v>
      </c>
      <c r="BH283" s="43" t="s">
        <v>734</v>
      </c>
      <c r="BI283" s="43">
        <v>0</v>
      </c>
      <c r="BJ283" s="43">
        <v>0</v>
      </c>
      <c r="BK283" s="43">
        <v>0</v>
      </c>
      <c r="BM283" s="36" t="s">
        <v>1</v>
      </c>
      <c r="BN283" s="61">
        <v>60</v>
      </c>
      <c r="BO283" s="61">
        <v>6.5</v>
      </c>
      <c r="BP283" s="61">
        <v>250</v>
      </c>
      <c r="CF283" s="47" t="s">
        <v>12</v>
      </c>
      <c r="CR283" s="43">
        <v>0</v>
      </c>
      <c r="CS283" s="70">
        <v>0</v>
      </c>
      <c r="CT283" s="70">
        <v>0</v>
      </c>
      <c r="CU283" s="43">
        <v>1</v>
      </c>
      <c r="CV283" s="70">
        <v>0</v>
      </c>
      <c r="CW283" s="70">
        <v>0</v>
      </c>
      <c r="CX283" s="70">
        <v>0</v>
      </c>
      <c r="CY283" s="70">
        <v>0</v>
      </c>
      <c r="CZ283" s="70">
        <v>0</v>
      </c>
      <c r="DA283" s="70">
        <v>0</v>
      </c>
      <c r="DB283" s="70">
        <v>0</v>
      </c>
      <c r="DD283" s="43">
        <v>2</v>
      </c>
    </row>
    <row r="284" spans="1:108" s="43" customFormat="1" ht="15.75" thickBot="1" x14ac:dyDescent="0.3">
      <c r="A284" s="43">
        <v>34714</v>
      </c>
      <c r="B284" s="43" t="s">
        <v>499</v>
      </c>
      <c r="C284" s="56" t="s">
        <v>15</v>
      </c>
      <c r="D284" s="43">
        <v>60</v>
      </c>
      <c r="E284" s="43">
        <v>0</v>
      </c>
      <c r="F284" s="43">
        <v>60</v>
      </c>
      <c r="G284" s="43">
        <v>9</v>
      </c>
      <c r="H284" s="43">
        <v>0</v>
      </c>
      <c r="I284" s="43">
        <v>25</v>
      </c>
      <c r="J284" s="57" t="s">
        <v>727</v>
      </c>
      <c r="K284" s="57" t="s">
        <v>728</v>
      </c>
      <c r="L284" s="59">
        <v>46010.440844907411</v>
      </c>
      <c r="M284" s="43">
        <v>0</v>
      </c>
      <c r="N284" s="43">
        <v>0</v>
      </c>
      <c r="O284" s="43">
        <v>0</v>
      </c>
      <c r="S284" s="43" t="b">
        <v>0</v>
      </c>
      <c r="T284" s="43">
        <v>9.9999997764825821E-3</v>
      </c>
      <c r="U284" s="55">
        <v>3.5</v>
      </c>
      <c r="V284" s="43">
        <v>9.9999997764825821E-3</v>
      </c>
      <c r="W284" s="43">
        <v>0</v>
      </c>
      <c r="X284" s="43">
        <v>1000</v>
      </c>
      <c r="Z284" s="43">
        <v>10</v>
      </c>
      <c r="AB284" s="55">
        <v>50</v>
      </c>
      <c r="AD284" s="43">
        <v>10</v>
      </c>
      <c r="AF284" s="43">
        <v>2000</v>
      </c>
      <c r="AG284" s="43">
        <v>2</v>
      </c>
      <c r="AH284" s="43">
        <v>3.630000114440918</v>
      </c>
      <c r="AI284" s="43">
        <v>635</v>
      </c>
      <c r="AJ284" s="43">
        <v>0</v>
      </c>
      <c r="AK284" s="43">
        <v>97</v>
      </c>
      <c r="AM284" s="43" t="s">
        <v>2</v>
      </c>
      <c r="AO284" s="43">
        <v>50</v>
      </c>
      <c r="AW284" s="43" t="b">
        <v>0</v>
      </c>
      <c r="BC284" s="43">
        <v>0</v>
      </c>
      <c r="BD284" s="43">
        <v>0</v>
      </c>
      <c r="BE284" s="43">
        <v>0</v>
      </c>
      <c r="BF284" s="43" t="s">
        <v>734</v>
      </c>
      <c r="BG284" s="43" t="s">
        <v>736</v>
      </c>
      <c r="BH284" s="43" t="s">
        <v>734</v>
      </c>
      <c r="BI284" s="43">
        <v>0</v>
      </c>
      <c r="BJ284" s="43">
        <v>0</v>
      </c>
      <c r="BK284" s="43">
        <v>0</v>
      </c>
      <c r="BM284" s="36" t="s">
        <v>1</v>
      </c>
      <c r="BN284" s="61">
        <v>60</v>
      </c>
      <c r="BO284" s="61">
        <v>3.5</v>
      </c>
      <c r="BP284" s="61">
        <v>250</v>
      </c>
      <c r="CF284" s="47" t="s">
        <v>16</v>
      </c>
      <c r="CR284" s="43">
        <v>0</v>
      </c>
      <c r="CS284" s="70">
        <v>0</v>
      </c>
      <c r="CT284" s="70">
        <v>0</v>
      </c>
      <c r="CU284" s="43">
        <v>0</v>
      </c>
      <c r="CV284" s="70">
        <v>0</v>
      </c>
      <c r="CW284" s="70">
        <v>0</v>
      </c>
      <c r="CX284" s="70">
        <v>0</v>
      </c>
      <c r="CY284" s="70">
        <v>0</v>
      </c>
      <c r="CZ284" s="70">
        <v>0</v>
      </c>
      <c r="DA284" s="70">
        <v>0</v>
      </c>
      <c r="DB284" s="70">
        <v>0</v>
      </c>
      <c r="DD284" s="43">
        <v>0</v>
      </c>
    </row>
    <row r="285" spans="1:108" s="43" customFormat="1" ht="15.75" thickBot="1" x14ac:dyDescent="0.3">
      <c r="A285" s="43">
        <v>34720</v>
      </c>
      <c r="B285" s="43" t="s">
        <v>499</v>
      </c>
      <c r="C285" s="56" t="s">
        <v>15</v>
      </c>
      <c r="D285" s="43">
        <v>60</v>
      </c>
      <c r="E285" s="43">
        <v>0</v>
      </c>
      <c r="F285" s="43">
        <v>60</v>
      </c>
      <c r="G285" s="43">
        <v>15</v>
      </c>
      <c r="H285" s="43">
        <v>0</v>
      </c>
      <c r="I285" s="43">
        <v>42</v>
      </c>
      <c r="J285" s="57" t="s">
        <v>707</v>
      </c>
      <c r="K285" s="57" t="s">
        <v>708</v>
      </c>
      <c r="L285" s="59">
        <v>46010.442673611113</v>
      </c>
      <c r="M285" s="43">
        <v>0</v>
      </c>
      <c r="N285" s="43">
        <v>0</v>
      </c>
      <c r="O285" s="43">
        <v>0</v>
      </c>
      <c r="S285" s="43" t="b">
        <v>0</v>
      </c>
      <c r="T285" s="43">
        <v>9.9999997764825821E-3</v>
      </c>
      <c r="U285" s="55">
        <v>7</v>
      </c>
      <c r="V285" s="43">
        <v>9.9999997764825821E-3</v>
      </c>
      <c r="W285" s="43">
        <v>0</v>
      </c>
      <c r="X285" s="43">
        <v>1000</v>
      </c>
      <c r="Z285" s="43">
        <v>10</v>
      </c>
      <c r="AB285" s="55">
        <v>85</v>
      </c>
      <c r="AD285" s="43">
        <v>10</v>
      </c>
      <c r="AF285" s="43">
        <v>2000</v>
      </c>
      <c r="AG285" s="43">
        <v>2</v>
      </c>
      <c r="AH285" s="43">
        <v>7.070000171661377</v>
      </c>
      <c r="AI285" s="43">
        <v>902</v>
      </c>
      <c r="AJ285" s="43">
        <v>0</v>
      </c>
      <c r="AK285" s="43">
        <v>507</v>
      </c>
      <c r="AM285" s="43" t="s">
        <v>2</v>
      </c>
      <c r="AO285" s="43">
        <v>84</v>
      </c>
      <c r="AW285" s="43" t="b">
        <v>0</v>
      </c>
      <c r="BC285" s="43">
        <v>0</v>
      </c>
      <c r="BD285" s="43">
        <v>0</v>
      </c>
      <c r="BE285" s="43">
        <v>0</v>
      </c>
      <c r="BF285" s="43" t="s">
        <v>735</v>
      </c>
      <c r="BG285" s="43" t="s">
        <v>733</v>
      </c>
      <c r="BH285" s="43" t="s">
        <v>733</v>
      </c>
      <c r="BI285" s="43">
        <v>0</v>
      </c>
      <c r="BJ285" s="43">
        <v>0</v>
      </c>
      <c r="BK285" s="43">
        <v>0</v>
      </c>
      <c r="BM285" s="36" t="s">
        <v>1</v>
      </c>
      <c r="BN285" s="61">
        <v>60</v>
      </c>
      <c r="BO285" s="61">
        <v>7</v>
      </c>
      <c r="BP285" s="61">
        <v>350</v>
      </c>
      <c r="CF285" s="47" t="s">
        <v>12</v>
      </c>
      <c r="CR285" s="43">
        <v>0</v>
      </c>
      <c r="CS285" s="70">
        <v>0</v>
      </c>
      <c r="CT285" s="70">
        <v>0</v>
      </c>
      <c r="CU285" s="43">
        <v>1</v>
      </c>
      <c r="CV285" s="70">
        <v>0</v>
      </c>
      <c r="CW285" s="70">
        <v>0</v>
      </c>
      <c r="CX285" s="70">
        <v>0</v>
      </c>
      <c r="CY285" s="70">
        <v>0</v>
      </c>
      <c r="CZ285" s="70">
        <v>0</v>
      </c>
      <c r="DA285" s="70">
        <v>0</v>
      </c>
      <c r="DB285" s="70">
        <v>0</v>
      </c>
      <c r="DD285" s="43">
        <v>2</v>
      </c>
    </row>
    <row r="286" spans="1:108" s="43" customFormat="1" ht="15.75" thickBot="1" x14ac:dyDescent="0.3">
      <c r="A286" s="43">
        <v>34721</v>
      </c>
      <c r="B286" s="43" t="s">
        <v>499</v>
      </c>
      <c r="C286" s="56" t="s">
        <v>15</v>
      </c>
      <c r="D286" s="43">
        <v>60</v>
      </c>
      <c r="E286" s="43">
        <v>0</v>
      </c>
      <c r="F286" s="43">
        <v>60</v>
      </c>
      <c r="G286" s="43">
        <v>16</v>
      </c>
      <c r="H286" s="43">
        <v>0</v>
      </c>
      <c r="I286" s="43">
        <v>30</v>
      </c>
      <c r="J286" s="57" t="s">
        <v>709</v>
      </c>
      <c r="K286" s="57" t="s">
        <v>710</v>
      </c>
      <c r="L286" s="59">
        <v>46010.444803240738</v>
      </c>
      <c r="M286" s="43">
        <v>0</v>
      </c>
      <c r="N286" s="43">
        <v>0</v>
      </c>
      <c r="O286" s="43">
        <v>0</v>
      </c>
      <c r="S286" s="43" t="b">
        <v>0</v>
      </c>
      <c r="T286" s="43">
        <v>9.9999997764825821E-3</v>
      </c>
      <c r="U286" s="55">
        <v>8.5</v>
      </c>
      <c r="V286" s="43">
        <v>9.9999997764825821E-3</v>
      </c>
      <c r="W286" s="43">
        <v>0</v>
      </c>
      <c r="X286" s="43">
        <v>1000</v>
      </c>
      <c r="Z286" s="43">
        <v>10</v>
      </c>
      <c r="AB286" s="55">
        <v>60</v>
      </c>
      <c r="AD286" s="43">
        <v>10</v>
      </c>
      <c r="AF286" s="43">
        <v>2000</v>
      </c>
      <c r="AG286" s="43">
        <v>2</v>
      </c>
      <c r="AH286" s="43">
        <v>8.619999885559082</v>
      </c>
      <c r="AI286" s="43">
        <v>974</v>
      </c>
      <c r="AJ286" s="43">
        <v>0</v>
      </c>
      <c r="AK286" s="43">
        <v>451</v>
      </c>
      <c r="AM286" s="43" t="s">
        <v>2</v>
      </c>
      <c r="AO286" s="43">
        <v>60</v>
      </c>
      <c r="AW286" s="43" t="b">
        <v>0</v>
      </c>
      <c r="BC286" s="43">
        <v>0</v>
      </c>
      <c r="BD286" s="43">
        <v>0</v>
      </c>
      <c r="BE286" s="43">
        <v>0</v>
      </c>
      <c r="BF286" s="43" t="s">
        <v>735</v>
      </c>
      <c r="BG286" s="43" t="s">
        <v>733</v>
      </c>
      <c r="BH286" s="43" t="s">
        <v>733</v>
      </c>
      <c r="BI286" s="43">
        <v>0</v>
      </c>
      <c r="BJ286" s="43">
        <v>0</v>
      </c>
      <c r="BK286" s="43">
        <v>0</v>
      </c>
      <c r="BM286" s="36" t="s">
        <v>1</v>
      </c>
      <c r="BN286" s="61">
        <v>60</v>
      </c>
      <c r="BO286" s="61">
        <v>8.5</v>
      </c>
      <c r="BP286" s="61">
        <v>350</v>
      </c>
      <c r="CF286" s="47" t="s">
        <v>12</v>
      </c>
      <c r="CR286" s="43">
        <v>0</v>
      </c>
      <c r="CS286" s="70">
        <v>0</v>
      </c>
      <c r="CT286" s="70">
        <v>0</v>
      </c>
      <c r="CU286" s="43">
        <v>1</v>
      </c>
      <c r="CV286" s="70">
        <v>0</v>
      </c>
      <c r="CW286" s="70">
        <v>0</v>
      </c>
      <c r="CX286" s="70">
        <v>0</v>
      </c>
      <c r="CY286" s="70">
        <v>0</v>
      </c>
      <c r="CZ286" s="70">
        <v>0</v>
      </c>
      <c r="DA286" s="70">
        <v>0</v>
      </c>
      <c r="DB286" s="70">
        <v>0</v>
      </c>
      <c r="DD286" s="43">
        <v>2</v>
      </c>
    </row>
    <row r="287" spans="1:108" s="43" customFormat="1" ht="15.75" thickBot="1" x14ac:dyDescent="0.3">
      <c r="A287" s="43">
        <v>34722</v>
      </c>
      <c r="B287" s="43" t="s">
        <v>499</v>
      </c>
      <c r="C287" s="56" t="s">
        <v>15</v>
      </c>
      <c r="D287" s="43">
        <v>60</v>
      </c>
      <c r="E287" s="43">
        <v>0</v>
      </c>
      <c r="F287" s="43">
        <v>60</v>
      </c>
      <c r="G287" s="43">
        <v>17</v>
      </c>
      <c r="H287" s="43">
        <v>0</v>
      </c>
      <c r="I287" s="43">
        <v>25</v>
      </c>
      <c r="J287" s="57" t="s">
        <v>711</v>
      </c>
      <c r="K287" s="57" t="s">
        <v>712</v>
      </c>
      <c r="L287" s="59">
        <v>46010.444930555554</v>
      </c>
      <c r="M287" s="43">
        <v>0</v>
      </c>
      <c r="N287" s="43">
        <v>0</v>
      </c>
      <c r="O287" s="43">
        <v>0</v>
      </c>
      <c r="S287" s="43" t="b">
        <v>0</v>
      </c>
      <c r="T287" s="43">
        <v>9.9999997764825821E-3</v>
      </c>
      <c r="U287" s="55">
        <v>8.5</v>
      </c>
      <c r="V287" s="43">
        <v>9.9999997764825821E-3</v>
      </c>
      <c r="W287" s="43">
        <v>0</v>
      </c>
      <c r="X287" s="43">
        <v>1000</v>
      </c>
      <c r="Z287" s="43">
        <v>10</v>
      </c>
      <c r="AB287" s="55">
        <v>50</v>
      </c>
      <c r="AD287" s="43">
        <v>10</v>
      </c>
      <c r="AF287" s="43">
        <v>2000</v>
      </c>
      <c r="AG287" s="43">
        <v>2</v>
      </c>
      <c r="AH287" s="43">
        <v>8.6800003051757813</v>
      </c>
      <c r="AI287" s="43">
        <v>978</v>
      </c>
      <c r="AJ287" s="43">
        <v>0</v>
      </c>
      <c r="AK287" s="43">
        <v>371</v>
      </c>
      <c r="AM287" s="43" t="s">
        <v>2</v>
      </c>
      <c r="AO287" s="43">
        <v>50</v>
      </c>
      <c r="AW287" s="43" t="b">
        <v>0</v>
      </c>
      <c r="BC287" s="43">
        <v>0</v>
      </c>
      <c r="BD287" s="43">
        <v>0</v>
      </c>
      <c r="BE287" s="43">
        <v>0</v>
      </c>
      <c r="BF287" s="43" t="s">
        <v>735</v>
      </c>
      <c r="BG287" s="43" t="s">
        <v>733</v>
      </c>
      <c r="BH287" s="43" t="s">
        <v>733</v>
      </c>
      <c r="BI287" s="43">
        <v>0</v>
      </c>
      <c r="BJ287" s="43">
        <v>0</v>
      </c>
      <c r="BK287" s="43">
        <v>0</v>
      </c>
      <c r="BM287" s="36" t="s">
        <v>1</v>
      </c>
      <c r="BN287" s="61">
        <v>60</v>
      </c>
      <c r="BO287" s="61">
        <v>8.5</v>
      </c>
      <c r="BP287" s="61">
        <v>350</v>
      </c>
      <c r="CF287" s="47" t="s">
        <v>12</v>
      </c>
      <c r="CR287" s="43">
        <v>0</v>
      </c>
      <c r="CS287" s="70">
        <v>0</v>
      </c>
      <c r="CT287" s="70">
        <v>0</v>
      </c>
      <c r="CU287" s="43">
        <v>1</v>
      </c>
      <c r="CV287" s="70">
        <v>0</v>
      </c>
      <c r="CW287" s="70">
        <v>0</v>
      </c>
      <c r="CX287" s="70">
        <v>0</v>
      </c>
      <c r="CY287" s="70">
        <v>0</v>
      </c>
      <c r="CZ287" s="70">
        <v>0</v>
      </c>
      <c r="DA287" s="70">
        <v>0</v>
      </c>
      <c r="DB287" s="70">
        <v>0</v>
      </c>
      <c r="DD287" s="43">
        <v>2</v>
      </c>
    </row>
    <row r="288" spans="1:108" s="43" customFormat="1" ht="15.75" thickBot="1" x14ac:dyDescent="0.3">
      <c r="A288" s="43">
        <v>34723</v>
      </c>
      <c r="B288" s="43" t="s">
        <v>499</v>
      </c>
      <c r="C288" s="56" t="s">
        <v>15</v>
      </c>
      <c r="D288" s="43">
        <v>60</v>
      </c>
      <c r="E288" s="43">
        <v>0</v>
      </c>
      <c r="F288" s="43">
        <v>60</v>
      </c>
      <c r="G288" s="43">
        <v>18</v>
      </c>
      <c r="H288" s="43">
        <v>0</v>
      </c>
      <c r="I288" s="43">
        <v>25</v>
      </c>
      <c r="J288" s="57" t="s">
        <v>713</v>
      </c>
      <c r="K288" s="57" t="s">
        <v>714</v>
      </c>
      <c r="L288" s="59">
        <v>46010.446122685185</v>
      </c>
      <c r="M288" s="43">
        <v>0</v>
      </c>
      <c r="N288" s="43">
        <v>0</v>
      </c>
      <c r="O288" s="43">
        <v>0</v>
      </c>
      <c r="S288" s="43" t="b">
        <v>0</v>
      </c>
      <c r="T288" s="43">
        <v>9.9999997764825821E-3</v>
      </c>
      <c r="U288" s="55">
        <v>6</v>
      </c>
      <c r="V288" s="43">
        <v>9.9999997764825821E-3</v>
      </c>
      <c r="W288" s="43">
        <v>0</v>
      </c>
      <c r="X288" s="43">
        <v>1000</v>
      </c>
      <c r="Z288" s="43">
        <v>10</v>
      </c>
      <c r="AB288" s="55">
        <v>50</v>
      </c>
      <c r="AD288" s="43">
        <v>10</v>
      </c>
      <c r="AF288" s="43">
        <v>2000</v>
      </c>
      <c r="AG288" s="43">
        <v>2</v>
      </c>
      <c r="AH288" s="43">
        <v>6.1399998664855957</v>
      </c>
      <c r="AI288" s="43">
        <v>817</v>
      </c>
      <c r="AJ288" s="43">
        <v>0</v>
      </c>
      <c r="AK288" s="43">
        <v>217</v>
      </c>
      <c r="AM288" s="43" t="s">
        <v>2</v>
      </c>
      <c r="AO288" s="43">
        <v>50</v>
      </c>
      <c r="AW288" s="43" t="b">
        <v>0</v>
      </c>
      <c r="BC288" s="43">
        <v>0</v>
      </c>
      <c r="BD288" s="43">
        <v>0</v>
      </c>
      <c r="BE288" s="43">
        <v>0</v>
      </c>
      <c r="BF288" s="43" t="s">
        <v>733</v>
      </c>
      <c r="BG288" s="43">
        <v>1</v>
      </c>
      <c r="BH288" s="43" t="s">
        <v>734</v>
      </c>
      <c r="BI288" s="43">
        <v>0</v>
      </c>
      <c r="BJ288" s="43">
        <v>0</v>
      </c>
      <c r="BK288" s="43">
        <v>0</v>
      </c>
      <c r="BM288" s="36" t="s">
        <v>1</v>
      </c>
      <c r="BN288" s="61">
        <v>60</v>
      </c>
      <c r="BO288" s="61">
        <v>6</v>
      </c>
      <c r="BP288" s="61">
        <v>350</v>
      </c>
      <c r="CF288" s="47" t="s">
        <v>12</v>
      </c>
      <c r="CR288" s="43">
        <v>0</v>
      </c>
      <c r="CS288" s="70">
        <v>0</v>
      </c>
      <c r="CT288" s="70">
        <v>0</v>
      </c>
      <c r="CU288" s="43">
        <v>1</v>
      </c>
      <c r="CV288" s="70">
        <v>0</v>
      </c>
      <c r="CW288" s="70">
        <v>0</v>
      </c>
      <c r="CX288" s="70">
        <v>0</v>
      </c>
      <c r="CY288" s="70">
        <v>0</v>
      </c>
      <c r="CZ288" s="70">
        <v>0</v>
      </c>
      <c r="DA288" s="70">
        <v>0</v>
      </c>
      <c r="DB288" s="70">
        <v>0</v>
      </c>
      <c r="DD288" s="43">
        <v>2</v>
      </c>
    </row>
    <row r="289" spans="1:108" s="43" customFormat="1" ht="15.75" thickBot="1" x14ac:dyDescent="0.3">
      <c r="A289" s="43">
        <v>34724</v>
      </c>
      <c r="B289" s="43" t="s">
        <v>499</v>
      </c>
      <c r="C289" s="56" t="s">
        <v>15</v>
      </c>
      <c r="D289" s="43">
        <v>60</v>
      </c>
      <c r="E289" s="43">
        <v>0</v>
      </c>
      <c r="F289" s="43">
        <v>60</v>
      </c>
      <c r="G289" s="43">
        <v>19</v>
      </c>
      <c r="H289" s="43">
        <v>0</v>
      </c>
      <c r="I289" s="43">
        <v>25</v>
      </c>
      <c r="J289" s="57" t="s">
        <v>715</v>
      </c>
      <c r="K289" s="57" t="s">
        <v>716</v>
      </c>
      <c r="L289" s="59">
        <v>46010.446238425924</v>
      </c>
      <c r="M289" s="43">
        <v>0</v>
      </c>
      <c r="N289" s="43">
        <v>0</v>
      </c>
      <c r="O289" s="43">
        <v>0</v>
      </c>
      <c r="S289" s="43" t="b">
        <v>0</v>
      </c>
      <c r="T289" s="43">
        <v>9.9999997764825821E-3</v>
      </c>
      <c r="U289" s="55">
        <v>6.5</v>
      </c>
      <c r="V289" s="43">
        <v>9.9999997764825821E-3</v>
      </c>
      <c r="W289" s="43">
        <v>0</v>
      </c>
      <c r="X289" s="43">
        <v>1000</v>
      </c>
      <c r="Z289" s="43">
        <v>10</v>
      </c>
      <c r="AB289" s="55">
        <v>50</v>
      </c>
      <c r="AD289" s="43">
        <v>10</v>
      </c>
      <c r="AF289" s="43">
        <v>2000</v>
      </c>
      <c r="AG289" s="43">
        <v>2</v>
      </c>
      <c r="AH289" s="43">
        <v>6.6599998474121094</v>
      </c>
      <c r="AI289" s="43">
        <v>838</v>
      </c>
      <c r="AJ289" s="43">
        <v>0</v>
      </c>
      <c r="AK289" s="43">
        <v>242</v>
      </c>
      <c r="AM289" s="43" t="s">
        <v>2</v>
      </c>
      <c r="AO289" s="43">
        <v>50</v>
      </c>
      <c r="AW289" s="43" t="b">
        <v>0</v>
      </c>
      <c r="BC289" s="43">
        <v>0</v>
      </c>
      <c r="BD289" s="43">
        <v>0</v>
      </c>
      <c r="BE289" s="43">
        <v>0</v>
      </c>
      <c r="BF289" s="43" t="s">
        <v>733</v>
      </c>
      <c r="BG289" s="43">
        <v>1</v>
      </c>
      <c r="BH289" s="43" t="s">
        <v>734</v>
      </c>
      <c r="BI289" s="43">
        <v>0</v>
      </c>
      <c r="BJ289" s="43">
        <v>0</v>
      </c>
      <c r="BK289" s="43">
        <v>0</v>
      </c>
      <c r="BM289" s="36" t="s">
        <v>1</v>
      </c>
      <c r="BN289" s="61">
        <v>60</v>
      </c>
      <c r="BO289" s="61">
        <v>6.5</v>
      </c>
      <c r="BP289" s="61">
        <v>350</v>
      </c>
      <c r="CF289" s="47" t="s">
        <v>16</v>
      </c>
      <c r="CR289" s="43">
        <v>0</v>
      </c>
      <c r="CS289" s="70">
        <v>0</v>
      </c>
      <c r="CT289" s="70">
        <v>0</v>
      </c>
      <c r="CU289" s="43">
        <v>0</v>
      </c>
      <c r="CV289" s="70">
        <v>0</v>
      </c>
      <c r="CW289" s="70">
        <v>0</v>
      </c>
      <c r="CX289" s="70">
        <v>0</v>
      </c>
      <c r="CY289" s="70">
        <v>0</v>
      </c>
      <c r="CZ289" s="70">
        <v>0</v>
      </c>
      <c r="DA289" s="70">
        <v>0</v>
      </c>
      <c r="DB289" s="70">
        <v>0</v>
      </c>
      <c r="DD289" s="43">
        <v>0</v>
      </c>
    </row>
    <row r="290" spans="1:108" s="43" customFormat="1" ht="15.75" thickBot="1" x14ac:dyDescent="0.3">
      <c r="A290" s="43">
        <v>34725</v>
      </c>
      <c r="B290" s="43" t="s">
        <v>499</v>
      </c>
      <c r="C290" s="56" t="s">
        <v>15</v>
      </c>
      <c r="D290" s="43">
        <v>60</v>
      </c>
      <c r="E290" s="43">
        <v>0</v>
      </c>
      <c r="F290" s="43">
        <v>60</v>
      </c>
      <c r="G290" s="43">
        <v>20</v>
      </c>
      <c r="H290" s="43">
        <v>0</v>
      </c>
      <c r="I290" s="43">
        <v>15</v>
      </c>
      <c r="J290" s="57" t="s">
        <v>729</v>
      </c>
      <c r="K290" s="57" t="s">
        <v>730</v>
      </c>
      <c r="L290" s="59">
        <v>46010.446331018517</v>
      </c>
      <c r="M290" s="43">
        <v>0</v>
      </c>
      <c r="N290" s="43">
        <v>0</v>
      </c>
      <c r="O290" s="43">
        <v>0</v>
      </c>
      <c r="S290" s="43" t="b">
        <v>0</v>
      </c>
      <c r="T290" s="43">
        <v>9.9999997764825821E-3</v>
      </c>
      <c r="U290" s="55">
        <v>6.5</v>
      </c>
      <c r="V290" s="43">
        <v>9.9999997764825821E-3</v>
      </c>
      <c r="W290" s="43">
        <v>0</v>
      </c>
      <c r="X290" s="43">
        <v>1000</v>
      </c>
      <c r="Z290" s="43">
        <v>10</v>
      </c>
      <c r="AB290" s="55">
        <v>30</v>
      </c>
      <c r="AD290" s="43">
        <v>10</v>
      </c>
      <c r="AF290" s="43">
        <v>2000</v>
      </c>
      <c r="AG290" s="43">
        <v>2</v>
      </c>
      <c r="AH290" s="43">
        <v>6.75</v>
      </c>
      <c r="AI290" s="43">
        <v>792</v>
      </c>
      <c r="AJ290" s="43">
        <v>0</v>
      </c>
      <c r="AK290" s="43">
        <v>122</v>
      </c>
      <c r="AM290" s="43" t="s">
        <v>2</v>
      </c>
      <c r="AO290" s="43">
        <v>30</v>
      </c>
      <c r="AW290" s="43" t="b">
        <v>0</v>
      </c>
      <c r="BC290" s="43">
        <v>0</v>
      </c>
      <c r="BD290" s="43">
        <v>0</v>
      </c>
      <c r="BE290" s="43">
        <v>0</v>
      </c>
      <c r="BF290" s="43" t="s">
        <v>733</v>
      </c>
      <c r="BG290" s="43">
        <v>1</v>
      </c>
      <c r="BH290" s="43" t="s">
        <v>734</v>
      </c>
      <c r="BI290" s="43">
        <v>0</v>
      </c>
      <c r="BJ290" s="43">
        <v>0</v>
      </c>
      <c r="BK290" s="43">
        <v>0</v>
      </c>
      <c r="BM290" s="36" t="s">
        <v>1</v>
      </c>
      <c r="BN290" s="61">
        <v>60</v>
      </c>
      <c r="BO290" s="61">
        <v>6.5</v>
      </c>
      <c r="BP290" s="61">
        <v>350</v>
      </c>
      <c r="CF290" s="47" t="s">
        <v>12</v>
      </c>
      <c r="CR290" s="43">
        <v>0</v>
      </c>
      <c r="CS290" s="70">
        <v>0</v>
      </c>
      <c r="CT290" s="70">
        <v>0</v>
      </c>
      <c r="CU290" s="43">
        <v>1</v>
      </c>
      <c r="CV290" s="70">
        <v>0</v>
      </c>
      <c r="CW290" s="70">
        <v>0</v>
      </c>
      <c r="CX290" s="70">
        <v>0</v>
      </c>
      <c r="CY290" s="70">
        <v>0</v>
      </c>
      <c r="CZ290" s="70">
        <v>0</v>
      </c>
      <c r="DA290" s="70">
        <v>0</v>
      </c>
      <c r="DB290" s="70">
        <v>0</v>
      </c>
      <c r="DD290" s="43">
        <v>2</v>
      </c>
    </row>
    <row r="291" spans="1:108" s="43" customFormat="1" ht="15.75" thickBot="1" x14ac:dyDescent="0.3">
      <c r="A291" s="43">
        <v>34726</v>
      </c>
      <c r="B291" s="43" t="s">
        <v>499</v>
      </c>
      <c r="C291" s="56" t="s">
        <v>15</v>
      </c>
      <c r="D291" s="43">
        <v>60</v>
      </c>
      <c r="E291" s="43">
        <v>0</v>
      </c>
      <c r="F291" s="43">
        <v>60</v>
      </c>
      <c r="G291" s="43">
        <v>21</v>
      </c>
      <c r="H291" s="43">
        <v>0</v>
      </c>
      <c r="I291" s="43">
        <v>12</v>
      </c>
      <c r="J291" s="57" t="s">
        <v>731</v>
      </c>
      <c r="K291" s="57" t="s">
        <v>732</v>
      </c>
      <c r="L291" s="59">
        <v>46010.446446759262</v>
      </c>
      <c r="M291" s="43">
        <v>0</v>
      </c>
      <c r="N291" s="43">
        <v>0</v>
      </c>
      <c r="O291" s="43">
        <v>0</v>
      </c>
      <c r="S291" s="43" t="b">
        <v>0</v>
      </c>
      <c r="T291" s="43">
        <v>9.9999997764825821E-3</v>
      </c>
      <c r="U291" s="55">
        <v>6.5</v>
      </c>
      <c r="V291" s="43">
        <v>9.9999997764825821E-3</v>
      </c>
      <c r="W291" s="43">
        <v>0</v>
      </c>
      <c r="X291" s="43">
        <v>1000</v>
      </c>
      <c r="Z291" s="43">
        <v>10</v>
      </c>
      <c r="AB291" s="55">
        <v>25</v>
      </c>
      <c r="AD291" s="43">
        <v>10</v>
      </c>
      <c r="AF291" s="43">
        <v>2000</v>
      </c>
      <c r="AG291" s="43">
        <v>2</v>
      </c>
      <c r="AH291" s="43">
        <v>6.869999885559082</v>
      </c>
      <c r="AI291" s="43">
        <v>741</v>
      </c>
      <c r="AJ291" s="43">
        <v>0</v>
      </c>
      <c r="AK291" s="43">
        <v>88</v>
      </c>
      <c r="AM291" s="43" t="s">
        <v>2</v>
      </c>
      <c r="AO291" s="43">
        <v>24</v>
      </c>
      <c r="AW291" s="43" t="b">
        <v>0</v>
      </c>
      <c r="BC291" s="43">
        <v>0</v>
      </c>
      <c r="BD291" s="43">
        <v>0</v>
      </c>
      <c r="BE291" s="43">
        <v>0</v>
      </c>
      <c r="BF291" s="43" t="s">
        <v>733</v>
      </c>
      <c r="BG291" s="43">
        <v>1</v>
      </c>
      <c r="BH291" s="43" t="s">
        <v>734</v>
      </c>
      <c r="BI291" s="43">
        <v>0</v>
      </c>
      <c r="BJ291" s="43">
        <v>0</v>
      </c>
      <c r="BK291" s="43">
        <v>0</v>
      </c>
      <c r="BM291" s="36" t="s">
        <v>1</v>
      </c>
      <c r="BN291" s="61">
        <v>60</v>
      </c>
      <c r="BO291" s="61">
        <v>6.5</v>
      </c>
      <c r="BP291" s="61">
        <v>350</v>
      </c>
      <c r="CF291" s="47" t="s">
        <v>12</v>
      </c>
      <c r="CR291" s="43">
        <v>0</v>
      </c>
      <c r="CS291" s="70">
        <v>0</v>
      </c>
      <c r="CT291" s="70">
        <v>0</v>
      </c>
      <c r="CU291" s="43">
        <v>1</v>
      </c>
      <c r="CV291" s="70">
        <v>0</v>
      </c>
      <c r="CW291" s="70">
        <v>0</v>
      </c>
      <c r="CX291" s="70">
        <v>0</v>
      </c>
      <c r="CY291" s="70">
        <v>0</v>
      </c>
      <c r="CZ291" s="70">
        <v>0</v>
      </c>
      <c r="DA291" s="70">
        <v>0</v>
      </c>
      <c r="DB291" s="70">
        <v>0</v>
      </c>
      <c r="DD291" s="43">
        <v>2</v>
      </c>
    </row>
    <row r="292" spans="1:108" s="43" customFormat="1" ht="15.75" thickBot="1" x14ac:dyDescent="0.3">
      <c r="A292" s="43">
        <v>34727</v>
      </c>
      <c r="B292" s="43" t="s">
        <v>499</v>
      </c>
      <c r="C292" s="56" t="s">
        <v>15</v>
      </c>
      <c r="D292" s="43">
        <v>60</v>
      </c>
      <c r="E292" s="43">
        <v>0</v>
      </c>
      <c r="F292" s="43">
        <v>60</v>
      </c>
      <c r="G292" s="43">
        <v>22</v>
      </c>
      <c r="H292" s="43">
        <v>0</v>
      </c>
      <c r="I292" s="43">
        <v>25</v>
      </c>
      <c r="J292" s="57" t="s">
        <v>717</v>
      </c>
      <c r="K292" s="57" t="s">
        <v>718</v>
      </c>
      <c r="L292" s="59">
        <v>46010.447557870371</v>
      </c>
      <c r="M292" s="43">
        <v>0</v>
      </c>
      <c r="N292" s="43">
        <v>0</v>
      </c>
      <c r="O292" s="43">
        <v>0</v>
      </c>
      <c r="S292" s="43" t="b">
        <v>0</v>
      </c>
      <c r="T292" s="43">
        <v>9.9999997764825821E-3</v>
      </c>
      <c r="U292" s="55">
        <v>5.5</v>
      </c>
      <c r="V292" s="43">
        <v>9.9999997764825821E-3</v>
      </c>
      <c r="W292" s="43">
        <v>0</v>
      </c>
      <c r="X292" s="43">
        <v>1000</v>
      </c>
      <c r="Z292" s="43">
        <v>10</v>
      </c>
      <c r="AB292" s="55">
        <v>50</v>
      </c>
      <c r="AD292" s="43">
        <v>10</v>
      </c>
      <c r="AF292" s="43">
        <v>2000</v>
      </c>
      <c r="AG292" s="43">
        <v>2</v>
      </c>
      <c r="AH292" s="43">
        <v>5.6999998092651367</v>
      </c>
      <c r="AI292" s="43">
        <v>677</v>
      </c>
      <c r="AJ292" s="43">
        <v>0</v>
      </c>
      <c r="AK292" s="43">
        <v>168</v>
      </c>
      <c r="AM292" s="43" t="s">
        <v>2</v>
      </c>
      <c r="AO292" s="43">
        <v>50</v>
      </c>
      <c r="AW292" s="43" t="b">
        <v>0</v>
      </c>
      <c r="BC292" s="43">
        <v>0</v>
      </c>
      <c r="BD292" s="43">
        <v>0</v>
      </c>
      <c r="BE292" s="43">
        <v>0</v>
      </c>
      <c r="BF292" s="43" t="s">
        <v>734</v>
      </c>
      <c r="BG292" s="43" t="s">
        <v>736</v>
      </c>
      <c r="BH292" s="43" t="s">
        <v>734</v>
      </c>
      <c r="BI292" s="43">
        <v>0</v>
      </c>
      <c r="BJ292" s="43">
        <v>0</v>
      </c>
      <c r="BK292" s="43">
        <v>0</v>
      </c>
      <c r="BM292" s="36" t="s">
        <v>1</v>
      </c>
      <c r="BN292" s="61">
        <v>60</v>
      </c>
      <c r="BO292" s="61">
        <v>5.5</v>
      </c>
      <c r="BP292" s="61">
        <v>350</v>
      </c>
      <c r="CF292" s="47" t="s">
        <v>16</v>
      </c>
      <c r="CR292" s="43">
        <v>0</v>
      </c>
      <c r="CS292" s="70">
        <v>0</v>
      </c>
      <c r="CT292" s="70">
        <v>0</v>
      </c>
      <c r="CU292" s="43">
        <v>0</v>
      </c>
      <c r="CV292" s="70">
        <v>0</v>
      </c>
      <c r="CW292" s="70">
        <v>0</v>
      </c>
      <c r="CX292" s="70">
        <v>0</v>
      </c>
      <c r="CY292" s="70">
        <v>0</v>
      </c>
      <c r="CZ292" s="70">
        <v>0</v>
      </c>
      <c r="DA292" s="70">
        <v>0</v>
      </c>
      <c r="DB292" s="70">
        <v>0</v>
      </c>
      <c r="DD292" s="43">
        <v>0</v>
      </c>
    </row>
    <row r="293" spans="1:108" s="43" customFormat="1" ht="15.75" thickBot="1" x14ac:dyDescent="0.3">
      <c r="A293" s="43">
        <v>34728</v>
      </c>
      <c r="B293" s="43" t="s">
        <v>499</v>
      </c>
      <c r="C293" s="56" t="s">
        <v>15</v>
      </c>
      <c r="D293" s="43">
        <v>60</v>
      </c>
      <c r="E293" s="43">
        <v>0</v>
      </c>
      <c r="F293" s="43">
        <v>60</v>
      </c>
      <c r="G293" s="43">
        <v>23</v>
      </c>
      <c r="H293" s="43">
        <v>0</v>
      </c>
      <c r="I293" s="43">
        <v>25</v>
      </c>
      <c r="J293" s="57" t="s">
        <v>719</v>
      </c>
      <c r="K293" s="57" t="s">
        <v>720</v>
      </c>
      <c r="L293" s="59">
        <v>46010.447662037041</v>
      </c>
      <c r="M293" s="43">
        <v>0</v>
      </c>
      <c r="N293" s="43">
        <v>0</v>
      </c>
      <c r="O293" s="43">
        <v>0</v>
      </c>
      <c r="S293" s="43" t="b">
        <v>0</v>
      </c>
      <c r="T293" s="43">
        <v>9.9999997764825821E-3</v>
      </c>
      <c r="U293" s="55">
        <v>5</v>
      </c>
      <c r="V293" s="43">
        <v>9.9999997764825821E-3</v>
      </c>
      <c r="W293" s="43">
        <v>0</v>
      </c>
      <c r="X293" s="43">
        <v>1000</v>
      </c>
      <c r="Z293" s="43">
        <v>10</v>
      </c>
      <c r="AB293" s="55">
        <v>50</v>
      </c>
      <c r="AD293" s="43">
        <v>10</v>
      </c>
      <c r="AF293" s="43">
        <v>2000</v>
      </c>
      <c r="AG293" s="43">
        <v>2</v>
      </c>
      <c r="AH293" s="43">
        <v>5.179999828338623</v>
      </c>
      <c r="AI293" s="43">
        <v>656</v>
      </c>
      <c r="AJ293" s="43">
        <v>0</v>
      </c>
      <c r="AK293" s="43">
        <v>148</v>
      </c>
      <c r="AM293" s="43" t="s">
        <v>2</v>
      </c>
      <c r="AO293" s="43">
        <v>50</v>
      </c>
      <c r="AW293" s="43" t="b">
        <v>0</v>
      </c>
      <c r="BC293" s="43">
        <v>0</v>
      </c>
      <c r="BD293" s="43">
        <v>0</v>
      </c>
      <c r="BE293" s="43">
        <v>0</v>
      </c>
      <c r="BF293" s="43" t="s">
        <v>734</v>
      </c>
      <c r="BG293" s="43" t="s">
        <v>736</v>
      </c>
      <c r="BH293" s="43" t="s">
        <v>734</v>
      </c>
      <c r="BI293" s="43">
        <v>0</v>
      </c>
      <c r="BJ293" s="43">
        <v>0</v>
      </c>
      <c r="BK293" s="43">
        <v>0</v>
      </c>
      <c r="BM293" s="36" t="s">
        <v>1</v>
      </c>
      <c r="BN293" s="61">
        <v>60</v>
      </c>
      <c r="BO293" s="61">
        <v>5</v>
      </c>
      <c r="BP293" s="61">
        <v>350</v>
      </c>
      <c r="CF293" s="47" t="s">
        <v>16</v>
      </c>
      <c r="CR293" s="43">
        <v>0</v>
      </c>
      <c r="CS293" s="70">
        <v>0</v>
      </c>
      <c r="CT293" s="70">
        <v>0</v>
      </c>
      <c r="CU293" s="43">
        <v>0</v>
      </c>
      <c r="CV293" s="70">
        <v>0</v>
      </c>
      <c r="CW293" s="70">
        <v>0</v>
      </c>
      <c r="CX293" s="70">
        <v>0</v>
      </c>
      <c r="CY293" s="70">
        <v>0</v>
      </c>
      <c r="CZ293" s="70">
        <v>0</v>
      </c>
      <c r="DA293" s="70">
        <v>0</v>
      </c>
      <c r="DB293" s="70">
        <v>0</v>
      </c>
      <c r="DD293" s="43">
        <v>0</v>
      </c>
    </row>
    <row r="294" spans="1:108" s="43" customFormat="1" ht="15.75" thickBot="1" x14ac:dyDescent="0.3">
      <c r="A294" s="43">
        <v>34729</v>
      </c>
      <c r="B294" s="43" t="s">
        <v>499</v>
      </c>
      <c r="C294" s="56" t="s">
        <v>15</v>
      </c>
      <c r="D294" s="43">
        <v>60</v>
      </c>
      <c r="E294" s="43">
        <v>0</v>
      </c>
      <c r="F294" s="43">
        <v>60</v>
      </c>
      <c r="G294" s="43">
        <v>24</v>
      </c>
      <c r="H294" s="43">
        <v>0</v>
      </c>
      <c r="I294" s="43">
        <v>17</v>
      </c>
      <c r="J294" s="57" t="s">
        <v>721</v>
      </c>
      <c r="K294" s="57" t="s">
        <v>722</v>
      </c>
      <c r="L294" s="59">
        <v>46010.447835648149</v>
      </c>
      <c r="M294" s="43">
        <v>0</v>
      </c>
      <c r="N294" s="43">
        <v>0</v>
      </c>
      <c r="O294" s="43">
        <v>0</v>
      </c>
      <c r="S294" s="43" t="b">
        <v>0</v>
      </c>
      <c r="T294" s="43">
        <v>9.9999997764825821E-3</v>
      </c>
      <c r="U294" s="55">
        <v>5.5</v>
      </c>
      <c r="V294" s="43">
        <v>9.9999997764825821E-3</v>
      </c>
      <c r="W294" s="43">
        <v>0</v>
      </c>
      <c r="X294" s="43">
        <v>1000</v>
      </c>
      <c r="Z294" s="43">
        <v>10</v>
      </c>
      <c r="AB294" s="55">
        <v>35</v>
      </c>
      <c r="AD294" s="43">
        <v>10</v>
      </c>
      <c r="AF294" s="43">
        <v>2000</v>
      </c>
      <c r="AG294" s="43">
        <v>2</v>
      </c>
      <c r="AH294" s="43">
        <v>5.7699999809265137</v>
      </c>
      <c r="AI294" s="43">
        <v>694</v>
      </c>
      <c r="AJ294" s="43">
        <v>0</v>
      </c>
      <c r="AK294" s="43">
        <v>111</v>
      </c>
      <c r="AM294" s="43" t="s">
        <v>2</v>
      </c>
      <c r="AO294" s="43">
        <v>34</v>
      </c>
      <c r="AW294" s="43" t="b">
        <v>0</v>
      </c>
      <c r="BC294" s="43">
        <v>0</v>
      </c>
      <c r="BD294" s="43">
        <v>0</v>
      </c>
      <c r="BE294" s="43">
        <v>0</v>
      </c>
      <c r="BF294" s="43" t="s">
        <v>734</v>
      </c>
      <c r="BG294" s="43" t="s">
        <v>736</v>
      </c>
      <c r="BH294" s="43" t="s">
        <v>734</v>
      </c>
      <c r="BI294" s="43">
        <v>0</v>
      </c>
      <c r="BJ294" s="43">
        <v>0</v>
      </c>
      <c r="BK294" s="43">
        <v>0</v>
      </c>
      <c r="BM294" s="36" t="s">
        <v>1</v>
      </c>
      <c r="BN294" s="61">
        <v>60</v>
      </c>
      <c r="BO294" s="61">
        <v>5.5</v>
      </c>
      <c r="BP294" s="61">
        <v>350</v>
      </c>
      <c r="CF294" s="47" t="s">
        <v>16</v>
      </c>
      <c r="CR294" s="43">
        <v>0</v>
      </c>
      <c r="CS294" s="70">
        <v>0</v>
      </c>
      <c r="CT294" s="70">
        <v>0</v>
      </c>
      <c r="CU294" s="43">
        <v>0</v>
      </c>
      <c r="CV294" s="70">
        <v>0</v>
      </c>
      <c r="CW294" s="70">
        <v>0</v>
      </c>
      <c r="CX294" s="70">
        <v>0</v>
      </c>
      <c r="CY294" s="70">
        <v>0</v>
      </c>
      <c r="CZ294" s="70">
        <v>0</v>
      </c>
      <c r="DA294" s="70">
        <v>0</v>
      </c>
      <c r="DB294" s="70">
        <v>0</v>
      </c>
      <c r="DD294" s="43">
        <v>0</v>
      </c>
    </row>
    <row r="295" spans="1:108" s="43" customFormat="1" ht="15.75" thickBot="1" x14ac:dyDescent="0.3">
      <c r="A295" s="43">
        <v>34730</v>
      </c>
      <c r="B295" s="43" t="s">
        <v>499</v>
      </c>
      <c r="C295" s="56" t="s">
        <v>15</v>
      </c>
      <c r="D295" s="43">
        <v>60</v>
      </c>
      <c r="E295" s="43">
        <v>0</v>
      </c>
      <c r="F295" s="43">
        <v>60</v>
      </c>
      <c r="G295" s="43">
        <v>25</v>
      </c>
      <c r="H295" s="43">
        <v>0</v>
      </c>
      <c r="I295" s="43">
        <v>12</v>
      </c>
      <c r="J295" s="57" t="s">
        <v>723</v>
      </c>
      <c r="K295" s="57" t="s">
        <v>724</v>
      </c>
      <c r="L295" s="59">
        <v>46010.447928240741</v>
      </c>
      <c r="M295" s="43">
        <v>0</v>
      </c>
      <c r="N295" s="43">
        <v>0</v>
      </c>
      <c r="O295" s="43">
        <v>0</v>
      </c>
      <c r="S295" s="43" t="b">
        <v>0</v>
      </c>
      <c r="T295" s="43">
        <v>9.9999997764825821E-3</v>
      </c>
      <c r="U295" s="55">
        <v>5.5</v>
      </c>
      <c r="V295" s="43">
        <v>9.9999997764825821E-3</v>
      </c>
      <c r="W295" s="43">
        <v>0</v>
      </c>
      <c r="X295" s="43">
        <v>1000</v>
      </c>
      <c r="Z295" s="43">
        <v>10</v>
      </c>
      <c r="AB295" s="55">
        <v>25</v>
      </c>
      <c r="AD295" s="43">
        <v>10</v>
      </c>
      <c r="AF295" s="43">
        <v>2000</v>
      </c>
      <c r="AG295" s="43">
        <v>2</v>
      </c>
      <c r="AH295" s="43">
        <v>5.820000171661377</v>
      </c>
      <c r="AI295" s="43">
        <v>605</v>
      </c>
      <c r="AJ295" s="43">
        <v>0</v>
      </c>
      <c r="AK295" s="43">
        <v>61</v>
      </c>
      <c r="AM295" s="43" t="s">
        <v>2</v>
      </c>
      <c r="AO295" s="43">
        <v>24</v>
      </c>
      <c r="AW295" s="43" t="b">
        <v>0</v>
      </c>
      <c r="BC295" s="43">
        <v>0</v>
      </c>
      <c r="BD295" s="43">
        <v>0</v>
      </c>
      <c r="BE295" s="43">
        <v>0</v>
      </c>
      <c r="BF295" s="43" t="s">
        <v>734</v>
      </c>
      <c r="BG295" s="43" t="s">
        <v>736</v>
      </c>
      <c r="BH295" s="43" t="s">
        <v>734</v>
      </c>
      <c r="BI295" s="43">
        <v>0</v>
      </c>
      <c r="BJ295" s="43">
        <v>0</v>
      </c>
      <c r="BK295" s="43">
        <v>0</v>
      </c>
      <c r="BM295" s="36" t="s">
        <v>1</v>
      </c>
      <c r="BN295" s="61">
        <v>60</v>
      </c>
      <c r="BO295" s="61">
        <v>5.5</v>
      </c>
      <c r="BP295" s="61">
        <v>350</v>
      </c>
      <c r="CF295" s="47" t="s">
        <v>16</v>
      </c>
      <c r="CR295" s="43">
        <v>0</v>
      </c>
      <c r="CS295" s="70">
        <v>0</v>
      </c>
      <c r="CT295" s="70">
        <v>0</v>
      </c>
      <c r="CU295" s="43">
        <v>0</v>
      </c>
      <c r="CV295" s="70">
        <v>0</v>
      </c>
      <c r="CW295" s="70">
        <v>0</v>
      </c>
      <c r="CX295" s="70">
        <v>0</v>
      </c>
      <c r="CY295" s="70">
        <v>0</v>
      </c>
      <c r="CZ295" s="70">
        <v>0</v>
      </c>
      <c r="DA295" s="70">
        <v>0</v>
      </c>
      <c r="DB295" s="70">
        <v>0</v>
      </c>
      <c r="DD295" s="43">
        <v>0</v>
      </c>
    </row>
    <row r="296" spans="1:108" s="43" customFormat="1" ht="15.75" thickBot="1" x14ac:dyDescent="0.3">
      <c r="A296" s="43">
        <v>528423</v>
      </c>
      <c r="B296" s="43" t="s">
        <v>6</v>
      </c>
      <c r="C296" s="225" t="s">
        <v>739</v>
      </c>
      <c r="D296" s="43">
        <v>32</v>
      </c>
      <c r="E296" s="43">
        <v>0</v>
      </c>
      <c r="F296" s="43">
        <v>32</v>
      </c>
      <c r="G296" s="43">
        <v>524</v>
      </c>
      <c r="H296" s="43">
        <v>0</v>
      </c>
      <c r="I296" s="43">
        <v>125</v>
      </c>
      <c r="J296" s="57" t="s">
        <v>740</v>
      </c>
      <c r="K296" s="57" t="s">
        <v>741</v>
      </c>
      <c r="L296" s="58">
        <v>45966.159583333298</v>
      </c>
      <c r="M296" s="43">
        <v>0</v>
      </c>
      <c r="N296" s="43">
        <v>0</v>
      </c>
      <c r="O296" s="43">
        <v>0</v>
      </c>
      <c r="S296" s="43" t="b">
        <v>0</v>
      </c>
      <c r="T296" s="43">
        <v>9.9999997764825804E-3</v>
      </c>
      <c r="U296" s="55">
        <v>2.7000000476837198</v>
      </c>
      <c r="V296" s="43">
        <v>9.9999997764825804E-3</v>
      </c>
      <c r="W296" s="43">
        <v>0</v>
      </c>
      <c r="X296" s="43">
        <v>1000</v>
      </c>
      <c r="Z296" s="43">
        <v>10</v>
      </c>
      <c r="AB296" s="55">
        <v>250</v>
      </c>
      <c r="AD296" s="43">
        <v>10</v>
      </c>
      <c r="AF296" s="43">
        <v>2000</v>
      </c>
      <c r="AG296" s="43">
        <v>2</v>
      </c>
      <c r="AH296" s="43">
        <v>2.71000003814697</v>
      </c>
      <c r="AI296" s="43">
        <v>432</v>
      </c>
      <c r="AJ296" s="43">
        <v>0</v>
      </c>
      <c r="AK296" s="43">
        <v>296</v>
      </c>
      <c r="AM296" s="43" t="s">
        <v>2</v>
      </c>
      <c r="AO296" s="43">
        <v>250</v>
      </c>
      <c r="AW296" s="43" t="b">
        <v>0</v>
      </c>
      <c r="BF296" s="226">
        <v>1</v>
      </c>
      <c r="BG296" s="226">
        <v>0.55000000000000004</v>
      </c>
      <c r="BH296" s="226">
        <v>1</v>
      </c>
      <c r="BI296" s="226">
        <v>0.55000000000000004</v>
      </c>
      <c r="BJ296" s="226">
        <v>0</v>
      </c>
      <c r="BK296" s="43">
        <v>0</v>
      </c>
      <c r="BM296" s="36" t="s">
        <v>1</v>
      </c>
      <c r="BN296" s="61">
        <v>32</v>
      </c>
      <c r="BO296" s="61" t="s">
        <v>886</v>
      </c>
      <c r="BP296" s="61">
        <v>250</v>
      </c>
      <c r="CF296" s="47" t="s">
        <v>12</v>
      </c>
      <c r="CR296" s="43">
        <v>0</v>
      </c>
      <c r="CS296" s="70">
        <v>0</v>
      </c>
      <c r="CT296" s="70">
        <v>0</v>
      </c>
      <c r="CU296" s="43">
        <v>1</v>
      </c>
      <c r="CV296" s="70">
        <v>0</v>
      </c>
      <c r="CW296" s="70">
        <v>0</v>
      </c>
      <c r="CX296" s="70">
        <v>0</v>
      </c>
      <c r="CY296" s="70">
        <v>0</v>
      </c>
      <c r="CZ296" s="70">
        <v>0</v>
      </c>
      <c r="DA296" s="70">
        <v>0</v>
      </c>
      <c r="DB296" s="70">
        <v>0</v>
      </c>
      <c r="DD296" s="43">
        <v>2</v>
      </c>
    </row>
    <row r="297" spans="1:108" s="43" customFormat="1" ht="15.75" thickBot="1" x14ac:dyDescent="0.3">
      <c r="A297" s="43">
        <v>528424</v>
      </c>
      <c r="B297" s="43" t="s">
        <v>6</v>
      </c>
      <c r="C297" s="225" t="s">
        <v>739</v>
      </c>
      <c r="D297" s="43">
        <v>32</v>
      </c>
      <c r="E297" s="43">
        <v>0</v>
      </c>
      <c r="F297" s="43">
        <v>32</v>
      </c>
      <c r="G297" s="43">
        <v>525</v>
      </c>
      <c r="H297" s="43">
        <v>0</v>
      </c>
      <c r="I297" s="43">
        <v>125</v>
      </c>
      <c r="J297" s="57" t="s">
        <v>742</v>
      </c>
      <c r="K297" s="57" t="s">
        <v>743</v>
      </c>
      <c r="L297" s="58">
        <v>45966.159652777802</v>
      </c>
      <c r="M297" s="43">
        <v>0</v>
      </c>
      <c r="N297" s="43">
        <v>0</v>
      </c>
      <c r="O297" s="43">
        <v>0</v>
      </c>
      <c r="S297" s="43" t="b">
        <v>0</v>
      </c>
      <c r="T297" s="43">
        <v>9.9999997764825804E-3</v>
      </c>
      <c r="U297" s="55">
        <v>2.7000000476837198</v>
      </c>
      <c r="V297" s="43">
        <v>9.9999997764825804E-3</v>
      </c>
      <c r="W297" s="43">
        <v>0</v>
      </c>
      <c r="X297" s="43">
        <v>1000</v>
      </c>
      <c r="Z297" s="43">
        <v>10</v>
      </c>
      <c r="AB297" s="55">
        <v>250</v>
      </c>
      <c r="AD297" s="43">
        <v>10</v>
      </c>
      <c r="AF297" s="43">
        <v>2000</v>
      </c>
      <c r="AG297" s="43">
        <v>2</v>
      </c>
      <c r="AH297" s="43">
        <v>2.7000000476837198</v>
      </c>
      <c r="AI297" s="43">
        <v>423</v>
      </c>
      <c r="AJ297" s="43">
        <v>0</v>
      </c>
      <c r="AK297" s="43">
        <v>289</v>
      </c>
      <c r="AM297" s="43" t="s">
        <v>2</v>
      </c>
      <c r="AO297" s="43">
        <v>250</v>
      </c>
      <c r="AW297" s="43" t="b">
        <v>0</v>
      </c>
      <c r="BF297" s="226">
        <v>1</v>
      </c>
      <c r="BG297" s="226">
        <v>0.55000000000000004</v>
      </c>
      <c r="BH297" s="226">
        <v>1</v>
      </c>
      <c r="BI297" s="226">
        <v>0.55000000000000004</v>
      </c>
      <c r="BJ297" s="226">
        <v>0</v>
      </c>
      <c r="BK297" s="43">
        <v>0</v>
      </c>
      <c r="BM297" s="36" t="s">
        <v>1</v>
      </c>
      <c r="BN297" s="61">
        <v>32</v>
      </c>
      <c r="BO297" s="61" t="s">
        <v>886</v>
      </c>
      <c r="BP297" s="61">
        <v>250</v>
      </c>
      <c r="CF297" s="47" t="s">
        <v>12</v>
      </c>
      <c r="CR297" s="43">
        <v>0</v>
      </c>
      <c r="CS297" s="70">
        <v>0</v>
      </c>
      <c r="CT297" s="70">
        <v>0</v>
      </c>
      <c r="CU297" s="43">
        <v>1</v>
      </c>
      <c r="CV297" s="70">
        <v>0</v>
      </c>
      <c r="CW297" s="70">
        <v>0</v>
      </c>
      <c r="CX297" s="70">
        <v>0</v>
      </c>
      <c r="CY297" s="70">
        <v>0</v>
      </c>
      <c r="CZ297" s="70">
        <v>0</v>
      </c>
      <c r="DA297" s="70">
        <v>0</v>
      </c>
      <c r="DB297" s="70">
        <v>0</v>
      </c>
      <c r="DD297" s="43">
        <v>2</v>
      </c>
    </row>
    <row r="298" spans="1:108" s="43" customFormat="1" ht="15.75" thickBot="1" x14ac:dyDescent="0.3">
      <c r="A298" s="43">
        <v>528393</v>
      </c>
      <c r="B298" s="43" t="s">
        <v>6</v>
      </c>
      <c r="C298" s="225" t="s">
        <v>739</v>
      </c>
      <c r="D298" s="43">
        <v>32</v>
      </c>
      <c r="E298" s="43">
        <v>0</v>
      </c>
      <c r="F298" s="43">
        <v>32</v>
      </c>
      <c r="G298" s="43">
        <v>494</v>
      </c>
      <c r="H298" s="43">
        <v>0</v>
      </c>
      <c r="I298" s="43">
        <v>125</v>
      </c>
      <c r="J298" s="57" t="s">
        <v>744</v>
      </c>
      <c r="K298" s="57" t="s">
        <v>745</v>
      </c>
      <c r="L298" s="58">
        <v>45966.141365740703</v>
      </c>
      <c r="M298" s="43">
        <v>0</v>
      </c>
      <c r="N298" s="43">
        <v>0</v>
      </c>
      <c r="O298" s="43">
        <v>0</v>
      </c>
      <c r="S298" s="43" t="b">
        <v>0</v>
      </c>
      <c r="T298" s="43">
        <v>9.9999997764825804E-3</v>
      </c>
      <c r="U298" s="55">
        <v>2.7000000476837198</v>
      </c>
      <c r="V298" s="43">
        <v>9.9999997764825804E-3</v>
      </c>
      <c r="W298" s="43">
        <v>0</v>
      </c>
      <c r="X298" s="43">
        <v>1000</v>
      </c>
      <c r="Z298" s="43">
        <v>10</v>
      </c>
      <c r="AB298" s="55">
        <v>250</v>
      </c>
      <c r="AD298" s="43">
        <v>10</v>
      </c>
      <c r="AF298" s="43">
        <v>2000</v>
      </c>
      <c r="AG298" s="43">
        <v>2</v>
      </c>
      <c r="AH298" s="43">
        <v>2.7200000286102299</v>
      </c>
      <c r="AI298" s="43">
        <v>465</v>
      </c>
      <c r="AJ298" s="43">
        <v>0</v>
      </c>
      <c r="AK298" s="43">
        <v>321</v>
      </c>
      <c r="AM298" s="43" t="s">
        <v>2</v>
      </c>
      <c r="AO298" s="43">
        <v>250</v>
      </c>
      <c r="AW298" s="43" t="b">
        <v>0</v>
      </c>
      <c r="BF298" s="226">
        <v>1</v>
      </c>
      <c r="BG298" s="226">
        <v>0.55000000000000004</v>
      </c>
      <c r="BH298" s="226">
        <v>1</v>
      </c>
      <c r="BI298" s="226">
        <v>0.55000000000000004</v>
      </c>
      <c r="BJ298" s="226">
        <v>0</v>
      </c>
      <c r="BK298" s="43">
        <v>0</v>
      </c>
      <c r="BM298" s="36" t="s">
        <v>1</v>
      </c>
      <c r="BN298" s="61">
        <v>32</v>
      </c>
      <c r="BO298" s="61" t="s">
        <v>886</v>
      </c>
      <c r="BP298" s="61">
        <v>250</v>
      </c>
      <c r="CF298" s="47" t="s">
        <v>12</v>
      </c>
      <c r="CR298" s="43">
        <v>0</v>
      </c>
      <c r="CS298" s="70">
        <v>0</v>
      </c>
      <c r="CT298" s="70">
        <v>0</v>
      </c>
      <c r="CU298" s="43">
        <v>1</v>
      </c>
      <c r="CV298" s="70">
        <v>0</v>
      </c>
      <c r="CW298" s="70">
        <v>0</v>
      </c>
      <c r="CX298" s="70">
        <v>0</v>
      </c>
      <c r="CY298" s="70">
        <v>0</v>
      </c>
      <c r="CZ298" s="70">
        <v>0</v>
      </c>
      <c r="DA298" s="70">
        <v>0</v>
      </c>
      <c r="DB298" s="70">
        <v>0</v>
      </c>
      <c r="DD298" s="43">
        <v>2</v>
      </c>
    </row>
    <row r="299" spans="1:108" s="43" customFormat="1" ht="15.75" thickBot="1" x14ac:dyDescent="0.3">
      <c r="A299" s="43">
        <v>528394</v>
      </c>
      <c r="B299" s="43" t="s">
        <v>6</v>
      </c>
      <c r="C299" s="225" t="s">
        <v>739</v>
      </c>
      <c r="D299" s="43">
        <v>32</v>
      </c>
      <c r="E299" s="43">
        <v>0</v>
      </c>
      <c r="F299" s="43">
        <v>32</v>
      </c>
      <c r="G299" s="43">
        <v>495</v>
      </c>
      <c r="H299" s="43">
        <v>0</v>
      </c>
      <c r="I299" s="43">
        <v>125</v>
      </c>
      <c r="J299" s="57" t="s">
        <v>746</v>
      </c>
      <c r="K299" s="57" t="s">
        <v>747</v>
      </c>
      <c r="L299" s="58">
        <v>45966.1414351852</v>
      </c>
      <c r="M299" s="43">
        <v>0</v>
      </c>
      <c r="N299" s="43">
        <v>0</v>
      </c>
      <c r="O299" s="43">
        <v>0</v>
      </c>
      <c r="S299" s="43" t="b">
        <v>0</v>
      </c>
      <c r="T299" s="43">
        <v>9.9999997764825804E-3</v>
      </c>
      <c r="U299" s="55">
        <v>2.7000000476837198</v>
      </c>
      <c r="V299" s="43">
        <v>9.9999997764825804E-3</v>
      </c>
      <c r="W299" s="43">
        <v>0</v>
      </c>
      <c r="X299" s="43">
        <v>1000</v>
      </c>
      <c r="Z299" s="43">
        <v>10</v>
      </c>
      <c r="AB299" s="55">
        <v>250</v>
      </c>
      <c r="AD299" s="43">
        <v>10</v>
      </c>
      <c r="AF299" s="43">
        <v>2000</v>
      </c>
      <c r="AG299" s="43">
        <v>2</v>
      </c>
      <c r="AH299" s="43">
        <v>2.7200000286102299</v>
      </c>
      <c r="AI299" s="43">
        <v>465</v>
      </c>
      <c r="AJ299" s="43">
        <v>0</v>
      </c>
      <c r="AK299" s="43">
        <v>321</v>
      </c>
      <c r="AM299" s="43" t="s">
        <v>2</v>
      </c>
      <c r="AO299" s="43">
        <v>250</v>
      </c>
      <c r="AW299" s="43" t="b">
        <v>0</v>
      </c>
      <c r="BF299" s="226">
        <v>1</v>
      </c>
      <c r="BG299" s="226">
        <v>0.55000000000000004</v>
      </c>
      <c r="BH299" s="226">
        <v>1</v>
      </c>
      <c r="BI299" s="226">
        <v>0.55000000000000004</v>
      </c>
      <c r="BJ299" s="226">
        <v>0</v>
      </c>
      <c r="BK299" s="43">
        <v>0</v>
      </c>
      <c r="BM299" s="36" t="s">
        <v>1</v>
      </c>
      <c r="BN299" s="61">
        <v>32</v>
      </c>
      <c r="BO299" s="61" t="s">
        <v>886</v>
      </c>
      <c r="BP299" s="61">
        <v>250</v>
      </c>
      <c r="CF299" s="47" t="s">
        <v>12</v>
      </c>
      <c r="CR299" s="43">
        <v>0</v>
      </c>
      <c r="CS299" s="70">
        <v>0</v>
      </c>
      <c r="CT299" s="70">
        <v>0</v>
      </c>
      <c r="CU299" s="43">
        <v>1</v>
      </c>
      <c r="CV299" s="70">
        <v>0</v>
      </c>
      <c r="CW299" s="70">
        <v>0</v>
      </c>
      <c r="CX299" s="70">
        <v>0</v>
      </c>
      <c r="CY299" s="70">
        <v>0</v>
      </c>
      <c r="CZ299" s="70">
        <v>0</v>
      </c>
      <c r="DA299" s="70">
        <v>0</v>
      </c>
      <c r="DB299" s="70">
        <v>0</v>
      </c>
      <c r="DD299" s="43">
        <v>2</v>
      </c>
    </row>
    <row r="300" spans="1:108" s="43" customFormat="1" ht="15.75" thickBot="1" x14ac:dyDescent="0.3">
      <c r="A300" s="43">
        <v>528359</v>
      </c>
      <c r="B300" s="43" t="s">
        <v>6</v>
      </c>
      <c r="C300" s="225" t="s">
        <v>739</v>
      </c>
      <c r="D300" s="43">
        <v>32</v>
      </c>
      <c r="E300" s="43">
        <v>0</v>
      </c>
      <c r="F300" s="43">
        <v>32</v>
      </c>
      <c r="G300" s="43">
        <v>460</v>
      </c>
      <c r="H300" s="43">
        <v>0</v>
      </c>
      <c r="I300" s="43">
        <v>125</v>
      </c>
      <c r="J300" s="57" t="s">
        <v>748</v>
      </c>
      <c r="K300" s="57" t="s">
        <v>749</v>
      </c>
      <c r="L300" s="58">
        <v>45966.136967592603</v>
      </c>
      <c r="M300" s="43">
        <v>0</v>
      </c>
      <c r="N300" s="43">
        <v>0</v>
      </c>
      <c r="O300" s="43">
        <v>0</v>
      </c>
      <c r="S300" s="43" t="b">
        <v>0</v>
      </c>
      <c r="T300" s="43">
        <v>9.9999997764825804E-3</v>
      </c>
      <c r="U300" s="55">
        <v>2.7000000476837198</v>
      </c>
      <c r="V300" s="43">
        <v>9.9999997764825804E-3</v>
      </c>
      <c r="W300" s="43">
        <v>0</v>
      </c>
      <c r="X300" s="43">
        <v>1000</v>
      </c>
      <c r="Z300" s="43">
        <v>10</v>
      </c>
      <c r="AB300" s="55">
        <v>250</v>
      </c>
      <c r="AD300" s="43">
        <v>10</v>
      </c>
      <c r="AF300" s="43">
        <v>2000</v>
      </c>
      <c r="AG300" s="43">
        <v>2</v>
      </c>
      <c r="AH300" s="43">
        <v>2.7200000286102299</v>
      </c>
      <c r="AI300" s="43">
        <v>465</v>
      </c>
      <c r="AJ300" s="43">
        <v>0</v>
      </c>
      <c r="AK300" s="43">
        <v>319</v>
      </c>
      <c r="AM300" s="43" t="s">
        <v>2</v>
      </c>
      <c r="AO300" s="43">
        <v>250</v>
      </c>
      <c r="AW300" s="43" t="b">
        <v>0</v>
      </c>
      <c r="BF300" s="226">
        <v>1</v>
      </c>
      <c r="BG300" s="226">
        <v>0.55000000000000004</v>
      </c>
      <c r="BH300" s="226">
        <v>1</v>
      </c>
      <c r="BI300" s="226">
        <v>0.55000000000000004</v>
      </c>
      <c r="BJ300" s="226">
        <v>0</v>
      </c>
      <c r="BK300" s="43">
        <v>0</v>
      </c>
      <c r="BM300" s="36" t="s">
        <v>1</v>
      </c>
      <c r="BN300" s="61">
        <v>32</v>
      </c>
      <c r="BO300" s="61" t="s">
        <v>886</v>
      </c>
      <c r="BP300" s="61">
        <v>250</v>
      </c>
      <c r="CF300" s="47" t="s">
        <v>12</v>
      </c>
      <c r="CR300" s="43">
        <v>0</v>
      </c>
      <c r="CS300" s="70">
        <v>0</v>
      </c>
      <c r="CT300" s="70">
        <v>0</v>
      </c>
      <c r="CU300" s="43">
        <v>1</v>
      </c>
      <c r="CV300" s="70">
        <v>0</v>
      </c>
      <c r="CW300" s="70">
        <v>0</v>
      </c>
      <c r="CX300" s="70">
        <v>0</v>
      </c>
      <c r="CY300" s="70">
        <v>0</v>
      </c>
      <c r="CZ300" s="70">
        <v>0</v>
      </c>
      <c r="DA300" s="70">
        <v>0</v>
      </c>
      <c r="DB300" s="70">
        <v>0</v>
      </c>
      <c r="DD300" s="43">
        <v>2</v>
      </c>
    </row>
    <row r="301" spans="1:108" s="43" customFormat="1" ht="15.75" thickBot="1" x14ac:dyDescent="0.3">
      <c r="A301" s="43">
        <v>528360</v>
      </c>
      <c r="B301" s="43" t="s">
        <v>6</v>
      </c>
      <c r="C301" s="225" t="s">
        <v>739</v>
      </c>
      <c r="D301" s="43">
        <v>32</v>
      </c>
      <c r="E301" s="43">
        <v>0</v>
      </c>
      <c r="F301" s="43">
        <v>32</v>
      </c>
      <c r="G301" s="43">
        <v>461</v>
      </c>
      <c r="H301" s="43">
        <v>0</v>
      </c>
      <c r="I301" s="43">
        <v>125</v>
      </c>
      <c r="J301" s="57" t="s">
        <v>750</v>
      </c>
      <c r="K301" s="57" t="s">
        <v>751</v>
      </c>
      <c r="L301" s="58">
        <v>45966.137037036999</v>
      </c>
      <c r="M301" s="43">
        <v>0</v>
      </c>
      <c r="N301" s="43">
        <v>0</v>
      </c>
      <c r="O301" s="43">
        <v>0</v>
      </c>
      <c r="S301" s="43" t="b">
        <v>0</v>
      </c>
      <c r="T301" s="43">
        <v>9.9999997764825804E-3</v>
      </c>
      <c r="U301" s="55">
        <v>2.7000000476837198</v>
      </c>
      <c r="V301" s="43">
        <v>9.9999997764825804E-3</v>
      </c>
      <c r="W301" s="43">
        <v>0</v>
      </c>
      <c r="X301" s="43">
        <v>1000</v>
      </c>
      <c r="Z301" s="43">
        <v>10</v>
      </c>
      <c r="AB301" s="55">
        <v>250</v>
      </c>
      <c r="AD301" s="43">
        <v>10</v>
      </c>
      <c r="AF301" s="43">
        <v>2000</v>
      </c>
      <c r="AG301" s="43">
        <v>2</v>
      </c>
      <c r="AH301" s="43">
        <v>2.7200000286102299</v>
      </c>
      <c r="AI301" s="43">
        <v>461</v>
      </c>
      <c r="AJ301" s="43">
        <v>0</v>
      </c>
      <c r="AK301" s="43">
        <v>319</v>
      </c>
      <c r="AM301" s="43" t="s">
        <v>2</v>
      </c>
      <c r="AO301" s="43">
        <v>250</v>
      </c>
      <c r="AW301" s="43" t="b">
        <v>0</v>
      </c>
      <c r="BF301" s="226">
        <v>1</v>
      </c>
      <c r="BG301" s="226">
        <v>0.55000000000000004</v>
      </c>
      <c r="BH301" s="226">
        <v>1</v>
      </c>
      <c r="BI301" s="226">
        <v>0.55000000000000004</v>
      </c>
      <c r="BJ301" s="226">
        <v>0</v>
      </c>
      <c r="BK301" s="43">
        <v>0</v>
      </c>
      <c r="BM301" s="36" t="s">
        <v>1</v>
      </c>
      <c r="BN301" s="61">
        <v>32</v>
      </c>
      <c r="BO301" s="61" t="s">
        <v>886</v>
      </c>
      <c r="BP301" s="61">
        <v>250</v>
      </c>
      <c r="CF301" s="47" t="s">
        <v>12</v>
      </c>
      <c r="CR301" s="43">
        <v>0</v>
      </c>
      <c r="CS301" s="70">
        <v>0</v>
      </c>
      <c r="CT301" s="70">
        <v>0</v>
      </c>
      <c r="CU301" s="43">
        <v>1</v>
      </c>
      <c r="CV301" s="70">
        <v>0</v>
      </c>
      <c r="CW301" s="70">
        <v>0</v>
      </c>
      <c r="CX301" s="70">
        <v>0</v>
      </c>
      <c r="CY301" s="70">
        <v>0</v>
      </c>
      <c r="CZ301" s="70">
        <v>0</v>
      </c>
      <c r="DA301" s="70">
        <v>0</v>
      </c>
      <c r="DB301" s="70">
        <v>0</v>
      </c>
      <c r="DD301" s="43">
        <v>2</v>
      </c>
    </row>
    <row r="302" spans="1:108" s="43" customFormat="1" ht="15.75" thickBot="1" x14ac:dyDescent="0.3">
      <c r="A302" s="43">
        <v>528361</v>
      </c>
      <c r="B302" s="43" t="s">
        <v>6</v>
      </c>
      <c r="C302" s="225" t="s">
        <v>739</v>
      </c>
      <c r="D302" s="43">
        <v>32</v>
      </c>
      <c r="E302" s="43">
        <v>0</v>
      </c>
      <c r="F302" s="43">
        <v>32</v>
      </c>
      <c r="G302" s="43">
        <v>462</v>
      </c>
      <c r="H302" s="43">
        <v>0</v>
      </c>
      <c r="I302" s="43">
        <v>125</v>
      </c>
      <c r="J302" s="57" t="s">
        <v>752</v>
      </c>
      <c r="K302" s="57" t="s">
        <v>753</v>
      </c>
      <c r="L302" s="58">
        <v>45966.137106481503</v>
      </c>
      <c r="M302" s="43">
        <v>0</v>
      </c>
      <c r="N302" s="43">
        <v>0</v>
      </c>
      <c r="O302" s="43">
        <v>0</v>
      </c>
      <c r="S302" s="43" t="b">
        <v>0</v>
      </c>
      <c r="T302" s="43">
        <v>9.9999997764825804E-3</v>
      </c>
      <c r="U302" s="55">
        <v>2.7000000476837198</v>
      </c>
      <c r="V302" s="43">
        <v>9.9999997764825804E-3</v>
      </c>
      <c r="W302" s="43">
        <v>0</v>
      </c>
      <c r="X302" s="43">
        <v>1000</v>
      </c>
      <c r="Z302" s="43">
        <v>10</v>
      </c>
      <c r="AB302" s="55">
        <v>250</v>
      </c>
      <c r="AD302" s="43">
        <v>10</v>
      </c>
      <c r="AF302" s="43">
        <v>2000</v>
      </c>
      <c r="AG302" s="43">
        <v>2</v>
      </c>
      <c r="AH302" s="43">
        <v>2.7200000286102299</v>
      </c>
      <c r="AI302" s="43">
        <v>457</v>
      </c>
      <c r="AJ302" s="43">
        <v>0</v>
      </c>
      <c r="AK302" s="43">
        <v>314</v>
      </c>
      <c r="AM302" s="43" t="s">
        <v>2</v>
      </c>
      <c r="AO302" s="43">
        <v>250</v>
      </c>
      <c r="AW302" s="43" t="b">
        <v>0</v>
      </c>
      <c r="BF302" s="226">
        <v>1</v>
      </c>
      <c r="BG302" s="226">
        <v>0.55000000000000004</v>
      </c>
      <c r="BH302" s="226">
        <v>1</v>
      </c>
      <c r="BI302" s="226">
        <v>0.55000000000000004</v>
      </c>
      <c r="BJ302" s="226">
        <v>0</v>
      </c>
      <c r="BK302" s="43">
        <v>0</v>
      </c>
      <c r="BM302" s="36" t="s">
        <v>1</v>
      </c>
      <c r="BN302" s="61">
        <v>32</v>
      </c>
      <c r="BO302" s="61" t="s">
        <v>886</v>
      </c>
      <c r="BP302" s="61">
        <v>250</v>
      </c>
      <c r="CF302" s="47" t="s">
        <v>12</v>
      </c>
      <c r="CR302" s="43">
        <v>0</v>
      </c>
      <c r="CS302" s="70">
        <v>0</v>
      </c>
      <c r="CT302" s="70">
        <v>0</v>
      </c>
      <c r="CU302" s="43">
        <v>1</v>
      </c>
      <c r="CV302" s="70">
        <v>0</v>
      </c>
      <c r="CW302" s="70">
        <v>0</v>
      </c>
      <c r="CX302" s="70">
        <v>0</v>
      </c>
      <c r="CY302" s="70">
        <v>0</v>
      </c>
      <c r="CZ302" s="70">
        <v>0</v>
      </c>
      <c r="DA302" s="70">
        <v>0</v>
      </c>
      <c r="DB302" s="70">
        <v>0</v>
      </c>
      <c r="DD302" s="43">
        <v>2</v>
      </c>
    </row>
    <row r="303" spans="1:108" s="43" customFormat="1" ht="15.75" thickBot="1" x14ac:dyDescent="0.3">
      <c r="A303" s="43">
        <v>528362</v>
      </c>
      <c r="B303" s="43" t="s">
        <v>6</v>
      </c>
      <c r="C303" s="225" t="s">
        <v>739</v>
      </c>
      <c r="D303" s="43">
        <v>32</v>
      </c>
      <c r="E303" s="43">
        <v>0</v>
      </c>
      <c r="F303" s="43">
        <v>32</v>
      </c>
      <c r="G303" s="43">
        <v>463</v>
      </c>
      <c r="H303" s="43">
        <v>0</v>
      </c>
      <c r="I303" s="43">
        <v>125</v>
      </c>
      <c r="J303" s="57" t="s">
        <v>754</v>
      </c>
      <c r="K303" s="57" t="s">
        <v>755</v>
      </c>
      <c r="L303" s="58">
        <v>45966.137175925898</v>
      </c>
      <c r="M303" s="43">
        <v>0</v>
      </c>
      <c r="N303" s="43">
        <v>0</v>
      </c>
      <c r="O303" s="43">
        <v>0</v>
      </c>
      <c r="S303" s="43" t="b">
        <v>0</v>
      </c>
      <c r="T303" s="43">
        <v>9.9999997764825804E-3</v>
      </c>
      <c r="U303" s="55">
        <v>2.7000000476837198</v>
      </c>
      <c r="V303" s="43">
        <v>9.9999997764825804E-3</v>
      </c>
      <c r="W303" s="43">
        <v>0</v>
      </c>
      <c r="X303" s="43">
        <v>1000</v>
      </c>
      <c r="Z303" s="43">
        <v>10</v>
      </c>
      <c r="AB303" s="55">
        <v>250</v>
      </c>
      <c r="AD303" s="43">
        <v>10</v>
      </c>
      <c r="AF303" s="43">
        <v>2000</v>
      </c>
      <c r="AG303" s="43">
        <v>2</v>
      </c>
      <c r="AH303" s="43">
        <v>2.71000003814697</v>
      </c>
      <c r="AI303" s="43">
        <v>457</v>
      </c>
      <c r="AJ303" s="43">
        <v>0</v>
      </c>
      <c r="AK303" s="43">
        <v>313</v>
      </c>
      <c r="AM303" s="43" t="s">
        <v>2</v>
      </c>
      <c r="AO303" s="43">
        <v>250</v>
      </c>
      <c r="AW303" s="43" t="b">
        <v>0</v>
      </c>
      <c r="BF303" s="226">
        <v>1</v>
      </c>
      <c r="BG303" s="226">
        <v>0.55000000000000004</v>
      </c>
      <c r="BH303" s="226">
        <v>1</v>
      </c>
      <c r="BI303" s="226">
        <v>0.55000000000000004</v>
      </c>
      <c r="BJ303" s="226">
        <v>0</v>
      </c>
      <c r="BK303" s="43">
        <v>0</v>
      </c>
      <c r="BM303" s="36" t="s">
        <v>1</v>
      </c>
      <c r="BN303" s="61">
        <v>32</v>
      </c>
      <c r="BO303" s="61" t="s">
        <v>886</v>
      </c>
      <c r="BP303" s="61">
        <v>250</v>
      </c>
      <c r="CF303" s="47" t="s">
        <v>12</v>
      </c>
      <c r="CR303" s="43">
        <v>0</v>
      </c>
      <c r="CS303" s="70">
        <v>0</v>
      </c>
      <c r="CT303" s="70">
        <v>0</v>
      </c>
      <c r="CU303" s="43">
        <v>1</v>
      </c>
      <c r="CV303" s="70">
        <v>0</v>
      </c>
      <c r="CW303" s="70">
        <v>0</v>
      </c>
      <c r="CX303" s="70">
        <v>0</v>
      </c>
      <c r="CY303" s="70">
        <v>0</v>
      </c>
      <c r="CZ303" s="70">
        <v>0</v>
      </c>
      <c r="DA303" s="70">
        <v>0</v>
      </c>
      <c r="DB303" s="70">
        <v>0</v>
      </c>
      <c r="DD303" s="43">
        <v>2</v>
      </c>
    </row>
    <row r="304" spans="1:108" s="43" customFormat="1" ht="15.75" thickBot="1" x14ac:dyDescent="0.3">
      <c r="A304" s="43">
        <v>528363</v>
      </c>
      <c r="B304" s="43" t="s">
        <v>6</v>
      </c>
      <c r="C304" s="225" t="s">
        <v>739</v>
      </c>
      <c r="D304" s="43">
        <v>32</v>
      </c>
      <c r="E304" s="43">
        <v>0</v>
      </c>
      <c r="F304" s="43">
        <v>32</v>
      </c>
      <c r="G304" s="43">
        <v>464</v>
      </c>
      <c r="H304" s="43">
        <v>0</v>
      </c>
      <c r="I304" s="43">
        <v>125</v>
      </c>
      <c r="J304" s="57" t="s">
        <v>756</v>
      </c>
      <c r="K304" s="57" t="s">
        <v>757</v>
      </c>
      <c r="L304" s="58">
        <v>45966.137256944399</v>
      </c>
      <c r="M304" s="43">
        <v>0</v>
      </c>
      <c r="N304" s="43">
        <v>0</v>
      </c>
      <c r="O304" s="43">
        <v>0</v>
      </c>
      <c r="S304" s="43" t="b">
        <v>0</v>
      </c>
      <c r="T304" s="43">
        <v>9.9999997764825804E-3</v>
      </c>
      <c r="U304" s="55">
        <v>2.7000000476837198</v>
      </c>
      <c r="V304" s="43">
        <v>9.9999997764825804E-3</v>
      </c>
      <c r="W304" s="43">
        <v>0</v>
      </c>
      <c r="X304" s="43">
        <v>1000</v>
      </c>
      <c r="Z304" s="43">
        <v>10</v>
      </c>
      <c r="AB304" s="55">
        <v>250</v>
      </c>
      <c r="AD304" s="43">
        <v>10</v>
      </c>
      <c r="AF304" s="43">
        <v>2000</v>
      </c>
      <c r="AG304" s="43">
        <v>2</v>
      </c>
      <c r="AH304" s="43">
        <v>2.71000003814697</v>
      </c>
      <c r="AI304" s="43">
        <v>461</v>
      </c>
      <c r="AJ304" s="43">
        <v>0</v>
      </c>
      <c r="AK304" s="43">
        <v>316</v>
      </c>
      <c r="AM304" s="43" t="s">
        <v>2</v>
      </c>
      <c r="AO304" s="43">
        <v>250</v>
      </c>
      <c r="AW304" s="43" t="b">
        <v>0</v>
      </c>
      <c r="BF304" s="226">
        <v>1</v>
      </c>
      <c r="BG304" s="226">
        <v>0.55000000000000004</v>
      </c>
      <c r="BH304" s="226">
        <v>1</v>
      </c>
      <c r="BI304" s="226">
        <v>0.55000000000000004</v>
      </c>
      <c r="BJ304" s="226">
        <v>0</v>
      </c>
      <c r="BK304" s="43">
        <v>0</v>
      </c>
      <c r="BM304" s="36" t="s">
        <v>1</v>
      </c>
      <c r="BN304" s="61">
        <v>32</v>
      </c>
      <c r="BO304" s="61" t="s">
        <v>886</v>
      </c>
      <c r="BP304" s="61">
        <v>250</v>
      </c>
      <c r="CF304" s="47" t="s">
        <v>12</v>
      </c>
      <c r="CR304" s="43">
        <v>0</v>
      </c>
      <c r="CS304" s="70">
        <v>0</v>
      </c>
      <c r="CT304" s="70">
        <v>0</v>
      </c>
      <c r="CU304" s="43">
        <v>1</v>
      </c>
      <c r="CV304" s="70">
        <v>0</v>
      </c>
      <c r="CW304" s="70">
        <v>0</v>
      </c>
      <c r="CX304" s="70">
        <v>0</v>
      </c>
      <c r="CY304" s="70">
        <v>0</v>
      </c>
      <c r="CZ304" s="70">
        <v>0</v>
      </c>
      <c r="DA304" s="70">
        <v>0</v>
      </c>
      <c r="DB304" s="70">
        <v>0</v>
      </c>
      <c r="DD304" s="43">
        <v>2</v>
      </c>
    </row>
    <row r="305" spans="1:108" s="43" customFormat="1" ht="15.75" thickBot="1" x14ac:dyDescent="0.3">
      <c r="A305" s="43">
        <v>528364</v>
      </c>
      <c r="B305" s="43" t="s">
        <v>6</v>
      </c>
      <c r="C305" s="225" t="s">
        <v>739</v>
      </c>
      <c r="D305" s="43">
        <v>32</v>
      </c>
      <c r="E305" s="43">
        <v>0</v>
      </c>
      <c r="F305" s="43">
        <v>32</v>
      </c>
      <c r="G305" s="43">
        <v>465</v>
      </c>
      <c r="H305" s="43">
        <v>0</v>
      </c>
      <c r="I305" s="43">
        <v>125</v>
      </c>
      <c r="J305" s="57" t="s">
        <v>758</v>
      </c>
      <c r="K305" s="57" t="s">
        <v>759</v>
      </c>
      <c r="L305" s="58">
        <v>45966.137326388904</v>
      </c>
      <c r="M305" s="43">
        <v>0</v>
      </c>
      <c r="N305" s="43">
        <v>0</v>
      </c>
      <c r="O305" s="43">
        <v>0</v>
      </c>
      <c r="S305" s="43" t="b">
        <v>0</v>
      </c>
      <c r="T305" s="43">
        <v>9.9999997764825804E-3</v>
      </c>
      <c r="U305" s="55">
        <v>2.7000000476837198</v>
      </c>
      <c r="V305" s="43">
        <v>9.9999997764825804E-3</v>
      </c>
      <c r="W305" s="43">
        <v>0</v>
      </c>
      <c r="X305" s="43">
        <v>1000</v>
      </c>
      <c r="Z305" s="43">
        <v>10</v>
      </c>
      <c r="AB305" s="55">
        <v>250</v>
      </c>
      <c r="AD305" s="43">
        <v>10</v>
      </c>
      <c r="AF305" s="43">
        <v>2000</v>
      </c>
      <c r="AG305" s="43">
        <v>2</v>
      </c>
      <c r="AH305" s="43">
        <v>2.71000003814697</v>
      </c>
      <c r="AI305" s="43">
        <v>461</v>
      </c>
      <c r="AJ305" s="43">
        <v>0</v>
      </c>
      <c r="AK305" s="43">
        <v>316</v>
      </c>
      <c r="AM305" s="43" t="s">
        <v>2</v>
      </c>
      <c r="AO305" s="43">
        <v>250</v>
      </c>
      <c r="AW305" s="43" t="b">
        <v>0</v>
      </c>
      <c r="BF305" s="226">
        <v>1</v>
      </c>
      <c r="BG305" s="226">
        <v>0.55000000000000004</v>
      </c>
      <c r="BH305" s="226">
        <v>1</v>
      </c>
      <c r="BI305" s="226">
        <v>0.55000000000000004</v>
      </c>
      <c r="BJ305" s="226">
        <v>0</v>
      </c>
      <c r="BK305" s="43">
        <v>0</v>
      </c>
      <c r="BM305" s="36" t="s">
        <v>1</v>
      </c>
      <c r="BN305" s="61">
        <v>32</v>
      </c>
      <c r="BO305" s="61" t="s">
        <v>886</v>
      </c>
      <c r="BP305" s="61">
        <v>250</v>
      </c>
      <c r="CF305" s="47" t="s">
        <v>12</v>
      </c>
      <c r="CR305" s="43">
        <v>0</v>
      </c>
      <c r="CS305" s="70">
        <v>0</v>
      </c>
      <c r="CT305" s="70">
        <v>0</v>
      </c>
      <c r="CU305" s="43">
        <v>1</v>
      </c>
      <c r="CV305" s="70">
        <v>0</v>
      </c>
      <c r="CW305" s="70">
        <v>0</v>
      </c>
      <c r="CX305" s="70">
        <v>0</v>
      </c>
      <c r="CY305" s="70">
        <v>0</v>
      </c>
      <c r="CZ305" s="70">
        <v>0</v>
      </c>
      <c r="DA305" s="70">
        <v>0</v>
      </c>
      <c r="DB305" s="70">
        <v>0</v>
      </c>
      <c r="DD305" s="43">
        <v>2</v>
      </c>
    </row>
    <row r="306" spans="1:108" s="43" customFormat="1" ht="15.75" thickBot="1" x14ac:dyDescent="0.3">
      <c r="A306" s="43">
        <v>528331</v>
      </c>
      <c r="B306" s="43" t="s">
        <v>6</v>
      </c>
      <c r="C306" s="225" t="s">
        <v>739</v>
      </c>
      <c r="D306" s="43">
        <v>32</v>
      </c>
      <c r="E306" s="43">
        <v>0</v>
      </c>
      <c r="F306" s="43">
        <v>32</v>
      </c>
      <c r="G306" s="43">
        <v>432</v>
      </c>
      <c r="H306" s="43">
        <v>0</v>
      </c>
      <c r="I306" s="43">
        <v>125</v>
      </c>
      <c r="J306" s="57" t="s">
        <v>760</v>
      </c>
      <c r="K306" s="57" t="s">
        <v>761</v>
      </c>
      <c r="L306" s="58">
        <v>45966.107337963003</v>
      </c>
      <c r="M306" s="43">
        <v>0</v>
      </c>
      <c r="N306" s="43">
        <v>0</v>
      </c>
      <c r="O306" s="43">
        <v>0</v>
      </c>
      <c r="S306" s="43" t="b">
        <v>0</v>
      </c>
      <c r="T306" s="43">
        <v>9.9999997764825804E-3</v>
      </c>
      <c r="U306" s="55">
        <v>2.7000000476837198</v>
      </c>
      <c r="V306" s="43">
        <v>9.9999997764825804E-3</v>
      </c>
      <c r="W306" s="43">
        <v>0</v>
      </c>
      <c r="X306" s="43">
        <v>1000</v>
      </c>
      <c r="Z306" s="43">
        <v>10</v>
      </c>
      <c r="AB306" s="55">
        <v>250</v>
      </c>
      <c r="AD306" s="43">
        <v>10</v>
      </c>
      <c r="AF306" s="43">
        <v>2000</v>
      </c>
      <c r="AG306" s="43">
        <v>2</v>
      </c>
      <c r="AH306" s="43">
        <v>2.7200000286102299</v>
      </c>
      <c r="AI306" s="43">
        <v>457</v>
      </c>
      <c r="AJ306" s="43">
        <v>0</v>
      </c>
      <c r="AK306" s="43">
        <v>315</v>
      </c>
      <c r="AM306" s="43" t="s">
        <v>2</v>
      </c>
      <c r="AO306" s="43">
        <v>250</v>
      </c>
      <c r="AW306" s="43" t="b">
        <v>0</v>
      </c>
      <c r="BF306" s="226">
        <v>1</v>
      </c>
      <c r="BG306" s="226">
        <v>0.55000000000000004</v>
      </c>
      <c r="BH306" s="226">
        <v>1</v>
      </c>
      <c r="BI306" s="226">
        <v>0.55000000000000004</v>
      </c>
      <c r="BJ306" s="226">
        <v>0</v>
      </c>
      <c r="BK306" s="43">
        <v>0</v>
      </c>
      <c r="BM306" s="36" t="s">
        <v>1</v>
      </c>
      <c r="BN306" s="61">
        <v>32</v>
      </c>
      <c r="BO306" s="61" t="s">
        <v>886</v>
      </c>
      <c r="BP306" s="61">
        <v>250</v>
      </c>
      <c r="CF306" s="47" t="s">
        <v>12</v>
      </c>
      <c r="CR306" s="43">
        <v>0</v>
      </c>
      <c r="CS306" s="70">
        <v>0</v>
      </c>
      <c r="CT306" s="70">
        <v>0</v>
      </c>
      <c r="CU306" s="43">
        <v>1</v>
      </c>
      <c r="CV306" s="70">
        <v>0</v>
      </c>
      <c r="CW306" s="70">
        <v>0</v>
      </c>
      <c r="CX306" s="70">
        <v>0</v>
      </c>
      <c r="CY306" s="70">
        <v>0</v>
      </c>
      <c r="CZ306" s="70">
        <v>0</v>
      </c>
      <c r="DA306" s="70">
        <v>0</v>
      </c>
      <c r="DB306" s="70">
        <v>0</v>
      </c>
      <c r="DD306" s="43">
        <v>2</v>
      </c>
    </row>
    <row r="307" spans="1:108" s="43" customFormat="1" ht="15.75" thickBot="1" x14ac:dyDescent="0.3">
      <c r="A307" s="43">
        <v>528332</v>
      </c>
      <c r="B307" s="43" t="s">
        <v>6</v>
      </c>
      <c r="C307" s="225" t="s">
        <v>739</v>
      </c>
      <c r="D307" s="43">
        <v>32</v>
      </c>
      <c r="E307" s="43">
        <v>0</v>
      </c>
      <c r="F307" s="43">
        <v>32</v>
      </c>
      <c r="G307" s="43">
        <v>433</v>
      </c>
      <c r="H307" s="43">
        <v>0</v>
      </c>
      <c r="I307" s="43">
        <v>125</v>
      </c>
      <c r="J307" s="57" t="s">
        <v>762</v>
      </c>
      <c r="K307" s="57" t="s">
        <v>763</v>
      </c>
      <c r="L307" s="58">
        <v>45966.107418981497</v>
      </c>
      <c r="M307" s="43">
        <v>0</v>
      </c>
      <c r="N307" s="43">
        <v>0</v>
      </c>
      <c r="O307" s="43">
        <v>0</v>
      </c>
      <c r="S307" s="43" t="b">
        <v>0</v>
      </c>
      <c r="T307" s="43">
        <v>9.9999997764825804E-3</v>
      </c>
      <c r="U307" s="55">
        <v>2.7000000476837198</v>
      </c>
      <c r="V307" s="43">
        <v>9.9999997764825804E-3</v>
      </c>
      <c r="W307" s="43">
        <v>0</v>
      </c>
      <c r="X307" s="43">
        <v>1000</v>
      </c>
      <c r="Z307" s="43">
        <v>10</v>
      </c>
      <c r="AB307" s="55">
        <v>250</v>
      </c>
      <c r="AD307" s="43">
        <v>10</v>
      </c>
      <c r="AF307" s="43">
        <v>2000</v>
      </c>
      <c r="AG307" s="43">
        <v>2</v>
      </c>
      <c r="AH307" s="43">
        <v>2.7200000286102299</v>
      </c>
      <c r="AI307" s="43">
        <v>457</v>
      </c>
      <c r="AJ307" s="43">
        <v>0</v>
      </c>
      <c r="AK307" s="43">
        <v>313</v>
      </c>
      <c r="AM307" s="43" t="s">
        <v>2</v>
      </c>
      <c r="AO307" s="43">
        <v>250</v>
      </c>
      <c r="AW307" s="43" t="b">
        <v>0</v>
      </c>
      <c r="BF307" s="226">
        <v>1</v>
      </c>
      <c r="BG307" s="226">
        <v>0.55000000000000004</v>
      </c>
      <c r="BH307" s="226">
        <v>1</v>
      </c>
      <c r="BI307" s="226">
        <v>0.55000000000000004</v>
      </c>
      <c r="BJ307" s="226">
        <v>0</v>
      </c>
      <c r="BK307" s="43">
        <v>0</v>
      </c>
      <c r="BM307" s="36" t="s">
        <v>1</v>
      </c>
      <c r="BN307" s="61">
        <v>32</v>
      </c>
      <c r="BO307" s="61" t="s">
        <v>886</v>
      </c>
      <c r="BP307" s="61">
        <v>250</v>
      </c>
      <c r="CF307" s="47" t="s">
        <v>12</v>
      </c>
      <c r="CR307" s="43">
        <v>0</v>
      </c>
      <c r="CS307" s="70">
        <v>0</v>
      </c>
      <c r="CT307" s="70">
        <v>0</v>
      </c>
      <c r="CU307" s="43">
        <v>1</v>
      </c>
      <c r="CV307" s="70">
        <v>0</v>
      </c>
      <c r="CW307" s="70">
        <v>0</v>
      </c>
      <c r="CX307" s="70">
        <v>0</v>
      </c>
      <c r="CY307" s="70">
        <v>0</v>
      </c>
      <c r="CZ307" s="70">
        <v>0</v>
      </c>
      <c r="DA307" s="70">
        <v>0</v>
      </c>
      <c r="DB307" s="70">
        <v>0</v>
      </c>
      <c r="DD307" s="43">
        <v>2</v>
      </c>
    </row>
    <row r="308" spans="1:108" s="43" customFormat="1" ht="15.75" thickBot="1" x14ac:dyDescent="0.3">
      <c r="A308" s="43">
        <v>528297</v>
      </c>
      <c r="B308" s="43" t="s">
        <v>6</v>
      </c>
      <c r="C308" s="225" t="s">
        <v>739</v>
      </c>
      <c r="D308" s="43">
        <v>32</v>
      </c>
      <c r="E308" s="43">
        <v>0</v>
      </c>
      <c r="F308" s="43">
        <v>32</v>
      </c>
      <c r="G308" s="43">
        <v>398</v>
      </c>
      <c r="H308" s="43">
        <v>0</v>
      </c>
      <c r="I308" s="43">
        <v>125</v>
      </c>
      <c r="J308" s="57" t="s">
        <v>764</v>
      </c>
      <c r="K308" s="57" t="s">
        <v>765</v>
      </c>
      <c r="L308" s="58">
        <v>45966.102893518502</v>
      </c>
      <c r="M308" s="43">
        <v>0</v>
      </c>
      <c r="N308" s="43">
        <v>0</v>
      </c>
      <c r="O308" s="43">
        <v>0</v>
      </c>
      <c r="S308" s="43" t="b">
        <v>0</v>
      </c>
      <c r="T308" s="43">
        <v>9.9999997764825804E-3</v>
      </c>
      <c r="U308" s="55">
        <v>2.7000000476837198</v>
      </c>
      <c r="V308" s="43">
        <v>9.9999997764825804E-3</v>
      </c>
      <c r="W308" s="43">
        <v>0</v>
      </c>
      <c r="X308" s="43">
        <v>1000</v>
      </c>
      <c r="Z308" s="43">
        <v>10</v>
      </c>
      <c r="AB308" s="55">
        <v>250</v>
      </c>
      <c r="AD308" s="43">
        <v>10</v>
      </c>
      <c r="AF308" s="43">
        <v>2000</v>
      </c>
      <c r="AG308" s="43">
        <v>2</v>
      </c>
      <c r="AH308" s="43">
        <v>2.7200000286102299</v>
      </c>
      <c r="AI308" s="43">
        <v>461</v>
      </c>
      <c r="AJ308" s="43">
        <v>0</v>
      </c>
      <c r="AK308" s="43">
        <v>318</v>
      </c>
      <c r="AM308" s="43" t="s">
        <v>2</v>
      </c>
      <c r="AO308" s="43">
        <v>250</v>
      </c>
      <c r="AW308" s="43" t="b">
        <v>0</v>
      </c>
      <c r="BF308" s="226">
        <v>1</v>
      </c>
      <c r="BG308" s="226">
        <v>0.55000000000000004</v>
      </c>
      <c r="BH308" s="226">
        <v>1</v>
      </c>
      <c r="BI308" s="226">
        <v>0.55000000000000004</v>
      </c>
      <c r="BJ308" s="226">
        <v>0</v>
      </c>
      <c r="BK308" s="43">
        <v>0</v>
      </c>
      <c r="BM308" s="36" t="s">
        <v>1</v>
      </c>
      <c r="BN308" s="61">
        <v>32</v>
      </c>
      <c r="BO308" s="61" t="s">
        <v>886</v>
      </c>
      <c r="BP308" s="61">
        <v>250</v>
      </c>
      <c r="CF308" s="47" t="s">
        <v>12</v>
      </c>
      <c r="CR308" s="43">
        <v>0</v>
      </c>
      <c r="CS308" s="70">
        <v>0</v>
      </c>
      <c r="CT308" s="70">
        <v>0</v>
      </c>
      <c r="CU308" s="43">
        <v>1</v>
      </c>
      <c r="CV308" s="70">
        <v>0</v>
      </c>
      <c r="CW308" s="70">
        <v>0</v>
      </c>
      <c r="CX308" s="70">
        <v>0</v>
      </c>
      <c r="CY308" s="70">
        <v>0</v>
      </c>
      <c r="CZ308" s="70">
        <v>0</v>
      </c>
      <c r="DA308" s="70">
        <v>0</v>
      </c>
      <c r="DB308" s="70">
        <v>0</v>
      </c>
      <c r="DD308" s="43">
        <v>2</v>
      </c>
    </row>
    <row r="309" spans="1:108" s="43" customFormat="1" ht="15.75" thickBot="1" x14ac:dyDescent="0.3">
      <c r="A309" s="43">
        <v>528298</v>
      </c>
      <c r="B309" s="43" t="s">
        <v>6</v>
      </c>
      <c r="C309" s="225" t="s">
        <v>739</v>
      </c>
      <c r="D309" s="43">
        <v>32</v>
      </c>
      <c r="E309" s="43">
        <v>0</v>
      </c>
      <c r="F309" s="43">
        <v>32</v>
      </c>
      <c r="G309" s="43">
        <v>399</v>
      </c>
      <c r="H309" s="43">
        <v>0</v>
      </c>
      <c r="I309" s="43">
        <v>125</v>
      </c>
      <c r="J309" s="57" t="s">
        <v>766</v>
      </c>
      <c r="K309" s="57" t="s">
        <v>767</v>
      </c>
      <c r="L309" s="58">
        <v>45966.102962962999</v>
      </c>
      <c r="M309" s="43">
        <v>0</v>
      </c>
      <c r="N309" s="43">
        <v>0</v>
      </c>
      <c r="O309" s="43">
        <v>0</v>
      </c>
      <c r="S309" s="43" t="b">
        <v>0</v>
      </c>
      <c r="T309" s="43">
        <v>9.9999997764825804E-3</v>
      </c>
      <c r="U309" s="55">
        <v>2.7000000476837198</v>
      </c>
      <c r="V309" s="43">
        <v>9.9999997764825804E-3</v>
      </c>
      <c r="W309" s="43">
        <v>0</v>
      </c>
      <c r="X309" s="43">
        <v>1000</v>
      </c>
      <c r="Z309" s="43">
        <v>10</v>
      </c>
      <c r="AB309" s="55">
        <v>250</v>
      </c>
      <c r="AD309" s="43">
        <v>10</v>
      </c>
      <c r="AF309" s="43">
        <v>2000</v>
      </c>
      <c r="AG309" s="43">
        <v>2</v>
      </c>
      <c r="AH309" s="43">
        <v>2.7200000286102299</v>
      </c>
      <c r="AI309" s="43">
        <v>470</v>
      </c>
      <c r="AJ309" s="43">
        <v>0</v>
      </c>
      <c r="AK309" s="43">
        <v>324</v>
      </c>
      <c r="AM309" s="43" t="s">
        <v>2</v>
      </c>
      <c r="AO309" s="43">
        <v>250</v>
      </c>
      <c r="AW309" s="43" t="b">
        <v>0</v>
      </c>
      <c r="BF309" s="226">
        <v>1</v>
      </c>
      <c r="BG309" s="226">
        <v>0.55000000000000004</v>
      </c>
      <c r="BH309" s="226">
        <v>1</v>
      </c>
      <c r="BI309" s="226">
        <v>0.55000000000000004</v>
      </c>
      <c r="BJ309" s="226">
        <v>0</v>
      </c>
      <c r="BK309" s="43">
        <v>0</v>
      </c>
      <c r="BM309" s="36" t="s">
        <v>1</v>
      </c>
      <c r="BN309" s="61">
        <v>32</v>
      </c>
      <c r="BO309" s="61" t="s">
        <v>886</v>
      </c>
      <c r="BP309" s="61">
        <v>250</v>
      </c>
      <c r="CF309" s="47" t="s">
        <v>12</v>
      </c>
      <c r="CR309" s="43">
        <v>0</v>
      </c>
      <c r="CS309" s="70">
        <v>0</v>
      </c>
      <c r="CT309" s="70">
        <v>0</v>
      </c>
      <c r="CU309" s="43">
        <v>1</v>
      </c>
      <c r="CV309" s="70">
        <v>0</v>
      </c>
      <c r="CW309" s="70">
        <v>0</v>
      </c>
      <c r="CX309" s="70">
        <v>0</v>
      </c>
      <c r="CY309" s="70">
        <v>0</v>
      </c>
      <c r="CZ309" s="70">
        <v>0</v>
      </c>
      <c r="DA309" s="70">
        <v>0</v>
      </c>
      <c r="DB309" s="70">
        <v>0</v>
      </c>
      <c r="DD309" s="43">
        <v>2</v>
      </c>
    </row>
    <row r="310" spans="1:108" s="43" customFormat="1" ht="15.75" thickBot="1" x14ac:dyDescent="0.3">
      <c r="A310" s="43">
        <v>528299</v>
      </c>
      <c r="B310" s="43" t="s">
        <v>6</v>
      </c>
      <c r="C310" s="225" t="s">
        <v>739</v>
      </c>
      <c r="D310" s="43">
        <v>32</v>
      </c>
      <c r="E310" s="43">
        <v>0</v>
      </c>
      <c r="F310" s="43">
        <v>32</v>
      </c>
      <c r="G310" s="43">
        <v>400</v>
      </c>
      <c r="H310" s="43">
        <v>0</v>
      </c>
      <c r="I310" s="43">
        <v>125</v>
      </c>
      <c r="J310" s="57" t="s">
        <v>768</v>
      </c>
      <c r="K310" s="57" t="s">
        <v>769</v>
      </c>
      <c r="L310" s="58">
        <v>45966.1030439815</v>
      </c>
      <c r="M310" s="43">
        <v>0</v>
      </c>
      <c r="N310" s="43">
        <v>0</v>
      </c>
      <c r="O310" s="43">
        <v>0</v>
      </c>
      <c r="S310" s="43" t="b">
        <v>0</v>
      </c>
      <c r="T310" s="43">
        <v>9.9999997764825804E-3</v>
      </c>
      <c r="U310" s="55">
        <v>2.7000000476837198</v>
      </c>
      <c r="V310" s="43">
        <v>9.9999997764825804E-3</v>
      </c>
      <c r="W310" s="43">
        <v>0</v>
      </c>
      <c r="X310" s="43">
        <v>1000</v>
      </c>
      <c r="Z310" s="43">
        <v>10</v>
      </c>
      <c r="AB310" s="55">
        <v>250</v>
      </c>
      <c r="AD310" s="43">
        <v>10</v>
      </c>
      <c r="AF310" s="43">
        <v>2000</v>
      </c>
      <c r="AG310" s="43">
        <v>2</v>
      </c>
      <c r="AH310" s="43">
        <v>2.7200000286102299</v>
      </c>
      <c r="AI310" s="43">
        <v>457</v>
      </c>
      <c r="AJ310" s="43">
        <v>0</v>
      </c>
      <c r="AK310" s="43">
        <v>313</v>
      </c>
      <c r="AM310" s="43" t="s">
        <v>2</v>
      </c>
      <c r="AO310" s="43">
        <v>250</v>
      </c>
      <c r="AW310" s="43" t="b">
        <v>0</v>
      </c>
      <c r="BF310" s="226">
        <v>1</v>
      </c>
      <c r="BG310" s="226">
        <v>0.55000000000000004</v>
      </c>
      <c r="BH310" s="226">
        <v>1</v>
      </c>
      <c r="BI310" s="226">
        <v>0.55000000000000004</v>
      </c>
      <c r="BJ310" s="226">
        <v>0</v>
      </c>
      <c r="BK310" s="43">
        <v>0</v>
      </c>
      <c r="BM310" s="36" t="s">
        <v>1</v>
      </c>
      <c r="BN310" s="61">
        <v>32</v>
      </c>
      <c r="BO310" s="61" t="s">
        <v>886</v>
      </c>
      <c r="BP310" s="61">
        <v>250</v>
      </c>
      <c r="CF310" s="47" t="s">
        <v>12</v>
      </c>
      <c r="CR310" s="43">
        <v>0</v>
      </c>
      <c r="CS310" s="70">
        <v>0</v>
      </c>
      <c r="CT310" s="70">
        <v>0</v>
      </c>
      <c r="CU310" s="43">
        <v>1</v>
      </c>
      <c r="CV310" s="70">
        <v>0</v>
      </c>
      <c r="CW310" s="70">
        <v>0</v>
      </c>
      <c r="CX310" s="70">
        <v>0</v>
      </c>
      <c r="CY310" s="70">
        <v>0</v>
      </c>
      <c r="CZ310" s="70">
        <v>0</v>
      </c>
      <c r="DA310" s="70">
        <v>0</v>
      </c>
      <c r="DB310" s="70">
        <v>0</v>
      </c>
      <c r="DD310" s="43">
        <v>2</v>
      </c>
    </row>
    <row r="311" spans="1:108" s="43" customFormat="1" ht="15.75" thickBot="1" x14ac:dyDescent="0.3">
      <c r="A311" s="43">
        <v>528300</v>
      </c>
      <c r="B311" s="43" t="s">
        <v>6</v>
      </c>
      <c r="C311" s="225" t="s">
        <v>739</v>
      </c>
      <c r="D311" s="43">
        <v>32</v>
      </c>
      <c r="E311" s="43">
        <v>0</v>
      </c>
      <c r="F311" s="43">
        <v>32</v>
      </c>
      <c r="G311" s="43">
        <v>401</v>
      </c>
      <c r="H311" s="43">
        <v>0</v>
      </c>
      <c r="I311" s="43">
        <v>125</v>
      </c>
      <c r="J311" s="57" t="s">
        <v>770</v>
      </c>
      <c r="K311" s="57" t="s">
        <v>771</v>
      </c>
      <c r="L311" s="58">
        <v>45966.103113425903</v>
      </c>
      <c r="M311" s="43">
        <v>0</v>
      </c>
      <c r="N311" s="43">
        <v>0</v>
      </c>
      <c r="O311" s="43">
        <v>0</v>
      </c>
      <c r="S311" s="43" t="b">
        <v>0</v>
      </c>
      <c r="T311" s="43">
        <v>9.9999997764825804E-3</v>
      </c>
      <c r="U311" s="55">
        <v>2.7000000476837198</v>
      </c>
      <c r="V311" s="43">
        <v>9.9999997764825804E-3</v>
      </c>
      <c r="W311" s="43">
        <v>0</v>
      </c>
      <c r="X311" s="43">
        <v>1000</v>
      </c>
      <c r="Z311" s="43">
        <v>10</v>
      </c>
      <c r="AB311" s="55">
        <v>250</v>
      </c>
      <c r="AD311" s="43">
        <v>10</v>
      </c>
      <c r="AF311" s="43">
        <v>2000</v>
      </c>
      <c r="AG311" s="43">
        <v>2</v>
      </c>
      <c r="AH311" s="43">
        <v>2.71000003814697</v>
      </c>
      <c r="AI311" s="43">
        <v>453</v>
      </c>
      <c r="AJ311" s="43">
        <v>0</v>
      </c>
      <c r="AK311" s="43">
        <v>311</v>
      </c>
      <c r="AM311" s="43" t="s">
        <v>2</v>
      </c>
      <c r="AO311" s="43">
        <v>250</v>
      </c>
      <c r="AW311" s="43" t="b">
        <v>0</v>
      </c>
      <c r="BF311" s="226">
        <v>1</v>
      </c>
      <c r="BG311" s="226">
        <v>0.55000000000000004</v>
      </c>
      <c r="BH311" s="226">
        <v>1</v>
      </c>
      <c r="BI311" s="226">
        <v>0.55000000000000004</v>
      </c>
      <c r="BJ311" s="226">
        <v>0</v>
      </c>
      <c r="BK311" s="43">
        <v>0</v>
      </c>
      <c r="BM311" s="36" t="s">
        <v>1</v>
      </c>
      <c r="BN311" s="61">
        <v>32</v>
      </c>
      <c r="BO311" s="61" t="s">
        <v>886</v>
      </c>
      <c r="BP311" s="61">
        <v>250</v>
      </c>
      <c r="CF311" s="47" t="s">
        <v>12</v>
      </c>
      <c r="CR311" s="43">
        <v>0</v>
      </c>
      <c r="CS311" s="70">
        <v>0</v>
      </c>
      <c r="CT311" s="70">
        <v>0</v>
      </c>
      <c r="CU311" s="43">
        <v>1</v>
      </c>
      <c r="CV311" s="70">
        <v>0</v>
      </c>
      <c r="CW311" s="70">
        <v>0</v>
      </c>
      <c r="CX311" s="70">
        <v>0</v>
      </c>
      <c r="CY311" s="70">
        <v>0</v>
      </c>
      <c r="CZ311" s="70">
        <v>0</v>
      </c>
      <c r="DA311" s="70">
        <v>0</v>
      </c>
      <c r="DB311" s="70">
        <v>0</v>
      </c>
      <c r="DD311" s="43">
        <v>2</v>
      </c>
    </row>
    <row r="312" spans="1:108" s="43" customFormat="1" ht="15.75" thickBot="1" x14ac:dyDescent="0.3">
      <c r="A312" s="43">
        <v>528301</v>
      </c>
      <c r="B312" s="43" t="s">
        <v>6</v>
      </c>
      <c r="C312" s="225" t="s">
        <v>739</v>
      </c>
      <c r="D312" s="43">
        <v>32</v>
      </c>
      <c r="E312" s="43">
        <v>0</v>
      </c>
      <c r="F312" s="43">
        <v>32</v>
      </c>
      <c r="G312" s="43">
        <v>402</v>
      </c>
      <c r="H312" s="43">
        <v>0</v>
      </c>
      <c r="I312" s="43">
        <v>125</v>
      </c>
      <c r="J312" s="57" t="s">
        <v>772</v>
      </c>
      <c r="K312" s="57" t="s">
        <v>773</v>
      </c>
      <c r="L312" s="58">
        <v>45966.1031828704</v>
      </c>
      <c r="M312" s="43">
        <v>0</v>
      </c>
      <c r="N312" s="43">
        <v>0</v>
      </c>
      <c r="O312" s="43">
        <v>0</v>
      </c>
      <c r="S312" s="43" t="b">
        <v>0</v>
      </c>
      <c r="T312" s="43">
        <v>9.9999997764825804E-3</v>
      </c>
      <c r="U312" s="55">
        <v>2.7000000476837198</v>
      </c>
      <c r="V312" s="43">
        <v>9.9999997764825804E-3</v>
      </c>
      <c r="W312" s="43">
        <v>0</v>
      </c>
      <c r="X312" s="43">
        <v>1000</v>
      </c>
      <c r="Z312" s="43">
        <v>10</v>
      </c>
      <c r="AB312" s="55">
        <v>250</v>
      </c>
      <c r="AD312" s="43">
        <v>10</v>
      </c>
      <c r="AF312" s="43">
        <v>2000</v>
      </c>
      <c r="AG312" s="43">
        <v>2</v>
      </c>
      <c r="AH312" s="43">
        <v>2.7200000286102299</v>
      </c>
      <c r="AI312" s="43">
        <v>457</v>
      </c>
      <c r="AJ312" s="43">
        <v>0</v>
      </c>
      <c r="AK312" s="43">
        <v>313</v>
      </c>
      <c r="AM312" s="43" t="s">
        <v>2</v>
      </c>
      <c r="AO312" s="43">
        <v>250</v>
      </c>
      <c r="AW312" s="43" t="b">
        <v>0</v>
      </c>
      <c r="BF312" s="226">
        <v>1</v>
      </c>
      <c r="BG312" s="226">
        <v>0.55000000000000004</v>
      </c>
      <c r="BH312" s="226">
        <v>1</v>
      </c>
      <c r="BI312" s="226">
        <v>0.55000000000000004</v>
      </c>
      <c r="BJ312" s="226">
        <v>0</v>
      </c>
      <c r="BK312" s="43">
        <v>0</v>
      </c>
      <c r="BM312" s="36" t="s">
        <v>1</v>
      </c>
      <c r="BN312" s="61">
        <v>32</v>
      </c>
      <c r="BO312" s="61" t="s">
        <v>886</v>
      </c>
      <c r="BP312" s="61">
        <v>250</v>
      </c>
      <c r="CF312" s="47" t="s">
        <v>12</v>
      </c>
      <c r="CR312" s="43">
        <v>0</v>
      </c>
      <c r="CS312" s="70">
        <v>0</v>
      </c>
      <c r="CT312" s="70">
        <v>0</v>
      </c>
      <c r="CU312" s="43">
        <v>1</v>
      </c>
      <c r="CV312" s="70">
        <v>0</v>
      </c>
      <c r="CW312" s="70">
        <v>0</v>
      </c>
      <c r="CX312" s="70">
        <v>0</v>
      </c>
      <c r="CY312" s="70">
        <v>0</v>
      </c>
      <c r="CZ312" s="70">
        <v>0</v>
      </c>
      <c r="DA312" s="70">
        <v>0</v>
      </c>
      <c r="DB312" s="70">
        <v>0</v>
      </c>
      <c r="DD312" s="43">
        <v>2</v>
      </c>
    </row>
    <row r="313" spans="1:108" s="43" customFormat="1" ht="15.75" thickBot="1" x14ac:dyDescent="0.3">
      <c r="A313" s="43">
        <v>528302</v>
      </c>
      <c r="B313" s="43" t="s">
        <v>6</v>
      </c>
      <c r="C313" s="225" t="s">
        <v>739</v>
      </c>
      <c r="D313" s="43">
        <v>32</v>
      </c>
      <c r="E313" s="43">
        <v>0</v>
      </c>
      <c r="F313" s="43">
        <v>32</v>
      </c>
      <c r="G313" s="43">
        <v>403</v>
      </c>
      <c r="H313" s="43">
        <v>0</v>
      </c>
      <c r="I313" s="43">
        <v>125</v>
      </c>
      <c r="J313" s="57" t="s">
        <v>774</v>
      </c>
      <c r="K313" s="57" t="s">
        <v>775</v>
      </c>
      <c r="L313" s="58">
        <v>45966.103252314802</v>
      </c>
      <c r="M313" s="43">
        <v>0</v>
      </c>
      <c r="N313" s="43">
        <v>0</v>
      </c>
      <c r="O313" s="43">
        <v>0</v>
      </c>
      <c r="S313" s="43" t="b">
        <v>0</v>
      </c>
      <c r="T313" s="43">
        <v>9.9999997764825804E-3</v>
      </c>
      <c r="U313" s="55">
        <v>2.7000000476837198</v>
      </c>
      <c r="V313" s="43">
        <v>9.9999997764825804E-3</v>
      </c>
      <c r="W313" s="43">
        <v>0</v>
      </c>
      <c r="X313" s="43">
        <v>1000</v>
      </c>
      <c r="Z313" s="43">
        <v>10</v>
      </c>
      <c r="AB313" s="55">
        <v>250</v>
      </c>
      <c r="AD313" s="43">
        <v>10</v>
      </c>
      <c r="AF313" s="43">
        <v>2000</v>
      </c>
      <c r="AG313" s="43">
        <v>2</v>
      </c>
      <c r="AH313" s="43">
        <v>2.7200000286102299</v>
      </c>
      <c r="AI313" s="43">
        <v>457</v>
      </c>
      <c r="AJ313" s="43">
        <v>0</v>
      </c>
      <c r="AK313" s="43">
        <v>313</v>
      </c>
      <c r="AM313" s="43" t="s">
        <v>2</v>
      </c>
      <c r="AO313" s="43">
        <v>250</v>
      </c>
      <c r="AW313" s="43" t="b">
        <v>0</v>
      </c>
      <c r="BF313" s="226">
        <v>1</v>
      </c>
      <c r="BG313" s="226">
        <v>0.55000000000000004</v>
      </c>
      <c r="BH313" s="226">
        <v>1</v>
      </c>
      <c r="BI313" s="226">
        <v>0.55000000000000004</v>
      </c>
      <c r="BJ313" s="226">
        <v>0</v>
      </c>
      <c r="BK313" s="43">
        <v>0</v>
      </c>
      <c r="BM313" s="36" t="s">
        <v>1</v>
      </c>
      <c r="BN313" s="61">
        <v>32</v>
      </c>
      <c r="BO313" s="61" t="s">
        <v>886</v>
      </c>
      <c r="BP313" s="61">
        <v>250</v>
      </c>
      <c r="CF313" s="47" t="s">
        <v>12</v>
      </c>
      <c r="CR313" s="43">
        <v>0</v>
      </c>
      <c r="CS313" s="70">
        <v>0</v>
      </c>
      <c r="CT313" s="70">
        <v>0</v>
      </c>
      <c r="CU313" s="43">
        <v>1</v>
      </c>
      <c r="CV313" s="70">
        <v>0</v>
      </c>
      <c r="CW313" s="70">
        <v>0</v>
      </c>
      <c r="CX313" s="70">
        <v>0</v>
      </c>
      <c r="CY313" s="70">
        <v>0</v>
      </c>
      <c r="CZ313" s="70">
        <v>0</v>
      </c>
      <c r="DA313" s="70">
        <v>0</v>
      </c>
      <c r="DB313" s="70">
        <v>0</v>
      </c>
      <c r="DD313" s="43">
        <v>2</v>
      </c>
    </row>
    <row r="314" spans="1:108" s="43" customFormat="1" ht="15.75" thickBot="1" x14ac:dyDescent="0.3">
      <c r="A314" s="43">
        <v>528269</v>
      </c>
      <c r="B314" s="43" t="s">
        <v>6</v>
      </c>
      <c r="C314" s="225" t="s">
        <v>739</v>
      </c>
      <c r="D314" s="43">
        <v>32</v>
      </c>
      <c r="E314" s="43">
        <v>0</v>
      </c>
      <c r="F314" s="43">
        <v>32</v>
      </c>
      <c r="G314" s="43">
        <v>370</v>
      </c>
      <c r="H314" s="43">
        <v>0</v>
      </c>
      <c r="I314" s="43">
        <v>125</v>
      </c>
      <c r="J314" s="57" t="s">
        <v>776</v>
      </c>
      <c r="K314" s="57" t="s">
        <v>777</v>
      </c>
      <c r="L314" s="58">
        <v>45966.090069444399</v>
      </c>
      <c r="M314" s="43">
        <v>0</v>
      </c>
      <c r="N314" s="43">
        <v>0</v>
      </c>
      <c r="O314" s="43">
        <v>0</v>
      </c>
      <c r="S314" s="43" t="b">
        <v>0</v>
      </c>
      <c r="T314" s="43">
        <v>9.9999997764825804E-3</v>
      </c>
      <c r="U314" s="55">
        <v>2.7000000476837198</v>
      </c>
      <c r="V314" s="43">
        <v>9.9999997764825804E-3</v>
      </c>
      <c r="W314" s="43">
        <v>0</v>
      </c>
      <c r="X314" s="43">
        <v>1000</v>
      </c>
      <c r="Z314" s="43">
        <v>10</v>
      </c>
      <c r="AB314" s="55">
        <v>250</v>
      </c>
      <c r="AD314" s="43">
        <v>10</v>
      </c>
      <c r="AF314" s="43">
        <v>2000</v>
      </c>
      <c r="AG314" s="43">
        <v>2</v>
      </c>
      <c r="AH314" s="43">
        <v>2.7200000286102299</v>
      </c>
      <c r="AI314" s="43">
        <v>457</v>
      </c>
      <c r="AJ314" s="43">
        <v>0</v>
      </c>
      <c r="AK314" s="43">
        <v>314</v>
      </c>
      <c r="AM314" s="43" t="s">
        <v>2</v>
      </c>
      <c r="AO314" s="43">
        <v>250</v>
      </c>
      <c r="AW314" s="43" t="b">
        <v>0</v>
      </c>
      <c r="BF314" s="226">
        <v>1</v>
      </c>
      <c r="BG314" s="226">
        <v>0.55000000000000004</v>
      </c>
      <c r="BH314" s="226">
        <v>1</v>
      </c>
      <c r="BI314" s="226">
        <v>0.55000000000000004</v>
      </c>
      <c r="BJ314" s="226">
        <v>0</v>
      </c>
      <c r="BK314" s="43">
        <v>0</v>
      </c>
      <c r="BM314" s="36" t="s">
        <v>1</v>
      </c>
      <c r="BN314" s="61">
        <v>32</v>
      </c>
      <c r="BO314" s="61" t="s">
        <v>886</v>
      </c>
      <c r="BP314" s="61">
        <v>250</v>
      </c>
      <c r="CF314" s="47" t="s">
        <v>12</v>
      </c>
      <c r="CR314" s="43">
        <v>0</v>
      </c>
      <c r="CS314" s="70">
        <v>0</v>
      </c>
      <c r="CT314" s="70">
        <v>0</v>
      </c>
      <c r="CU314" s="43">
        <v>1</v>
      </c>
      <c r="CV314" s="70">
        <v>0</v>
      </c>
      <c r="CW314" s="70">
        <v>0</v>
      </c>
      <c r="CX314" s="70">
        <v>0</v>
      </c>
      <c r="CY314" s="70">
        <v>0</v>
      </c>
      <c r="CZ314" s="70">
        <v>0</v>
      </c>
      <c r="DA314" s="70">
        <v>0</v>
      </c>
      <c r="DB314" s="70">
        <v>0</v>
      </c>
      <c r="DD314" s="43">
        <v>2</v>
      </c>
    </row>
    <row r="315" spans="1:108" s="43" customFormat="1" ht="15.75" thickBot="1" x14ac:dyDescent="0.3">
      <c r="A315" s="43">
        <v>528270</v>
      </c>
      <c r="B315" s="43" t="s">
        <v>6</v>
      </c>
      <c r="C315" s="225" t="s">
        <v>739</v>
      </c>
      <c r="D315" s="43">
        <v>32</v>
      </c>
      <c r="E315" s="43">
        <v>0</v>
      </c>
      <c r="F315" s="43">
        <v>32</v>
      </c>
      <c r="G315" s="43">
        <v>371</v>
      </c>
      <c r="H315" s="43">
        <v>0</v>
      </c>
      <c r="I315" s="43">
        <v>125</v>
      </c>
      <c r="J315" s="57" t="s">
        <v>778</v>
      </c>
      <c r="K315" s="57" t="s">
        <v>779</v>
      </c>
      <c r="L315" s="58">
        <v>45966.090138888903</v>
      </c>
      <c r="M315" s="43">
        <v>0</v>
      </c>
      <c r="N315" s="43">
        <v>0</v>
      </c>
      <c r="O315" s="43">
        <v>0</v>
      </c>
      <c r="S315" s="43" t="b">
        <v>0</v>
      </c>
      <c r="T315" s="43">
        <v>9.9999997764825804E-3</v>
      </c>
      <c r="U315" s="55">
        <v>2.7000000476837198</v>
      </c>
      <c r="V315" s="43">
        <v>9.9999997764825804E-3</v>
      </c>
      <c r="W315" s="43">
        <v>0</v>
      </c>
      <c r="X315" s="43">
        <v>1000</v>
      </c>
      <c r="Z315" s="43">
        <v>10</v>
      </c>
      <c r="AB315" s="55">
        <v>250</v>
      </c>
      <c r="AD315" s="43">
        <v>10</v>
      </c>
      <c r="AF315" s="43">
        <v>2000</v>
      </c>
      <c r="AG315" s="43">
        <v>2</v>
      </c>
      <c r="AH315" s="43">
        <v>2.7200000286102299</v>
      </c>
      <c r="AI315" s="43">
        <v>453</v>
      </c>
      <c r="AJ315" s="43">
        <v>0</v>
      </c>
      <c r="AK315" s="43">
        <v>312</v>
      </c>
      <c r="AM315" s="43" t="s">
        <v>2</v>
      </c>
      <c r="AO315" s="43">
        <v>250</v>
      </c>
      <c r="AW315" s="43" t="b">
        <v>0</v>
      </c>
      <c r="BF315" s="226">
        <v>1</v>
      </c>
      <c r="BG315" s="226">
        <v>0.55000000000000004</v>
      </c>
      <c r="BH315" s="226">
        <v>1</v>
      </c>
      <c r="BI315" s="226">
        <v>0.55000000000000004</v>
      </c>
      <c r="BJ315" s="226">
        <v>0</v>
      </c>
      <c r="BK315" s="43">
        <v>0</v>
      </c>
      <c r="BM315" s="36" t="s">
        <v>1</v>
      </c>
      <c r="BN315" s="61">
        <v>32</v>
      </c>
      <c r="BO315" s="61" t="s">
        <v>886</v>
      </c>
      <c r="BP315" s="61">
        <v>250</v>
      </c>
      <c r="CF315" s="47" t="s">
        <v>12</v>
      </c>
      <c r="CR315" s="43">
        <v>0</v>
      </c>
      <c r="CS315" s="70">
        <v>0</v>
      </c>
      <c r="CT315" s="70">
        <v>0</v>
      </c>
      <c r="CU315" s="43">
        <v>1</v>
      </c>
      <c r="CV315" s="70">
        <v>0</v>
      </c>
      <c r="CW315" s="70">
        <v>0</v>
      </c>
      <c r="CX315" s="70">
        <v>0</v>
      </c>
      <c r="CY315" s="70">
        <v>0</v>
      </c>
      <c r="CZ315" s="70">
        <v>0</v>
      </c>
      <c r="DA315" s="70">
        <v>0</v>
      </c>
      <c r="DB315" s="70">
        <v>0</v>
      </c>
      <c r="DD315" s="43">
        <v>2</v>
      </c>
    </row>
    <row r="316" spans="1:108" s="43" customFormat="1" ht="15.75" thickBot="1" x14ac:dyDescent="0.3">
      <c r="A316" s="43">
        <v>528235</v>
      </c>
      <c r="B316" s="43" t="s">
        <v>6</v>
      </c>
      <c r="C316" s="225" t="s">
        <v>739</v>
      </c>
      <c r="D316" s="43">
        <v>32</v>
      </c>
      <c r="E316" s="43">
        <v>0</v>
      </c>
      <c r="F316" s="43">
        <v>32</v>
      </c>
      <c r="G316" s="43">
        <v>336</v>
      </c>
      <c r="H316" s="43">
        <v>0</v>
      </c>
      <c r="I316" s="43">
        <v>125</v>
      </c>
      <c r="J316" s="57" t="s">
        <v>780</v>
      </c>
      <c r="K316" s="57" t="s">
        <v>781</v>
      </c>
      <c r="L316" s="58">
        <v>45966.084976851896</v>
      </c>
      <c r="M316" s="43">
        <v>0</v>
      </c>
      <c r="N316" s="43">
        <v>0</v>
      </c>
      <c r="O316" s="43">
        <v>0</v>
      </c>
      <c r="S316" s="43" t="b">
        <v>0</v>
      </c>
      <c r="T316" s="43">
        <v>9.9999997764825804E-3</v>
      </c>
      <c r="U316" s="55">
        <v>2.7000000476837198</v>
      </c>
      <c r="V316" s="43">
        <v>9.9999997764825804E-3</v>
      </c>
      <c r="W316" s="43">
        <v>0</v>
      </c>
      <c r="X316" s="43">
        <v>1000</v>
      </c>
      <c r="Z316" s="43">
        <v>10</v>
      </c>
      <c r="AB316" s="55">
        <v>250</v>
      </c>
      <c r="AD316" s="43">
        <v>10</v>
      </c>
      <c r="AF316" s="43">
        <v>2000</v>
      </c>
      <c r="AG316" s="43">
        <v>2</v>
      </c>
      <c r="AH316" s="43">
        <v>2.7200000286102299</v>
      </c>
      <c r="AI316" s="43">
        <v>457</v>
      </c>
      <c r="AJ316" s="43">
        <v>0</v>
      </c>
      <c r="AK316" s="43">
        <v>314</v>
      </c>
      <c r="AM316" s="43" t="s">
        <v>2</v>
      </c>
      <c r="AO316" s="43">
        <v>250</v>
      </c>
      <c r="AW316" s="43" t="b">
        <v>0</v>
      </c>
      <c r="BF316" s="226">
        <v>1</v>
      </c>
      <c r="BG316" s="226">
        <v>0.55000000000000004</v>
      </c>
      <c r="BH316" s="226">
        <v>1</v>
      </c>
      <c r="BI316" s="226">
        <v>0.55000000000000004</v>
      </c>
      <c r="BJ316" s="226">
        <v>0</v>
      </c>
      <c r="BK316" s="43">
        <v>0</v>
      </c>
      <c r="BM316" s="36" t="s">
        <v>1</v>
      </c>
      <c r="BN316" s="61">
        <v>32</v>
      </c>
      <c r="BO316" s="61" t="s">
        <v>886</v>
      </c>
      <c r="BP316" s="61">
        <v>250</v>
      </c>
      <c r="CF316" s="47" t="s">
        <v>12</v>
      </c>
      <c r="CR316" s="43">
        <v>0</v>
      </c>
      <c r="CS316" s="70">
        <v>0</v>
      </c>
      <c r="CT316" s="70">
        <v>0</v>
      </c>
      <c r="CU316" s="43">
        <v>1</v>
      </c>
      <c r="CV316" s="70">
        <v>0</v>
      </c>
      <c r="CW316" s="70">
        <v>0</v>
      </c>
      <c r="CX316" s="70">
        <v>0</v>
      </c>
      <c r="CY316" s="70">
        <v>0</v>
      </c>
      <c r="CZ316" s="70">
        <v>0</v>
      </c>
      <c r="DA316" s="70">
        <v>0</v>
      </c>
      <c r="DB316" s="70">
        <v>0</v>
      </c>
      <c r="DD316" s="43">
        <v>2</v>
      </c>
    </row>
    <row r="317" spans="1:108" s="43" customFormat="1" ht="15.75" thickBot="1" x14ac:dyDescent="0.3">
      <c r="A317" s="43">
        <v>528236</v>
      </c>
      <c r="B317" s="43" t="s">
        <v>6</v>
      </c>
      <c r="C317" s="225" t="s">
        <v>739</v>
      </c>
      <c r="D317" s="43">
        <v>32</v>
      </c>
      <c r="E317" s="43">
        <v>0</v>
      </c>
      <c r="F317" s="43">
        <v>32</v>
      </c>
      <c r="G317" s="43">
        <v>337</v>
      </c>
      <c r="H317" s="43">
        <v>0</v>
      </c>
      <c r="I317" s="43">
        <v>125</v>
      </c>
      <c r="J317" s="57" t="s">
        <v>782</v>
      </c>
      <c r="K317" s="57" t="s">
        <v>783</v>
      </c>
      <c r="L317" s="58">
        <v>45966.085046296299</v>
      </c>
      <c r="M317" s="43">
        <v>0</v>
      </c>
      <c r="N317" s="43">
        <v>0</v>
      </c>
      <c r="O317" s="43">
        <v>0</v>
      </c>
      <c r="S317" s="43" t="b">
        <v>0</v>
      </c>
      <c r="T317" s="43">
        <v>9.9999997764825804E-3</v>
      </c>
      <c r="U317" s="55">
        <v>2.7000000476837198</v>
      </c>
      <c r="V317" s="43">
        <v>9.9999997764825804E-3</v>
      </c>
      <c r="W317" s="43">
        <v>0</v>
      </c>
      <c r="X317" s="43">
        <v>1000</v>
      </c>
      <c r="Z317" s="43">
        <v>10</v>
      </c>
      <c r="AB317" s="55">
        <v>250</v>
      </c>
      <c r="AD317" s="43">
        <v>10</v>
      </c>
      <c r="AF317" s="43">
        <v>2000</v>
      </c>
      <c r="AG317" s="43">
        <v>2</v>
      </c>
      <c r="AH317" s="43">
        <v>2.7200000286102299</v>
      </c>
      <c r="AI317" s="43">
        <v>461</v>
      </c>
      <c r="AJ317" s="43">
        <v>0</v>
      </c>
      <c r="AK317" s="43">
        <v>315</v>
      </c>
      <c r="AM317" s="43" t="s">
        <v>2</v>
      </c>
      <c r="AO317" s="43">
        <v>250</v>
      </c>
      <c r="AW317" s="43" t="b">
        <v>0</v>
      </c>
      <c r="BF317" s="226">
        <v>1</v>
      </c>
      <c r="BG317" s="226">
        <v>0.55000000000000004</v>
      </c>
      <c r="BH317" s="226">
        <v>1</v>
      </c>
      <c r="BI317" s="226">
        <v>0.55000000000000004</v>
      </c>
      <c r="BJ317" s="226">
        <v>0</v>
      </c>
      <c r="BK317" s="43">
        <v>0</v>
      </c>
      <c r="BM317" s="36" t="s">
        <v>1</v>
      </c>
      <c r="BN317" s="61">
        <v>32</v>
      </c>
      <c r="BO317" s="61" t="s">
        <v>886</v>
      </c>
      <c r="BP317" s="61">
        <v>250</v>
      </c>
      <c r="CF317" s="47" t="s">
        <v>12</v>
      </c>
      <c r="CR317" s="43">
        <v>0</v>
      </c>
      <c r="CS317" s="70">
        <v>0</v>
      </c>
      <c r="CT317" s="70">
        <v>0</v>
      </c>
      <c r="CU317" s="43">
        <v>1</v>
      </c>
      <c r="CV317" s="70">
        <v>0</v>
      </c>
      <c r="CW317" s="70">
        <v>0</v>
      </c>
      <c r="CX317" s="70">
        <v>0</v>
      </c>
      <c r="CY317" s="70">
        <v>0</v>
      </c>
      <c r="CZ317" s="70">
        <v>0</v>
      </c>
      <c r="DA317" s="70">
        <v>0</v>
      </c>
      <c r="DB317" s="70">
        <v>0</v>
      </c>
      <c r="DD317" s="43">
        <v>2</v>
      </c>
    </row>
    <row r="318" spans="1:108" s="43" customFormat="1" ht="15.75" thickBot="1" x14ac:dyDescent="0.3">
      <c r="A318" s="43">
        <v>528237</v>
      </c>
      <c r="B318" s="43" t="s">
        <v>6</v>
      </c>
      <c r="C318" s="225" t="s">
        <v>739</v>
      </c>
      <c r="D318" s="43">
        <v>32</v>
      </c>
      <c r="E318" s="43">
        <v>0</v>
      </c>
      <c r="F318" s="43">
        <v>32</v>
      </c>
      <c r="G318" s="43">
        <v>338</v>
      </c>
      <c r="H318" s="43">
        <v>0</v>
      </c>
      <c r="I318" s="43">
        <v>125</v>
      </c>
      <c r="J318" s="57" t="s">
        <v>784</v>
      </c>
      <c r="K318" s="57" t="s">
        <v>785</v>
      </c>
      <c r="L318" s="58">
        <v>45966.085138888899</v>
      </c>
      <c r="M318" s="43">
        <v>0</v>
      </c>
      <c r="N318" s="43">
        <v>0</v>
      </c>
      <c r="O318" s="43">
        <v>0</v>
      </c>
      <c r="S318" s="43" t="b">
        <v>0</v>
      </c>
      <c r="T318" s="43">
        <v>9.9999997764825804E-3</v>
      </c>
      <c r="U318" s="55">
        <v>2.7000000476837198</v>
      </c>
      <c r="V318" s="43">
        <v>9.9999997764825804E-3</v>
      </c>
      <c r="W318" s="43">
        <v>0</v>
      </c>
      <c r="X318" s="43">
        <v>1000</v>
      </c>
      <c r="Z318" s="43">
        <v>10</v>
      </c>
      <c r="AB318" s="55">
        <v>250</v>
      </c>
      <c r="AD318" s="43">
        <v>10</v>
      </c>
      <c r="AF318" s="43">
        <v>2000</v>
      </c>
      <c r="AG318" s="43">
        <v>2</v>
      </c>
      <c r="AH318" s="43">
        <v>2.7200000286102299</v>
      </c>
      <c r="AI318" s="43">
        <v>457</v>
      </c>
      <c r="AJ318" s="43">
        <v>0</v>
      </c>
      <c r="AK318" s="43">
        <v>314</v>
      </c>
      <c r="AM318" s="43" t="s">
        <v>2</v>
      </c>
      <c r="AO318" s="43">
        <v>250</v>
      </c>
      <c r="AW318" s="43" t="b">
        <v>0</v>
      </c>
      <c r="BF318" s="226">
        <v>1</v>
      </c>
      <c r="BG318" s="226">
        <v>0.55000000000000004</v>
      </c>
      <c r="BH318" s="226">
        <v>1</v>
      </c>
      <c r="BI318" s="226">
        <v>0.55000000000000004</v>
      </c>
      <c r="BJ318" s="226">
        <v>0</v>
      </c>
      <c r="BK318" s="43">
        <v>0</v>
      </c>
      <c r="BM318" s="36" t="s">
        <v>1</v>
      </c>
      <c r="BN318" s="61">
        <v>32</v>
      </c>
      <c r="BO318" s="61" t="s">
        <v>886</v>
      </c>
      <c r="BP318" s="61">
        <v>250</v>
      </c>
      <c r="CF318" s="47" t="s">
        <v>12</v>
      </c>
      <c r="CR318" s="43">
        <v>0</v>
      </c>
      <c r="CS318" s="70">
        <v>0</v>
      </c>
      <c r="CT318" s="70">
        <v>0</v>
      </c>
      <c r="CU318" s="43">
        <v>1</v>
      </c>
      <c r="CV318" s="70">
        <v>0</v>
      </c>
      <c r="CW318" s="70">
        <v>0</v>
      </c>
      <c r="CX318" s="70">
        <v>0</v>
      </c>
      <c r="CY318" s="70">
        <v>0</v>
      </c>
      <c r="CZ318" s="70">
        <v>0</v>
      </c>
      <c r="DA318" s="70">
        <v>0</v>
      </c>
      <c r="DB318" s="70">
        <v>0</v>
      </c>
      <c r="DD318" s="43">
        <v>2</v>
      </c>
    </row>
    <row r="319" spans="1:108" s="43" customFormat="1" ht="15.75" thickBot="1" x14ac:dyDescent="0.3">
      <c r="A319" s="43">
        <v>528238</v>
      </c>
      <c r="B319" s="43" t="s">
        <v>6</v>
      </c>
      <c r="C319" s="225" t="s">
        <v>739</v>
      </c>
      <c r="D319" s="43">
        <v>32</v>
      </c>
      <c r="E319" s="43">
        <v>0</v>
      </c>
      <c r="F319" s="43">
        <v>32</v>
      </c>
      <c r="G319" s="43">
        <v>339</v>
      </c>
      <c r="H319" s="43">
        <v>0</v>
      </c>
      <c r="I319" s="43">
        <v>125</v>
      </c>
      <c r="J319" s="57" t="s">
        <v>786</v>
      </c>
      <c r="K319" s="57" t="s">
        <v>787</v>
      </c>
      <c r="L319" s="58">
        <v>45966.085208333301</v>
      </c>
      <c r="M319" s="43">
        <v>0</v>
      </c>
      <c r="N319" s="43">
        <v>0</v>
      </c>
      <c r="O319" s="43">
        <v>0</v>
      </c>
      <c r="S319" s="43" t="b">
        <v>0</v>
      </c>
      <c r="T319" s="43">
        <v>9.9999997764825804E-3</v>
      </c>
      <c r="U319" s="55">
        <v>2.7000000476837198</v>
      </c>
      <c r="V319" s="43">
        <v>9.9999997764825804E-3</v>
      </c>
      <c r="W319" s="43">
        <v>0</v>
      </c>
      <c r="X319" s="43">
        <v>1000</v>
      </c>
      <c r="Z319" s="43">
        <v>10</v>
      </c>
      <c r="AB319" s="55">
        <v>250</v>
      </c>
      <c r="AD319" s="43">
        <v>10</v>
      </c>
      <c r="AF319" s="43">
        <v>2000</v>
      </c>
      <c r="AG319" s="43">
        <v>2</v>
      </c>
      <c r="AH319" s="43">
        <v>2.71000003814697</v>
      </c>
      <c r="AI319" s="43">
        <v>457</v>
      </c>
      <c r="AJ319" s="43">
        <v>0</v>
      </c>
      <c r="AK319" s="43">
        <v>313</v>
      </c>
      <c r="AM319" s="43" t="s">
        <v>2</v>
      </c>
      <c r="AO319" s="43">
        <v>250</v>
      </c>
      <c r="AW319" s="43" t="b">
        <v>0</v>
      </c>
      <c r="BF319" s="226">
        <v>1</v>
      </c>
      <c r="BG319" s="226">
        <v>0.55000000000000004</v>
      </c>
      <c r="BH319" s="226">
        <v>1</v>
      </c>
      <c r="BI319" s="226">
        <v>0.55000000000000004</v>
      </c>
      <c r="BJ319" s="226">
        <v>0</v>
      </c>
      <c r="BK319" s="43">
        <v>0</v>
      </c>
      <c r="BM319" s="36" t="s">
        <v>1</v>
      </c>
      <c r="BN319" s="61">
        <v>32</v>
      </c>
      <c r="BO319" s="61" t="s">
        <v>886</v>
      </c>
      <c r="BP319" s="61">
        <v>250</v>
      </c>
      <c r="CF319" s="47" t="s">
        <v>12</v>
      </c>
      <c r="CR319" s="43">
        <v>0</v>
      </c>
      <c r="CS319" s="70">
        <v>0</v>
      </c>
      <c r="CT319" s="70">
        <v>0</v>
      </c>
      <c r="CU319" s="43">
        <v>1</v>
      </c>
      <c r="CV319" s="70">
        <v>0</v>
      </c>
      <c r="CW319" s="70">
        <v>0</v>
      </c>
      <c r="CX319" s="70">
        <v>0</v>
      </c>
      <c r="CY319" s="70">
        <v>0</v>
      </c>
      <c r="CZ319" s="70">
        <v>0</v>
      </c>
      <c r="DA319" s="70">
        <v>0</v>
      </c>
      <c r="DB319" s="70">
        <v>0</v>
      </c>
      <c r="DD319" s="43">
        <v>2</v>
      </c>
    </row>
    <row r="320" spans="1:108" s="43" customFormat="1" ht="15.75" thickBot="1" x14ac:dyDescent="0.3">
      <c r="A320" s="43">
        <v>528239</v>
      </c>
      <c r="B320" s="43" t="s">
        <v>6</v>
      </c>
      <c r="C320" s="225" t="s">
        <v>739</v>
      </c>
      <c r="D320" s="43">
        <v>32</v>
      </c>
      <c r="E320" s="43">
        <v>0</v>
      </c>
      <c r="F320" s="43">
        <v>32</v>
      </c>
      <c r="G320" s="43">
        <v>340</v>
      </c>
      <c r="H320" s="43">
        <v>0</v>
      </c>
      <c r="I320" s="43">
        <v>125</v>
      </c>
      <c r="J320" s="57" t="s">
        <v>788</v>
      </c>
      <c r="K320" s="57" t="s">
        <v>789</v>
      </c>
      <c r="L320" s="58">
        <v>45966.085277777798</v>
      </c>
      <c r="M320" s="43">
        <v>0</v>
      </c>
      <c r="N320" s="43">
        <v>0</v>
      </c>
      <c r="O320" s="43">
        <v>0</v>
      </c>
      <c r="S320" s="43" t="b">
        <v>0</v>
      </c>
      <c r="T320" s="43">
        <v>9.9999997764825804E-3</v>
      </c>
      <c r="U320" s="55">
        <v>2.7000000476837198</v>
      </c>
      <c r="V320" s="43">
        <v>9.9999997764825804E-3</v>
      </c>
      <c r="W320" s="43">
        <v>0</v>
      </c>
      <c r="X320" s="43">
        <v>1000</v>
      </c>
      <c r="Z320" s="43">
        <v>10</v>
      </c>
      <c r="AB320" s="55">
        <v>250</v>
      </c>
      <c r="AD320" s="43">
        <v>10</v>
      </c>
      <c r="AF320" s="43">
        <v>2000</v>
      </c>
      <c r="AG320" s="43">
        <v>2</v>
      </c>
      <c r="AH320" s="43">
        <v>2.71000003814697</v>
      </c>
      <c r="AI320" s="43">
        <v>457</v>
      </c>
      <c r="AJ320" s="43">
        <v>0</v>
      </c>
      <c r="AK320" s="43">
        <v>313</v>
      </c>
      <c r="AM320" s="43" t="s">
        <v>2</v>
      </c>
      <c r="AO320" s="43">
        <v>250</v>
      </c>
      <c r="AW320" s="43" t="b">
        <v>0</v>
      </c>
      <c r="BF320" s="226">
        <v>1</v>
      </c>
      <c r="BG320" s="226">
        <v>0.55000000000000004</v>
      </c>
      <c r="BH320" s="226">
        <v>1</v>
      </c>
      <c r="BI320" s="226">
        <v>0.55000000000000004</v>
      </c>
      <c r="BJ320" s="226">
        <v>0</v>
      </c>
      <c r="BK320" s="43">
        <v>0</v>
      </c>
      <c r="BM320" s="36" t="s">
        <v>1</v>
      </c>
      <c r="BN320" s="61">
        <v>32</v>
      </c>
      <c r="BO320" s="61" t="s">
        <v>886</v>
      </c>
      <c r="BP320" s="61">
        <v>250</v>
      </c>
      <c r="CF320" s="47" t="s">
        <v>12</v>
      </c>
      <c r="CR320" s="43">
        <v>0</v>
      </c>
      <c r="CS320" s="70">
        <v>0</v>
      </c>
      <c r="CT320" s="70">
        <v>0</v>
      </c>
      <c r="CU320" s="43">
        <v>1</v>
      </c>
      <c r="CV320" s="70">
        <v>0</v>
      </c>
      <c r="CW320" s="70">
        <v>0</v>
      </c>
      <c r="CX320" s="70">
        <v>0</v>
      </c>
      <c r="CY320" s="70">
        <v>0</v>
      </c>
      <c r="CZ320" s="70">
        <v>0</v>
      </c>
      <c r="DA320" s="70">
        <v>0</v>
      </c>
      <c r="DB320" s="70">
        <v>0</v>
      </c>
      <c r="DD320" s="43">
        <v>2</v>
      </c>
    </row>
    <row r="321" spans="1:108" s="43" customFormat="1" ht="15.75" thickBot="1" x14ac:dyDescent="0.3">
      <c r="A321" s="43">
        <v>528240</v>
      </c>
      <c r="B321" s="43" t="s">
        <v>6</v>
      </c>
      <c r="C321" s="225" t="s">
        <v>739</v>
      </c>
      <c r="D321" s="43">
        <v>32</v>
      </c>
      <c r="E321" s="43">
        <v>0</v>
      </c>
      <c r="F321" s="43">
        <v>32</v>
      </c>
      <c r="G321" s="43">
        <v>341</v>
      </c>
      <c r="H321" s="43">
        <v>0</v>
      </c>
      <c r="I321" s="43">
        <v>125</v>
      </c>
      <c r="J321" s="57" t="s">
        <v>790</v>
      </c>
      <c r="K321" s="57" t="s">
        <v>791</v>
      </c>
      <c r="L321" s="58">
        <v>45966.085358796299</v>
      </c>
      <c r="M321" s="43">
        <v>0</v>
      </c>
      <c r="N321" s="43">
        <v>0</v>
      </c>
      <c r="O321" s="43">
        <v>0</v>
      </c>
      <c r="S321" s="43" t="b">
        <v>0</v>
      </c>
      <c r="T321" s="43">
        <v>9.9999997764825804E-3</v>
      </c>
      <c r="U321" s="55">
        <v>2.7000000476837198</v>
      </c>
      <c r="V321" s="43">
        <v>9.9999997764825804E-3</v>
      </c>
      <c r="W321" s="43">
        <v>0</v>
      </c>
      <c r="X321" s="43">
        <v>1000</v>
      </c>
      <c r="Z321" s="43">
        <v>10</v>
      </c>
      <c r="AB321" s="55">
        <v>250</v>
      </c>
      <c r="AD321" s="43">
        <v>10</v>
      </c>
      <c r="AF321" s="43">
        <v>2000</v>
      </c>
      <c r="AG321" s="43">
        <v>2</v>
      </c>
      <c r="AH321" s="43">
        <v>2.71000003814697</v>
      </c>
      <c r="AI321" s="43">
        <v>457</v>
      </c>
      <c r="AJ321" s="43">
        <v>0</v>
      </c>
      <c r="AK321" s="43">
        <v>313</v>
      </c>
      <c r="AM321" s="43" t="s">
        <v>2</v>
      </c>
      <c r="AO321" s="43">
        <v>250</v>
      </c>
      <c r="AW321" s="43" t="b">
        <v>0</v>
      </c>
      <c r="BF321" s="226">
        <v>1</v>
      </c>
      <c r="BG321" s="226">
        <v>0.55000000000000004</v>
      </c>
      <c r="BH321" s="226">
        <v>1</v>
      </c>
      <c r="BI321" s="226">
        <v>0.55000000000000004</v>
      </c>
      <c r="BJ321" s="226">
        <v>0</v>
      </c>
      <c r="BK321" s="43">
        <v>0</v>
      </c>
      <c r="BM321" s="36" t="s">
        <v>1</v>
      </c>
      <c r="BN321" s="61">
        <v>32</v>
      </c>
      <c r="BO321" s="61" t="s">
        <v>886</v>
      </c>
      <c r="BP321" s="61">
        <v>250</v>
      </c>
      <c r="CF321" s="47" t="s">
        <v>12</v>
      </c>
      <c r="CR321" s="43">
        <v>0</v>
      </c>
      <c r="CS321" s="70">
        <v>0</v>
      </c>
      <c r="CT321" s="70">
        <v>0</v>
      </c>
      <c r="CU321" s="43">
        <v>1</v>
      </c>
      <c r="CV321" s="70">
        <v>0</v>
      </c>
      <c r="CW321" s="70">
        <v>0</v>
      </c>
      <c r="CX321" s="70">
        <v>0</v>
      </c>
      <c r="CY321" s="70">
        <v>0</v>
      </c>
      <c r="CZ321" s="70">
        <v>0</v>
      </c>
      <c r="DA321" s="70">
        <v>0</v>
      </c>
      <c r="DB321" s="70">
        <v>0</v>
      </c>
      <c r="DD321" s="43">
        <v>2</v>
      </c>
    </row>
    <row r="322" spans="1:108" s="43" customFormat="1" ht="15.75" thickBot="1" x14ac:dyDescent="0.3">
      <c r="A322" s="43">
        <v>528207</v>
      </c>
      <c r="B322" s="43" t="s">
        <v>6</v>
      </c>
      <c r="C322" s="225" t="s">
        <v>739</v>
      </c>
      <c r="D322" s="43">
        <v>32</v>
      </c>
      <c r="E322" s="43">
        <v>0</v>
      </c>
      <c r="F322" s="43">
        <v>32</v>
      </c>
      <c r="G322" s="43">
        <v>308</v>
      </c>
      <c r="H322" s="43">
        <v>0</v>
      </c>
      <c r="I322" s="43">
        <v>125</v>
      </c>
      <c r="J322" s="57" t="s">
        <v>792</v>
      </c>
      <c r="K322" s="57" t="s">
        <v>793</v>
      </c>
      <c r="L322" s="58">
        <v>45966.025833333297</v>
      </c>
      <c r="M322" s="43">
        <v>0</v>
      </c>
      <c r="N322" s="43">
        <v>0</v>
      </c>
      <c r="O322" s="43">
        <v>0</v>
      </c>
      <c r="S322" s="43" t="b">
        <v>0</v>
      </c>
      <c r="T322" s="43">
        <v>9.9999997764825804E-3</v>
      </c>
      <c r="U322" s="55">
        <v>2.7000000476837198</v>
      </c>
      <c r="V322" s="43">
        <v>9.9999997764825804E-3</v>
      </c>
      <c r="W322" s="43">
        <v>0</v>
      </c>
      <c r="X322" s="43">
        <v>1000</v>
      </c>
      <c r="Z322" s="43">
        <v>10</v>
      </c>
      <c r="AB322" s="55">
        <v>250</v>
      </c>
      <c r="AD322" s="43">
        <v>10</v>
      </c>
      <c r="AF322" s="43">
        <v>2000</v>
      </c>
      <c r="AG322" s="43">
        <v>2</v>
      </c>
      <c r="AH322" s="43">
        <v>2.7300000190734899</v>
      </c>
      <c r="AI322" s="43">
        <v>465</v>
      </c>
      <c r="AJ322" s="43">
        <v>0</v>
      </c>
      <c r="AK322" s="43">
        <v>319</v>
      </c>
      <c r="AM322" s="43" t="s">
        <v>2</v>
      </c>
      <c r="AO322" s="43">
        <v>250</v>
      </c>
      <c r="AW322" s="43" t="b">
        <v>0</v>
      </c>
      <c r="BF322" s="226">
        <v>1</v>
      </c>
      <c r="BG322" s="226">
        <v>0.55000000000000004</v>
      </c>
      <c r="BH322" s="226">
        <v>1</v>
      </c>
      <c r="BI322" s="226">
        <v>0.55000000000000004</v>
      </c>
      <c r="BJ322" s="226">
        <v>0</v>
      </c>
      <c r="BK322" s="43">
        <v>0</v>
      </c>
      <c r="BM322" s="36" t="s">
        <v>1</v>
      </c>
      <c r="BN322" s="61">
        <v>32</v>
      </c>
      <c r="BO322" s="61" t="s">
        <v>886</v>
      </c>
      <c r="BP322" s="61">
        <v>250</v>
      </c>
      <c r="CF322" s="47" t="s">
        <v>12</v>
      </c>
      <c r="CR322" s="43">
        <v>0</v>
      </c>
      <c r="CS322" s="70">
        <v>0</v>
      </c>
      <c r="CT322" s="70">
        <v>0</v>
      </c>
      <c r="CU322" s="43">
        <v>1</v>
      </c>
      <c r="CV322" s="70">
        <v>0</v>
      </c>
      <c r="CW322" s="70">
        <v>0</v>
      </c>
      <c r="CX322" s="70">
        <v>0</v>
      </c>
      <c r="CY322" s="70">
        <v>0</v>
      </c>
      <c r="CZ322" s="70">
        <v>0</v>
      </c>
      <c r="DA322" s="70">
        <v>0</v>
      </c>
      <c r="DB322" s="70">
        <v>0</v>
      </c>
      <c r="DD322" s="43">
        <v>2</v>
      </c>
    </row>
    <row r="323" spans="1:108" s="43" customFormat="1" ht="15.75" thickBot="1" x14ac:dyDescent="0.3">
      <c r="A323" s="43">
        <v>528208</v>
      </c>
      <c r="B323" s="43" t="s">
        <v>6</v>
      </c>
      <c r="C323" s="225" t="s">
        <v>739</v>
      </c>
      <c r="D323" s="43">
        <v>32</v>
      </c>
      <c r="E323" s="43">
        <v>0</v>
      </c>
      <c r="F323" s="43">
        <v>32</v>
      </c>
      <c r="G323" s="43">
        <v>309</v>
      </c>
      <c r="H323" s="43">
        <v>0</v>
      </c>
      <c r="I323" s="43">
        <v>125</v>
      </c>
      <c r="J323" s="57" t="s">
        <v>794</v>
      </c>
      <c r="K323" s="57" t="s">
        <v>795</v>
      </c>
      <c r="L323" s="58">
        <v>45966.025914351798</v>
      </c>
      <c r="M323" s="43">
        <v>0</v>
      </c>
      <c r="N323" s="43">
        <v>0</v>
      </c>
      <c r="O323" s="43">
        <v>0</v>
      </c>
      <c r="S323" s="43" t="b">
        <v>0</v>
      </c>
      <c r="T323" s="43">
        <v>9.9999997764825804E-3</v>
      </c>
      <c r="U323" s="55">
        <v>2.7000000476837198</v>
      </c>
      <c r="V323" s="43">
        <v>9.9999997764825804E-3</v>
      </c>
      <c r="W323" s="43">
        <v>0</v>
      </c>
      <c r="X323" s="43">
        <v>1000</v>
      </c>
      <c r="Z323" s="43">
        <v>10</v>
      </c>
      <c r="AB323" s="55">
        <v>250</v>
      </c>
      <c r="AD323" s="43">
        <v>10</v>
      </c>
      <c r="AF323" s="43">
        <v>2000</v>
      </c>
      <c r="AG323" s="43">
        <v>2</v>
      </c>
      <c r="AH323" s="43">
        <v>2.7200000286102299</v>
      </c>
      <c r="AI323" s="43">
        <v>465</v>
      </c>
      <c r="AJ323" s="43">
        <v>0</v>
      </c>
      <c r="AK323" s="43">
        <v>321</v>
      </c>
      <c r="AM323" s="43" t="s">
        <v>2</v>
      </c>
      <c r="AO323" s="43">
        <v>250</v>
      </c>
      <c r="AW323" s="43" t="b">
        <v>0</v>
      </c>
      <c r="BF323" s="226">
        <v>1</v>
      </c>
      <c r="BG323" s="226">
        <v>0.55000000000000004</v>
      </c>
      <c r="BH323" s="226">
        <v>1</v>
      </c>
      <c r="BI323" s="226">
        <v>0.55000000000000004</v>
      </c>
      <c r="BJ323" s="226">
        <v>0</v>
      </c>
      <c r="BK323" s="43">
        <v>0</v>
      </c>
      <c r="BM323" s="36" t="s">
        <v>1</v>
      </c>
      <c r="BN323" s="61">
        <v>32</v>
      </c>
      <c r="BO323" s="61" t="s">
        <v>886</v>
      </c>
      <c r="BP323" s="61">
        <v>250</v>
      </c>
      <c r="CF323" s="47" t="s">
        <v>12</v>
      </c>
      <c r="CR323" s="43">
        <v>0</v>
      </c>
      <c r="CS323" s="70">
        <v>0</v>
      </c>
      <c r="CT323" s="70">
        <v>0</v>
      </c>
      <c r="CU323" s="43">
        <v>1</v>
      </c>
      <c r="CV323" s="70">
        <v>0</v>
      </c>
      <c r="CW323" s="70">
        <v>0</v>
      </c>
      <c r="CX323" s="70">
        <v>0</v>
      </c>
      <c r="CY323" s="70">
        <v>0</v>
      </c>
      <c r="CZ323" s="70">
        <v>0</v>
      </c>
      <c r="DA323" s="70">
        <v>0</v>
      </c>
      <c r="DB323" s="70">
        <v>0</v>
      </c>
      <c r="DD323" s="43">
        <v>2</v>
      </c>
    </row>
    <row r="324" spans="1:108" s="43" customFormat="1" ht="15.75" thickBot="1" x14ac:dyDescent="0.3">
      <c r="A324" s="43">
        <v>528173</v>
      </c>
      <c r="B324" s="43" t="s">
        <v>6</v>
      </c>
      <c r="C324" s="225" t="s">
        <v>739</v>
      </c>
      <c r="D324" s="43">
        <v>32</v>
      </c>
      <c r="E324" s="43">
        <v>0</v>
      </c>
      <c r="F324" s="43">
        <v>32</v>
      </c>
      <c r="G324" s="43">
        <v>274</v>
      </c>
      <c r="H324" s="43">
        <v>0</v>
      </c>
      <c r="I324" s="43">
        <v>125</v>
      </c>
      <c r="J324" s="57" t="s">
        <v>796</v>
      </c>
      <c r="K324" s="57" t="s">
        <v>797</v>
      </c>
      <c r="L324" s="58">
        <v>45966.020324074103</v>
      </c>
      <c r="M324" s="43">
        <v>0</v>
      </c>
      <c r="N324" s="43">
        <v>0</v>
      </c>
      <c r="O324" s="43">
        <v>0</v>
      </c>
      <c r="S324" s="43" t="b">
        <v>0</v>
      </c>
      <c r="T324" s="43">
        <v>9.9999997764825804E-3</v>
      </c>
      <c r="U324" s="55">
        <v>2.7000000476837198</v>
      </c>
      <c r="V324" s="43">
        <v>9.9999997764825804E-3</v>
      </c>
      <c r="W324" s="43">
        <v>0</v>
      </c>
      <c r="X324" s="43">
        <v>1000</v>
      </c>
      <c r="Z324" s="43">
        <v>10</v>
      </c>
      <c r="AB324" s="55">
        <v>250</v>
      </c>
      <c r="AD324" s="43">
        <v>10</v>
      </c>
      <c r="AF324" s="43">
        <v>2000</v>
      </c>
      <c r="AG324" s="43">
        <v>2</v>
      </c>
      <c r="AH324" s="43">
        <v>2.7200000286102299</v>
      </c>
      <c r="AI324" s="43">
        <v>470</v>
      </c>
      <c r="AJ324" s="43">
        <v>0</v>
      </c>
      <c r="AK324" s="43">
        <v>322</v>
      </c>
      <c r="AM324" s="43" t="s">
        <v>2</v>
      </c>
      <c r="AO324" s="43">
        <v>250</v>
      </c>
      <c r="AW324" s="43" t="b">
        <v>0</v>
      </c>
      <c r="BF324" s="226">
        <v>1</v>
      </c>
      <c r="BG324" s="226">
        <v>0.55000000000000004</v>
      </c>
      <c r="BH324" s="226">
        <v>1</v>
      </c>
      <c r="BI324" s="226">
        <v>0.55000000000000004</v>
      </c>
      <c r="BJ324" s="226">
        <v>0</v>
      </c>
      <c r="BK324" s="43">
        <v>0</v>
      </c>
      <c r="BM324" s="36" t="s">
        <v>1</v>
      </c>
      <c r="BN324" s="61">
        <v>32</v>
      </c>
      <c r="BO324" s="61" t="s">
        <v>886</v>
      </c>
      <c r="BP324" s="61">
        <v>250</v>
      </c>
      <c r="CF324" s="47" t="s">
        <v>12</v>
      </c>
      <c r="CR324" s="43">
        <v>0</v>
      </c>
      <c r="CS324" s="70">
        <v>0</v>
      </c>
      <c r="CT324" s="70">
        <v>0</v>
      </c>
      <c r="CU324" s="43">
        <v>1</v>
      </c>
      <c r="CV324" s="70">
        <v>0</v>
      </c>
      <c r="CW324" s="70">
        <v>0</v>
      </c>
      <c r="CX324" s="70">
        <v>0</v>
      </c>
      <c r="CY324" s="70">
        <v>0</v>
      </c>
      <c r="CZ324" s="70">
        <v>0</v>
      </c>
      <c r="DA324" s="70">
        <v>0</v>
      </c>
      <c r="DB324" s="70">
        <v>0</v>
      </c>
      <c r="DD324" s="43">
        <v>2</v>
      </c>
    </row>
    <row r="325" spans="1:108" s="43" customFormat="1" ht="15.75" thickBot="1" x14ac:dyDescent="0.3">
      <c r="A325" s="43">
        <v>528174</v>
      </c>
      <c r="B325" s="43" t="s">
        <v>6</v>
      </c>
      <c r="C325" s="225" t="s">
        <v>739</v>
      </c>
      <c r="D325" s="43">
        <v>32</v>
      </c>
      <c r="E325" s="43">
        <v>0</v>
      </c>
      <c r="F325" s="43">
        <v>32</v>
      </c>
      <c r="G325" s="43">
        <v>275</v>
      </c>
      <c r="H325" s="43">
        <v>0</v>
      </c>
      <c r="I325" s="43">
        <v>125</v>
      </c>
      <c r="J325" s="57" t="s">
        <v>798</v>
      </c>
      <c r="K325" s="57" t="s">
        <v>799</v>
      </c>
      <c r="L325" s="58">
        <v>45966.020416666703</v>
      </c>
      <c r="M325" s="43">
        <v>0</v>
      </c>
      <c r="N325" s="43">
        <v>0</v>
      </c>
      <c r="O325" s="43">
        <v>0</v>
      </c>
      <c r="S325" s="43" t="b">
        <v>0</v>
      </c>
      <c r="T325" s="43">
        <v>9.9999997764825804E-3</v>
      </c>
      <c r="U325" s="55">
        <v>2.7000000476837198</v>
      </c>
      <c r="V325" s="43">
        <v>9.9999997764825804E-3</v>
      </c>
      <c r="W325" s="43">
        <v>0</v>
      </c>
      <c r="X325" s="43">
        <v>1000</v>
      </c>
      <c r="Z325" s="43">
        <v>10</v>
      </c>
      <c r="AB325" s="55">
        <v>250</v>
      </c>
      <c r="AD325" s="43">
        <v>10</v>
      </c>
      <c r="AF325" s="43">
        <v>2000</v>
      </c>
      <c r="AG325" s="43">
        <v>2</v>
      </c>
      <c r="AH325" s="43">
        <v>2.7200000286102299</v>
      </c>
      <c r="AI325" s="43">
        <v>465</v>
      </c>
      <c r="AJ325" s="43">
        <v>0</v>
      </c>
      <c r="AK325" s="43">
        <v>320</v>
      </c>
      <c r="AM325" s="43" t="s">
        <v>2</v>
      </c>
      <c r="AO325" s="43">
        <v>250</v>
      </c>
      <c r="AW325" s="43" t="b">
        <v>0</v>
      </c>
      <c r="BF325" s="226">
        <v>1</v>
      </c>
      <c r="BG325" s="226">
        <v>0.55000000000000004</v>
      </c>
      <c r="BH325" s="226">
        <v>1</v>
      </c>
      <c r="BI325" s="226">
        <v>0.55000000000000004</v>
      </c>
      <c r="BJ325" s="226">
        <v>0</v>
      </c>
      <c r="BK325" s="43">
        <v>0</v>
      </c>
      <c r="BM325" s="36" t="s">
        <v>1</v>
      </c>
      <c r="BN325" s="61">
        <v>32</v>
      </c>
      <c r="BO325" s="61" t="s">
        <v>886</v>
      </c>
      <c r="BP325" s="61">
        <v>250</v>
      </c>
      <c r="CF325" s="47" t="s">
        <v>12</v>
      </c>
      <c r="CR325" s="43">
        <v>0</v>
      </c>
      <c r="CS325" s="70">
        <v>0</v>
      </c>
      <c r="CT325" s="70">
        <v>0</v>
      </c>
      <c r="CU325" s="43">
        <v>1</v>
      </c>
      <c r="CV325" s="70">
        <v>0</v>
      </c>
      <c r="CW325" s="70">
        <v>0</v>
      </c>
      <c r="CX325" s="70">
        <v>0</v>
      </c>
      <c r="CY325" s="70">
        <v>0</v>
      </c>
      <c r="CZ325" s="70">
        <v>0</v>
      </c>
      <c r="DA325" s="70">
        <v>0</v>
      </c>
      <c r="DB325" s="70">
        <v>0</v>
      </c>
      <c r="DD325" s="43">
        <v>2</v>
      </c>
    </row>
    <row r="326" spans="1:108" s="43" customFormat="1" ht="15.75" thickBot="1" x14ac:dyDescent="0.3">
      <c r="A326" s="43">
        <v>528175</v>
      </c>
      <c r="B326" s="43" t="s">
        <v>6</v>
      </c>
      <c r="C326" s="225" t="s">
        <v>739</v>
      </c>
      <c r="D326" s="43">
        <v>32</v>
      </c>
      <c r="E326" s="43">
        <v>0</v>
      </c>
      <c r="F326" s="43">
        <v>32</v>
      </c>
      <c r="G326" s="43">
        <v>276</v>
      </c>
      <c r="H326" s="43">
        <v>0</v>
      </c>
      <c r="I326" s="43">
        <v>125</v>
      </c>
      <c r="J326" s="57" t="s">
        <v>800</v>
      </c>
      <c r="K326" s="57" t="s">
        <v>801</v>
      </c>
      <c r="L326" s="58">
        <v>45966.020486111098</v>
      </c>
      <c r="M326" s="43">
        <v>0</v>
      </c>
      <c r="N326" s="43">
        <v>0</v>
      </c>
      <c r="O326" s="43">
        <v>0</v>
      </c>
      <c r="S326" s="43" t="b">
        <v>0</v>
      </c>
      <c r="T326" s="43">
        <v>9.9999997764825804E-3</v>
      </c>
      <c r="U326" s="55">
        <v>2.7000000476837198</v>
      </c>
      <c r="V326" s="43">
        <v>9.9999997764825804E-3</v>
      </c>
      <c r="W326" s="43">
        <v>0</v>
      </c>
      <c r="X326" s="43">
        <v>1000</v>
      </c>
      <c r="Z326" s="43">
        <v>10</v>
      </c>
      <c r="AB326" s="55">
        <v>250</v>
      </c>
      <c r="AD326" s="43">
        <v>10</v>
      </c>
      <c r="AF326" s="43">
        <v>2000</v>
      </c>
      <c r="AG326" s="43">
        <v>2</v>
      </c>
      <c r="AH326" s="43">
        <v>2.7200000286102299</v>
      </c>
      <c r="AI326" s="43">
        <v>461</v>
      </c>
      <c r="AJ326" s="43">
        <v>0</v>
      </c>
      <c r="AK326" s="43">
        <v>317</v>
      </c>
      <c r="AM326" s="43" t="s">
        <v>2</v>
      </c>
      <c r="AO326" s="43">
        <v>250</v>
      </c>
      <c r="AW326" s="43" t="b">
        <v>0</v>
      </c>
      <c r="BF326" s="226">
        <v>1</v>
      </c>
      <c r="BG326" s="226">
        <v>0.55000000000000004</v>
      </c>
      <c r="BH326" s="226">
        <v>1</v>
      </c>
      <c r="BI326" s="226">
        <v>0.55000000000000004</v>
      </c>
      <c r="BJ326" s="226">
        <v>0</v>
      </c>
      <c r="BK326" s="43">
        <v>0</v>
      </c>
      <c r="BM326" s="36" t="s">
        <v>1</v>
      </c>
      <c r="BN326" s="61">
        <v>32</v>
      </c>
      <c r="BO326" s="61" t="s">
        <v>886</v>
      </c>
      <c r="BP326" s="61">
        <v>250</v>
      </c>
      <c r="CF326" s="47" t="s">
        <v>12</v>
      </c>
      <c r="CR326" s="43">
        <v>0</v>
      </c>
      <c r="CS326" s="70">
        <v>0</v>
      </c>
      <c r="CT326" s="70">
        <v>0</v>
      </c>
      <c r="CU326" s="43">
        <v>1</v>
      </c>
      <c r="CV326" s="70">
        <v>0</v>
      </c>
      <c r="CW326" s="70">
        <v>0</v>
      </c>
      <c r="CX326" s="70">
        <v>0</v>
      </c>
      <c r="CY326" s="70">
        <v>0</v>
      </c>
      <c r="CZ326" s="70">
        <v>0</v>
      </c>
      <c r="DA326" s="70">
        <v>0</v>
      </c>
      <c r="DB326" s="70">
        <v>0</v>
      </c>
      <c r="DD326" s="43">
        <v>2</v>
      </c>
    </row>
    <row r="327" spans="1:108" s="43" customFormat="1" ht="15.75" thickBot="1" x14ac:dyDescent="0.3">
      <c r="A327" s="43">
        <v>528176</v>
      </c>
      <c r="B327" s="43" t="s">
        <v>6</v>
      </c>
      <c r="C327" s="225" t="s">
        <v>739</v>
      </c>
      <c r="D327" s="43">
        <v>32</v>
      </c>
      <c r="E327" s="43">
        <v>0</v>
      </c>
      <c r="F327" s="43">
        <v>32</v>
      </c>
      <c r="G327" s="43">
        <v>277</v>
      </c>
      <c r="H327" s="43">
        <v>0</v>
      </c>
      <c r="I327" s="43">
        <v>125</v>
      </c>
      <c r="J327" s="57" t="s">
        <v>802</v>
      </c>
      <c r="K327" s="57" t="s">
        <v>803</v>
      </c>
      <c r="L327" s="58">
        <v>45966.020555555602</v>
      </c>
      <c r="M327" s="43">
        <v>0</v>
      </c>
      <c r="N327" s="43">
        <v>0</v>
      </c>
      <c r="O327" s="43">
        <v>0</v>
      </c>
      <c r="S327" s="43" t="b">
        <v>0</v>
      </c>
      <c r="T327" s="43">
        <v>9.9999997764825804E-3</v>
      </c>
      <c r="U327" s="55">
        <v>2.7000000476837198</v>
      </c>
      <c r="V327" s="43">
        <v>9.9999997764825804E-3</v>
      </c>
      <c r="W327" s="43">
        <v>0</v>
      </c>
      <c r="X327" s="43">
        <v>1000</v>
      </c>
      <c r="Z327" s="43">
        <v>10</v>
      </c>
      <c r="AB327" s="55">
        <v>250</v>
      </c>
      <c r="AD327" s="43">
        <v>10</v>
      </c>
      <c r="AF327" s="43">
        <v>2000</v>
      </c>
      <c r="AG327" s="43">
        <v>2</v>
      </c>
      <c r="AH327" s="43">
        <v>2.7200000286102299</v>
      </c>
      <c r="AI327" s="43">
        <v>457</v>
      </c>
      <c r="AJ327" s="43">
        <v>0</v>
      </c>
      <c r="AK327" s="43">
        <v>315</v>
      </c>
      <c r="AM327" s="43" t="s">
        <v>2</v>
      </c>
      <c r="AO327" s="43">
        <v>250</v>
      </c>
      <c r="AW327" s="43" t="b">
        <v>0</v>
      </c>
      <c r="BF327" s="226">
        <v>1</v>
      </c>
      <c r="BG327" s="226">
        <v>0.55000000000000004</v>
      </c>
      <c r="BH327" s="226">
        <v>1</v>
      </c>
      <c r="BI327" s="226">
        <v>0.55000000000000004</v>
      </c>
      <c r="BJ327" s="226">
        <v>0</v>
      </c>
      <c r="BK327" s="43">
        <v>0</v>
      </c>
      <c r="BM327" s="36" t="s">
        <v>1</v>
      </c>
      <c r="BN327" s="61">
        <v>32</v>
      </c>
      <c r="BO327" s="61" t="s">
        <v>886</v>
      </c>
      <c r="BP327" s="61">
        <v>250</v>
      </c>
      <c r="CF327" s="47" t="s">
        <v>12</v>
      </c>
      <c r="CR327" s="43">
        <v>0</v>
      </c>
      <c r="CS327" s="70">
        <v>0</v>
      </c>
      <c r="CT327" s="70">
        <v>0</v>
      </c>
      <c r="CU327" s="43">
        <v>1</v>
      </c>
      <c r="CV327" s="70">
        <v>0</v>
      </c>
      <c r="CW327" s="70">
        <v>0</v>
      </c>
      <c r="CX327" s="70">
        <v>0</v>
      </c>
      <c r="CY327" s="70">
        <v>0</v>
      </c>
      <c r="CZ327" s="70">
        <v>0</v>
      </c>
      <c r="DA327" s="70">
        <v>0</v>
      </c>
      <c r="DB327" s="70">
        <v>0</v>
      </c>
      <c r="DD327" s="43">
        <v>2</v>
      </c>
    </row>
    <row r="328" spans="1:108" s="43" customFormat="1" ht="15.75" thickBot="1" x14ac:dyDescent="0.3">
      <c r="A328" s="43">
        <v>528177</v>
      </c>
      <c r="B328" s="43" t="s">
        <v>6</v>
      </c>
      <c r="C328" s="225" t="s">
        <v>739</v>
      </c>
      <c r="D328" s="43">
        <v>32</v>
      </c>
      <c r="E328" s="43">
        <v>0</v>
      </c>
      <c r="F328" s="43">
        <v>32</v>
      </c>
      <c r="G328" s="43">
        <v>278</v>
      </c>
      <c r="H328" s="43">
        <v>0</v>
      </c>
      <c r="I328" s="43">
        <v>125</v>
      </c>
      <c r="J328" s="57" t="s">
        <v>804</v>
      </c>
      <c r="K328" s="57" t="s">
        <v>805</v>
      </c>
      <c r="L328" s="58">
        <v>45966.020624999997</v>
      </c>
      <c r="M328" s="43">
        <v>0</v>
      </c>
      <c r="N328" s="43">
        <v>0</v>
      </c>
      <c r="O328" s="43">
        <v>0</v>
      </c>
      <c r="S328" s="43" t="b">
        <v>0</v>
      </c>
      <c r="T328" s="43">
        <v>9.9999997764825804E-3</v>
      </c>
      <c r="U328" s="55">
        <v>2.7000000476837198</v>
      </c>
      <c r="V328" s="43">
        <v>9.9999997764825804E-3</v>
      </c>
      <c r="W328" s="43">
        <v>0</v>
      </c>
      <c r="X328" s="43">
        <v>1000</v>
      </c>
      <c r="Z328" s="43">
        <v>10</v>
      </c>
      <c r="AB328" s="55">
        <v>250</v>
      </c>
      <c r="AD328" s="43">
        <v>10</v>
      </c>
      <c r="AF328" s="43">
        <v>2000</v>
      </c>
      <c r="AG328" s="43">
        <v>2</v>
      </c>
      <c r="AH328" s="43">
        <v>2.7200000286102299</v>
      </c>
      <c r="AI328" s="43">
        <v>461</v>
      </c>
      <c r="AJ328" s="43">
        <v>0</v>
      </c>
      <c r="AK328" s="43">
        <v>315</v>
      </c>
      <c r="AM328" s="43" t="s">
        <v>2</v>
      </c>
      <c r="AO328" s="43">
        <v>250</v>
      </c>
      <c r="AW328" s="43" t="b">
        <v>0</v>
      </c>
      <c r="BF328" s="226">
        <v>1</v>
      </c>
      <c r="BG328" s="226">
        <v>0.55000000000000004</v>
      </c>
      <c r="BH328" s="226">
        <v>1</v>
      </c>
      <c r="BI328" s="226">
        <v>0.55000000000000004</v>
      </c>
      <c r="BJ328" s="226">
        <v>0</v>
      </c>
      <c r="BK328" s="43">
        <v>0</v>
      </c>
      <c r="BM328" s="36" t="s">
        <v>1</v>
      </c>
      <c r="BN328" s="61">
        <v>32</v>
      </c>
      <c r="BO328" s="61" t="s">
        <v>886</v>
      </c>
      <c r="BP328" s="61">
        <v>250</v>
      </c>
      <c r="CF328" s="47" t="s">
        <v>12</v>
      </c>
      <c r="CR328" s="43">
        <v>0</v>
      </c>
      <c r="CS328" s="70">
        <v>0</v>
      </c>
      <c r="CT328" s="70">
        <v>0</v>
      </c>
      <c r="CU328" s="43">
        <v>1</v>
      </c>
      <c r="CV328" s="70">
        <v>0</v>
      </c>
      <c r="CW328" s="70">
        <v>0</v>
      </c>
      <c r="CX328" s="70">
        <v>0</v>
      </c>
      <c r="CY328" s="70">
        <v>0</v>
      </c>
      <c r="CZ328" s="70">
        <v>0</v>
      </c>
      <c r="DA328" s="70">
        <v>0</v>
      </c>
      <c r="DB328" s="70">
        <v>0</v>
      </c>
      <c r="DD328" s="43">
        <v>2</v>
      </c>
    </row>
    <row r="329" spans="1:108" s="43" customFormat="1" ht="15.75" thickBot="1" x14ac:dyDescent="0.3">
      <c r="A329" s="43">
        <v>528178</v>
      </c>
      <c r="B329" s="43" t="s">
        <v>6</v>
      </c>
      <c r="C329" s="225" t="s">
        <v>739</v>
      </c>
      <c r="D329" s="43">
        <v>32</v>
      </c>
      <c r="E329" s="43">
        <v>0</v>
      </c>
      <c r="F329" s="43">
        <v>32</v>
      </c>
      <c r="G329" s="43">
        <v>279</v>
      </c>
      <c r="H329" s="43">
        <v>0</v>
      </c>
      <c r="I329" s="43">
        <v>125</v>
      </c>
      <c r="J329" s="57" t="s">
        <v>806</v>
      </c>
      <c r="K329" s="57" t="s">
        <v>807</v>
      </c>
      <c r="L329" s="58">
        <v>45966.0206944444</v>
      </c>
      <c r="M329" s="43">
        <v>0</v>
      </c>
      <c r="N329" s="43">
        <v>0</v>
      </c>
      <c r="O329" s="43">
        <v>0</v>
      </c>
      <c r="S329" s="43" t="b">
        <v>0</v>
      </c>
      <c r="T329" s="43">
        <v>9.9999997764825804E-3</v>
      </c>
      <c r="U329" s="55">
        <v>2.7000000476837198</v>
      </c>
      <c r="V329" s="43">
        <v>9.9999997764825804E-3</v>
      </c>
      <c r="W329" s="43">
        <v>0</v>
      </c>
      <c r="X329" s="43">
        <v>1000</v>
      </c>
      <c r="Z329" s="43">
        <v>10</v>
      </c>
      <c r="AB329" s="55">
        <v>250</v>
      </c>
      <c r="AD329" s="43">
        <v>10</v>
      </c>
      <c r="AF329" s="43">
        <v>2000</v>
      </c>
      <c r="AG329" s="43">
        <v>2</v>
      </c>
      <c r="AH329" s="43">
        <v>2.7200000286102299</v>
      </c>
      <c r="AI329" s="43">
        <v>461</v>
      </c>
      <c r="AJ329" s="43">
        <v>0</v>
      </c>
      <c r="AK329" s="43">
        <v>317</v>
      </c>
      <c r="AM329" s="43" t="s">
        <v>2</v>
      </c>
      <c r="AO329" s="43">
        <v>250</v>
      </c>
      <c r="AW329" s="43" t="b">
        <v>0</v>
      </c>
      <c r="BF329" s="226">
        <v>1</v>
      </c>
      <c r="BG329" s="226">
        <v>0.55000000000000004</v>
      </c>
      <c r="BH329" s="226">
        <v>1</v>
      </c>
      <c r="BI329" s="226">
        <v>0.55000000000000004</v>
      </c>
      <c r="BJ329" s="226">
        <v>0</v>
      </c>
      <c r="BK329" s="43">
        <v>0</v>
      </c>
      <c r="BM329" s="36" t="s">
        <v>1</v>
      </c>
      <c r="BN329" s="61">
        <v>32</v>
      </c>
      <c r="BO329" s="61" t="s">
        <v>886</v>
      </c>
      <c r="BP329" s="61">
        <v>250</v>
      </c>
      <c r="CF329" s="47" t="s">
        <v>12</v>
      </c>
      <c r="CR329" s="43">
        <v>0</v>
      </c>
      <c r="CS329" s="70">
        <v>0</v>
      </c>
      <c r="CT329" s="70">
        <v>0</v>
      </c>
      <c r="CU329" s="43">
        <v>1</v>
      </c>
      <c r="CV329" s="70">
        <v>0</v>
      </c>
      <c r="CW329" s="70">
        <v>0</v>
      </c>
      <c r="CX329" s="70">
        <v>0</v>
      </c>
      <c r="CY329" s="70">
        <v>0</v>
      </c>
      <c r="CZ329" s="70">
        <v>0</v>
      </c>
      <c r="DA329" s="70">
        <v>0</v>
      </c>
      <c r="DB329" s="70">
        <v>0</v>
      </c>
      <c r="DD329" s="43">
        <v>2</v>
      </c>
    </row>
    <row r="330" spans="1:108" s="43" customFormat="1" ht="15.75" thickBot="1" x14ac:dyDescent="0.3">
      <c r="A330" s="43">
        <v>528145</v>
      </c>
      <c r="B330" s="43" t="s">
        <v>6</v>
      </c>
      <c r="C330" s="225" t="s">
        <v>739</v>
      </c>
      <c r="D330" s="43">
        <v>32</v>
      </c>
      <c r="E330" s="43">
        <v>0</v>
      </c>
      <c r="F330" s="43">
        <v>32</v>
      </c>
      <c r="G330" s="43">
        <v>246</v>
      </c>
      <c r="H330" s="43">
        <v>0</v>
      </c>
      <c r="I330" s="43">
        <v>125</v>
      </c>
      <c r="J330" s="57" t="s">
        <v>808</v>
      </c>
      <c r="K330" s="57" t="s">
        <v>809</v>
      </c>
      <c r="L330" s="58">
        <v>45966.007627314801</v>
      </c>
      <c r="M330" s="43">
        <v>0</v>
      </c>
      <c r="N330" s="43">
        <v>0</v>
      </c>
      <c r="O330" s="43">
        <v>0</v>
      </c>
      <c r="S330" s="43" t="b">
        <v>0</v>
      </c>
      <c r="T330" s="43">
        <v>9.9999997764825804E-3</v>
      </c>
      <c r="U330" s="55">
        <v>2.7000000476837198</v>
      </c>
      <c r="V330" s="43">
        <v>9.9999997764825804E-3</v>
      </c>
      <c r="W330" s="43">
        <v>0</v>
      </c>
      <c r="X330" s="43">
        <v>1000</v>
      </c>
      <c r="Z330" s="43">
        <v>10</v>
      </c>
      <c r="AB330" s="55">
        <v>250</v>
      </c>
      <c r="AD330" s="43">
        <v>10</v>
      </c>
      <c r="AF330" s="43">
        <v>2000</v>
      </c>
      <c r="AG330" s="43">
        <v>2</v>
      </c>
      <c r="AH330" s="43">
        <v>2.7200000286102299</v>
      </c>
      <c r="AI330" s="43">
        <v>465</v>
      </c>
      <c r="AJ330" s="43">
        <v>0</v>
      </c>
      <c r="AK330" s="43">
        <v>321</v>
      </c>
      <c r="AM330" s="43" t="s">
        <v>2</v>
      </c>
      <c r="AO330" s="43">
        <v>250</v>
      </c>
      <c r="AW330" s="43" t="b">
        <v>0</v>
      </c>
      <c r="BF330" s="226">
        <v>1</v>
      </c>
      <c r="BG330" s="226">
        <v>0.55000000000000004</v>
      </c>
      <c r="BH330" s="226">
        <v>1</v>
      </c>
      <c r="BI330" s="226">
        <v>0.55000000000000004</v>
      </c>
      <c r="BJ330" s="226">
        <v>0</v>
      </c>
      <c r="BK330" s="43">
        <v>0</v>
      </c>
      <c r="BM330" s="36" t="s">
        <v>1</v>
      </c>
      <c r="BN330" s="61">
        <v>32</v>
      </c>
      <c r="BO330" s="61" t="s">
        <v>886</v>
      </c>
      <c r="BP330" s="61">
        <v>250</v>
      </c>
      <c r="CF330" s="47" t="s">
        <v>12</v>
      </c>
      <c r="CR330" s="43">
        <v>0</v>
      </c>
      <c r="CS330" s="70">
        <v>0</v>
      </c>
      <c r="CT330" s="70">
        <v>0</v>
      </c>
      <c r="CU330" s="43">
        <v>1</v>
      </c>
      <c r="CV330" s="70">
        <v>0</v>
      </c>
      <c r="CW330" s="70">
        <v>0</v>
      </c>
      <c r="CX330" s="70">
        <v>0</v>
      </c>
      <c r="CY330" s="70">
        <v>0</v>
      </c>
      <c r="CZ330" s="70">
        <v>0</v>
      </c>
      <c r="DA330" s="70">
        <v>0</v>
      </c>
      <c r="DB330" s="70">
        <v>0</v>
      </c>
      <c r="DD330" s="43">
        <v>2</v>
      </c>
    </row>
    <row r="331" spans="1:108" s="43" customFormat="1" ht="15.75" thickBot="1" x14ac:dyDescent="0.3">
      <c r="A331" s="43">
        <v>528146</v>
      </c>
      <c r="B331" s="43" t="s">
        <v>6</v>
      </c>
      <c r="C331" s="225" t="s">
        <v>739</v>
      </c>
      <c r="D331" s="43">
        <v>32</v>
      </c>
      <c r="E331" s="43">
        <v>0</v>
      </c>
      <c r="F331" s="43">
        <v>32</v>
      </c>
      <c r="G331" s="43">
        <v>247</v>
      </c>
      <c r="H331" s="43">
        <v>0</v>
      </c>
      <c r="I331" s="43">
        <v>125</v>
      </c>
      <c r="J331" s="57" t="s">
        <v>810</v>
      </c>
      <c r="K331" s="57" t="s">
        <v>811</v>
      </c>
      <c r="L331" s="58">
        <v>45966.007708333302</v>
      </c>
      <c r="M331" s="43">
        <v>0</v>
      </c>
      <c r="N331" s="43">
        <v>0</v>
      </c>
      <c r="O331" s="43">
        <v>0</v>
      </c>
      <c r="S331" s="43" t="b">
        <v>0</v>
      </c>
      <c r="T331" s="43">
        <v>9.9999997764825804E-3</v>
      </c>
      <c r="U331" s="55">
        <v>2.7000000476837198</v>
      </c>
      <c r="V331" s="43">
        <v>9.9999997764825804E-3</v>
      </c>
      <c r="W331" s="43">
        <v>0</v>
      </c>
      <c r="X331" s="43">
        <v>1000</v>
      </c>
      <c r="Z331" s="43">
        <v>10</v>
      </c>
      <c r="AB331" s="55">
        <v>250</v>
      </c>
      <c r="AD331" s="43">
        <v>10</v>
      </c>
      <c r="AF331" s="43">
        <v>2000</v>
      </c>
      <c r="AG331" s="43">
        <v>2</v>
      </c>
      <c r="AH331" s="43">
        <v>2.7200000286102299</v>
      </c>
      <c r="AI331" s="43">
        <v>474</v>
      </c>
      <c r="AJ331" s="43">
        <v>0</v>
      </c>
      <c r="AK331" s="43">
        <v>326</v>
      </c>
      <c r="AM331" s="43" t="s">
        <v>2</v>
      </c>
      <c r="AO331" s="43">
        <v>250</v>
      </c>
      <c r="AW331" s="43" t="b">
        <v>0</v>
      </c>
      <c r="BF331" s="226">
        <v>1</v>
      </c>
      <c r="BG331" s="226">
        <v>0.55000000000000004</v>
      </c>
      <c r="BH331" s="226">
        <v>1</v>
      </c>
      <c r="BI331" s="226">
        <v>0.55000000000000004</v>
      </c>
      <c r="BJ331" s="226">
        <v>0</v>
      </c>
      <c r="BK331" s="43">
        <v>0</v>
      </c>
      <c r="BM331" s="36" t="s">
        <v>1</v>
      </c>
      <c r="BN331" s="61">
        <v>32</v>
      </c>
      <c r="BO331" s="61" t="s">
        <v>886</v>
      </c>
      <c r="BP331" s="61">
        <v>250</v>
      </c>
      <c r="CF331" s="47" t="s">
        <v>12</v>
      </c>
      <c r="CR331" s="43">
        <v>0</v>
      </c>
      <c r="CS331" s="70">
        <v>0</v>
      </c>
      <c r="CT331" s="70">
        <v>0</v>
      </c>
      <c r="CU331" s="43">
        <v>1</v>
      </c>
      <c r="CV331" s="70">
        <v>0</v>
      </c>
      <c r="CW331" s="70">
        <v>0</v>
      </c>
      <c r="CX331" s="70">
        <v>0</v>
      </c>
      <c r="CY331" s="70">
        <v>0</v>
      </c>
      <c r="CZ331" s="70">
        <v>0</v>
      </c>
      <c r="DA331" s="70">
        <v>0</v>
      </c>
      <c r="DB331" s="70">
        <v>0</v>
      </c>
      <c r="DD331" s="43">
        <v>2</v>
      </c>
    </row>
    <row r="332" spans="1:108" s="43" customFormat="1" ht="15.75" thickBot="1" x14ac:dyDescent="0.3">
      <c r="A332" s="43">
        <v>528111</v>
      </c>
      <c r="B332" s="43" t="s">
        <v>6</v>
      </c>
      <c r="C332" s="225" t="s">
        <v>739</v>
      </c>
      <c r="D332" s="43">
        <v>32</v>
      </c>
      <c r="E332" s="43">
        <v>0</v>
      </c>
      <c r="F332" s="43">
        <v>32</v>
      </c>
      <c r="G332" s="43">
        <v>212</v>
      </c>
      <c r="H332" s="43">
        <v>0</v>
      </c>
      <c r="I332" s="43">
        <v>125</v>
      </c>
      <c r="J332" s="57" t="s">
        <v>812</v>
      </c>
      <c r="K332" s="57" t="s">
        <v>813</v>
      </c>
      <c r="L332" s="58">
        <v>45966.002592592602</v>
      </c>
      <c r="M332" s="43">
        <v>0</v>
      </c>
      <c r="N332" s="43">
        <v>0</v>
      </c>
      <c r="O332" s="43">
        <v>0</v>
      </c>
      <c r="S332" s="43" t="b">
        <v>0</v>
      </c>
      <c r="T332" s="43">
        <v>9.9999997764825804E-3</v>
      </c>
      <c r="U332" s="55">
        <v>2.7000000476837198</v>
      </c>
      <c r="V332" s="43">
        <v>9.9999997764825804E-3</v>
      </c>
      <c r="W332" s="43">
        <v>0</v>
      </c>
      <c r="X332" s="43">
        <v>1000</v>
      </c>
      <c r="Z332" s="43">
        <v>10</v>
      </c>
      <c r="AB332" s="55">
        <v>250</v>
      </c>
      <c r="AD332" s="43">
        <v>10</v>
      </c>
      <c r="AF332" s="43">
        <v>2000</v>
      </c>
      <c r="AG332" s="43">
        <v>2</v>
      </c>
      <c r="AH332" s="43">
        <v>2.7200000286102299</v>
      </c>
      <c r="AI332" s="43">
        <v>474</v>
      </c>
      <c r="AJ332" s="43">
        <v>0</v>
      </c>
      <c r="AK332" s="43">
        <v>325</v>
      </c>
      <c r="AM332" s="43" t="s">
        <v>2</v>
      </c>
      <c r="AO332" s="43">
        <v>250</v>
      </c>
      <c r="AW332" s="43" t="b">
        <v>0</v>
      </c>
      <c r="BF332" s="226">
        <v>1</v>
      </c>
      <c r="BG332" s="226">
        <v>0.55000000000000004</v>
      </c>
      <c r="BH332" s="226">
        <v>1</v>
      </c>
      <c r="BI332" s="226">
        <v>0.55000000000000004</v>
      </c>
      <c r="BJ332" s="226">
        <v>0</v>
      </c>
      <c r="BK332" s="43">
        <v>0</v>
      </c>
      <c r="BM332" s="36" t="s">
        <v>1</v>
      </c>
      <c r="BN332" s="61">
        <v>32</v>
      </c>
      <c r="BO332" s="61" t="s">
        <v>886</v>
      </c>
      <c r="BP332" s="61">
        <v>250</v>
      </c>
      <c r="CF332" s="47" t="s">
        <v>12</v>
      </c>
      <c r="CR332" s="43">
        <v>0</v>
      </c>
      <c r="CS332" s="70">
        <v>0</v>
      </c>
      <c r="CT332" s="70">
        <v>0</v>
      </c>
      <c r="CU332" s="43">
        <v>1</v>
      </c>
      <c r="CV332" s="70">
        <v>0</v>
      </c>
      <c r="CW332" s="70">
        <v>0</v>
      </c>
      <c r="CX332" s="70">
        <v>0</v>
      </c>
      <c r="CY332" s="70">
        <v>0</v>
      </c>
      <c r="CZ332" s="70">
        <v>0</v>
      </c>
      <c r="DA332" s="70">
        <v>0</v>
      </c>
      <c r="DB332" s="70">
        <v>0</v>
      </c>
      <c r="DD332" s="43">
        <v>2</v>
      </c>
    </row>
    <row r="333" spans="1:108" s="43" customFormat="1" ht="15.75" thickBot="1" x14ac:dyDescent="0.3">
      <c r="A333" s="43">
        <v>528112</v>
      </c>
      <c r="B333" s="43" t="s">
        <v>6</v>
      </c>
      <c r="C333" s="225" t="s">
        <v>739</v>
      </c>
      <c r="D333" s="43">
        <v>32</v>
      </c>
      <c r="E333" s="43">
        <v>0</v>
      </c>
      <c r="F333" s="43">
        <v>32</v>
      </c>
      <c r="G333" s="43">
        <v>213</v>
      </c>
      <c r="H333" s="43">
        <v>0</v>
      </c>
      <c r="I333" s="43">
        <v>125</v>
      </c>
      <c r="J333" s="57" t="s">
        <v>814</v>
      </c>
      <c r="K333" s="57" t="s">
        <v>815</v>
      </c>
      <c r="L333" s="58">
        <v>45966.002662036997</v>
      </c>
      <c r="M333" s="43">
        <v>0</v>
      </c>
      <c r="N333" s="43">
        <v>0</v>
      </c>
      <c r="O333" s="43">
        <v>0</v>
      </c>
      <c r="S333" s="43" t="b">
        <v>0</v>
      </c>
      <c r="T333" s="43">
        <v>9.9999997764825804E-3</v>
      </c>
      <c r="U333" s="55">
        <v>2.7000000476837198</v>
      </c>
      <c r="V333" s="43">
        <v>9.9999997764825804E-3</v>
      </c>
      <c r="W333" s="43">
        <v>0</v>
      </c>
      <c r="X333" s="43">
        <v>1000</v>
      </c>
      <c r="Z333" s="43">
        <v>10</v>
      </c>
      <c r="AB333" s="55">
        <v>250</v>
      </c>
      <c r="AD333" s="43">
        <v>10</v>
      </c>
      <c r="AF333" s="43">
        <v>2000</v>
      </c>
      <c r="AG333" s="43">
        <v>2</v>
      </c>
      <c r="AH333" s="43">
        <v>2.7200000286102299</v>
      </c>
      <c r="AI333" s="43">
        <v>474</v>
      </c>
      <c r="AJ333" s="43">
        <v>0</v>
      </c>
      <c r="AK333" s="43">
        <v>327</v>
      </c>
      <c r="AM333" s="43" t="s">
        <v>2</v>
      </c>
      <c r="AO333" s="43">
        <v>250</v>
      </c>
      <c r="AW333" s="43" t="b">
        <v>0</v>
      </c>
      <c r="BF333" s="226">
        <v>1</v>
      </c>
      <c r="BG333" s="226">
        <v>0.55000000000000004</v>
      </c>
      <c r="BH333" s="226">
        <v>1</v>
      </c>
      <c r="BI333" s="226">
        <v>0.55000000000000004</v>
      </c>
      <c r="BJ333" s="226">
        <v>0</v>
      </c>
      <c r="BK333" s="43">
        <v>0</v>
      </c>
      <c r="BM333" s="36" t="s">
        <v>1</v>
      </c>
      <c r="BN333" s="61">
        <v>32</v>
      </c>
      <c r="BO333" s="61" t="s">
        <v>886</v>
      </c>
      <c r="BP333" s="61">
        <v>250</v>
      </c>
      <c r="CF333" s="47" t="s">
        <v>12</v>
      </c>
      <c r="CR333" s="43">
        <v>0</v>
      </c>
      <c r="CS333" s="70">
        <v>0</v>
      </c>
      <c r="CT333" s="70">
        <v>0</v>
      </c>
      <c r="CU333" s="43">
        <v>1</v>
      </c>
      <c r="CV333" s="70">
        <v>0</v>
      </c>
      <c r="CW333" s="70">
        <v>0</v>
      </c>
      <c r="CX333" s="70">
        <v>0</v>
      </c>
      <c r="CY333" s="70">
        <v>0</v>
      </c>
      <c r="CZ333" s="70">
        <v>0</v>
      </c>
      <c r="DA333" s="70">
        <v>0</v>
      </c>
      <c r="DB333" s="70">
        <v>0</v>
      </c>
      <c r="DD333" s="43">
        <v>2</v>
      </c>
    </row>
    <row r="334" spans="1:108" s="43" customFormat="1" ht="15.75" thickBot="1" x14ac:dyDescent="0.3">
      <c r="A334" s="43">
        <v>528113</v>
      </c>
      <c r="B334" s="43" t="s">
        <v>6</v>
      </c>
      <c r="C334" s="225" t="s">
        <v>739</v>
      </c>
      <c r="D334" s="43">
        <v>32</v>
      </c>
      <c r="E334" s="43">
        <v>0</v>
      </c>
      <c r="F334" s="43">
        <v>32</v>
      </c>
      <c r="G334" s="43">
        <v>214</v>
      </c>
      <c r="H334" s="43">
        <v>0</v>
      </c>
      <c r="I334" s="43">
        <v>125</v>
      </c>
      <c r="J334" s="57" t="s">
        <v>816</v>
      </c>
      <c r="K334" s="57" t="s">
        <v>817</v>
      </c>
      <c r="L334" s="58">
        <v>45966.002731481502</v>
      </c>
      <c r="M334" s="43">
        <v>0</v>
      </c>
      <c r="N334" s="43">
        <v>0</v>
      </c>
      <c r="O334" s="43">
        <v>0</v>
      </c>
      <c r="S334" s="43" t="b">
        <v>0</v>
      </c>
      <c r="T334" s="43">
        <v>9.9999997764825804E-3</v>
      </c>
      <c r="U334" s="55">
        <v>2.7000000476837198</v>
      </c>
      <c r="V334" s="43">
        <v>9.9999997764825804E-3</v>
      </c>
      <c r="W334" s="43">
        <v>0</v>
      </c>
      <c r="X334" s="43">
        <v>1000</v>
      </c>
      <c r="Z334" s="43">
        <v>10</v>
      </c>
      <c r="AB334" s="55">
        <v>250</v>
      </c>
      <c r="AD334" s="43">
        <v>10</v>
      </c>
      <c r="AF334" s="43">
        <v>2000</v>
      </c>
      <c r="AG334" s="43">
        <v>2</v>
      </c>
      <c r="AH334" s="43">
        <v>2.7200000286102299</v>
      </c>
      <c r="AI334" s="43">
        <v>470</v>
      </c>
      <c r="AJ334" s="43">
        <v>0</v>
      </c>
      <c r="AK334" s="43">
        <v>322</v>
      </c>
      <c r="AM334" s="43" t="s">
        <v>2</v>
      </c>
      <c r="AO334" s="43">
        <v>250</v>
      </c>
      <c r="AW334" s="43" t="b">
        <v>0</v>
      </c>
      <c r="BF334" s="226">
        <v>1</v>
      </c>
      <c r="BG334" s="226">
        <v>0.55000000000000004</v>
      </c>
      <c r="BH334" s="226">
        <v>1</v>
      </c>
      <c r="BI334" s="226">
        <v>0.55000000000000004</v>
      </c>
      <c r="BJ334" s="226">
        <v>0</v>
      </c>
      <c r="BK334" s="43">
        <v>0</v>
      </c>
      <c r="BM334" s="36" t="s">
        <v>1</v>
      </c>
      <c r="BN334" s="61">
        <v>32</v>
      </c>
      <c r="BO334" s="61" t="s">
        <v>886</v>
      </c>
      <c r="BP334" s="61">
        <v>250</v>
      </c>
      <c r="CF334" s="47" t="s">
        <v>12</v>
      </c>
      <c r="CR334" s="43">
        <v>0</v>
      </c>
      <c r="CS334" s="70">
        <v>0</v>
      </c>
      <c r="CT334" s="70">
        <v>0</v>
      </c>
      <c r="CU334" s="43">
        <v>1</v>
      </c>
      <c r="CV334" s="70">
        <v>0</v>
      </c>
      <c r="CW334" s="70">
        <v>0</v>
      </c>
      <c r="CX334" s="70">
        <v>0</v>
      </c>
      <c r="CY334" s="70">
        <v>0</v>
      </c>
      <c r="CZ334" s="70">
        <v>0</v>
      </c>
      <c r="DA334" s="70">
        <v>0</v>
      </c>
      <c r="DB334" s="70">
        <v>0</v>
      </c>
      <c r="DD334" s="43">
        <v>2</v>
      </c>
    </row>
    <row r="335" spans="1:108" s="43" customFormat="1" ht="15.75" thickBot="1" x14ac:dyDescent="0.3">
      <c r="A335" s="43">
        <v>528114</v>
      </c>
      <c r="B335" s="43" t="s">
        <v>6</v>
      </c>
      <c r="C335" s="225" t="s">
        <v>739</v>
      </c>
      <c r="D335" s="43">
        <v>32</v>
      </c>
      <c r="E335" s="43">
        <v>0</v>
      </c>
      <c r="F335" s="43">
        <v>32</v>
      </c>
      <c r="G335" s="43">
        <v>215</v>
      </c>
      <c r="H335" s="43">
        <v>0</v>
      </c>
      <c r="I335" s="43">
        <v>125</v>
      </c>
      <c r="J335" s="57" t="s">
        <v>818</v>
      </c>
      <c r="K335" s="57" t="s">
        <v>819</v>
      </c>
      <c r="L335" s="58">
        <v>45966.002800925897</v>
      </c>
      <c r="M335" s="43">
        <v>0</v>
      </c>
      <c r="N335" s="43">
        <v>0</v>
      </c>
      <c r="O335" s="43">
        <v>0</v>
      </c>
      <c r="S335" s="43" t="b">
        <v>0</v>
      </c>
      <c r="T335" s="43">
        <v>9.9999997764825804E-3</v>
      </c>
      <c r="U335" s="55">
        <v>2.7000000476837198</v>
      </c>
      <c r="V335" s="43">
        <v>9.9999997764825804E-3</v>
      </c>
      <c r="W335" s="43">
        <v>0</v>
      </c>
      <c r="X335" s="43">
        <v>1000</v>
      </c>
      <c r="Z335" s="43">
        <v>10</v>
      </c>
      <c r="AB335" s="55">
        <v>250</v>
      </c>
      <c r="AD335" s="43">
        <v>10</v>
      </c>
      <c r="AF335" s="43">
        <v>2000</v>
      </c>
      <c r="AG335" s="43">
        <v>2</v>
      </c>
      <c r="AH335" s="43">
        <v>2.7200000286102299</v>
      </c>
      <c r="AI335" s="43">
        <v>470</v>
      </c>
      <c r="AJ335" s="43">
        <v>0</v>
      </c>
      <c r="AK335" s="43">
        <v>322</v>
      </c>
      <c r="AM335" s="43" t="s">
        <v>2</v>
      </c>
      <c r="AO335" s="43">
        <v>250</v>
      </c>
      <c r="AW335" s="43" t="b">
        <v>0</v>
      </c>
      <c r="BF335" s="226">
        <v>1</v>
      </c>
      <c r="BG335" s="226">
        <v>0.55000000000000004</v>
      </c>
      <c r="BH335" s="226">
        <v>1</v>
      </c>
      <c r="BI335" s="226">
        <v>0.55000000000000004</v>
      </c>
      <c r="BJ335" s="226">
        <v>0</v>
      </c>
      <c r="BK335" s="43">
        <v>0</v>
      </c>
      <c r="BM335" s="36" t="s">
        <v>1</v>
      </c>
      <c r="BN335" s="61">
        <v>32</v>
      </c>
      <c r="BO335" s="61" t="s">
        <v>886</v>
      </c>
      <c r="BP335" s="61">
        <v>250</v>
      </c>
      <c r="CF335" s="47" t="s">
        <v>12</v>
      </c>
      <c r="CR335" s="43">
        <v>0</v>
      </c>
      <c r="CS335" s="70">
        <v>0</v>
      </c>
      <c r="CT335" s="70">
        <v>0</v>
      </c>
      <c r="CU335" s="43">
        <v>1</v>
      </c>
      <c r="CV335" s="70">
        <v>0</v>
      </c>
      <c r="CW335" s="70">
        <v>0</v>
      </c>
      <c r="CX335" s="70">
        <v>0</v>
      </c>
      <c r="CY335" s="70">
        <v>0</v>
      </c>
      <c r="CZ335" s="70">
        <v>0</v>
      </c>
      <c r="DA335" s="70">
        <v>0</v>
      </c>
      <c r="DB335" s="70">
        <v>0</v>
      </c>
      <c r="DD335" s="43">
        <v>2</v>
      </c>
    </row>
    <row r="336" spans="1:108" s="43" customFormat="1" ht="15.75" thickBot="1" x14ac:dyDescent="0.3">
      <c r="A336" s="43">
        <v>528115</v>
      </c>
      <c r="B336" s="43" t="s">
        <v>6</v>
      </c>
      <c r="C336" s="225" t="s">
        <v>739</v>
      </c>
      <c r="D336" s="43">
        <v>32</v>
      </c>
      <c r="E336" s="43">
        <v>0</v>
      </c>
      <c r="F336" s="43">
        <v>32</v>
      </c>
      <c r="G336" s="43">
        <v>216</v>
      </c>
      <c r="H336" s="43">
        <v>0</v>
      </c>
      <c r="I336" s="43">
        <v>125</v>
      </c>
      <c r="J336" s="57" t="s">
        <v>820</v>
      </c>
      <c r="K336" s="57" t="s">
        <v>821</v>
      </c>
      <c r="L336" s="58">
        <v>45966.002881944398</v>
      </c>
      <c r="M336" s="43">
        <v>0</v>
      </c>
      <c r="N336" s="43">
        <v>0</v>
      </c>
      <c r="O336" s="43">
        <v>0</v>
      </c>
      <c r="S336" s="43" t="b">
        <v>0</v>
      </c>
      <c r="T336" s="43">
        <v>9.9999997764825804E-3</v>
      </c>
      <c r="U336" s="55">
        <v>2.7000000476837198</v>
      </c>
      <c r="V336" s="43">
        <v>9.9999997764825804E-3</v>
      </c>
      <c r="W336" s="43">
        <v>0</v>
      </c>
      <c r="X336" s="43">
        <v>1000</v>
      </c>
      <c r="Z336" s="43">
        <v>10</v>
      </c>
      <c r="AB336" s="55">
        <v>250</v>
      </c>
      <c r="AD336" s="43">
        <v>10</v>
      </c>
      <c r="AF336" s="43">
        <v>2000</v>
      </c>
      <c r="AG336" s="43">
        <v>2</v>
      </c>
      <c r="AH336" s="43">
        <v>2.7200000286102299</v>
      </c>
      <c r="AI336" s="43">
        <v>470</v>
      </c>
      <c r="AJ336" s="43">
        <v>0</v>
      </c>
      <c r="AK336" s="43">
        <v>323</v>
      </c>
      <c r="AM336" s="43" t="s">
        <v>2</v>
      </c>
      <c r="AO336" s="43">
        <v>250</v>
      </c>
      <c r="AW336" s="43" t="b">
        <v>0</v>
      </c>
      <c r="BF336" s="226">
        <v>1</v>
      </c>
      <c r="BG336" s="226">
        <v>0.55000000000000004</v>
      </c>
      <c r="BH336" s="226">
        <v>1</v>
      </c>
      <c r="BI336" s="226">
        <v>0.55000000000000004</v>
      </c>
      <c r="BJ336" s="226">
        <v>0</v>
      </c>
      <c r="BK336" s="43">
        <v>0</v>
      </c>
      <c r="BM336" s="36" t="s">
        <v>1</v>
      </c>
      <c r="BN336" s="61">
        <v>32</v>
      </c>
      <c r="BO336" s="61" t="s">
        <v>886</v>
      </c>
      <c r="BP336" s="61">
        <v>250</v>
      </c>
      <c r="CF336" s="47" t="s">
        <v>12</v>
      </c>
      <c r="CR336" s="43">
        <v>0</v>
      </c>
      <c r="CS336" s="70">
        <v>0</v>
      </c>
      <c r="CT336" s="70">
        <v>0</v>
      </c>
      <c r="CU336" s="43">
        <v>1</v>
      </c>
      <c r="CV336" s="70">
        <v>0</v>
      </c>
      <c r="CW336" s="70">
        <v>0</v>
      </c>
      <c r="CX336" s="70">
        <v>0</v>
      </c>
      <c r="CY336" s="70">
        <v>0</v>
      </c>
      <c r="CZ336" s="70">
        <v>0</v>
      </c>
      <c r="DA336" s="70">
        <v>0</v>
      </c>
      <c r="DB336" s="70">
        <v>0</v>
      </c>
      <c r="DD336" s="43">
        <v>2</v>
      </c>
    </row>
    <row r="337" spans="1:108" s="43" customFormat="1" ht="15.75" thickBot="1" x14ac:dyDescent="0.3">
      <c r="A337" s="43">
        <v>528116</v>
      </c>
      <c r="B337" s="43" t="s">
        <v>6</v>
      </c>
      <c r="C337" s="225" t="s">
        <v>739</v>
      </c>
      <c r="D337" s="43">
        <v>32</v>
      </c>
      <c r="E337" s="43">
        <v>0</v>
      </c>
      <c r="F337" s="43">
        <v>32</v>
      </c>
      <c r="G337" s="43">
        <v>217</v>
      </c>
      <c r="H337" s="43">
        <v>0</v>
      </c>
      <c r="I337" s="43">
        <v>125</v>
      </c>
      <c r="J337" s="57" t="s">
        <v>822</v>
      </c>
      <c r="K337" s="57" t="s">
        <v>823</v>
      </c>
      <c r="L337" s="58">
        <v>45966.002951388902</v>
      </c>
      <c r="M337" s="43">
        <v>0</v>
      </c>
      <c r="N337" s="43">
        <v>0</v>
      </c>
      <c r="O337" s="43">
        <v>0</v>
      </c>
      <c r="S337" s="43" t="b">
        <v>0</v>
      </c>
      <c r="T337" s="43">
        <v>9.9999997764825804E-3</v>
      </c>
      <c r="U337" s="55">
        <v>2.7000000476837198</v>
      </c>
      <c r="V337" s="43">
        <v>9.9999997764825804E-3</v>
      </c>
      <c r="W337" s="43">
        <v>0</v>
      </c>
      <c r="X337" s="43">
        <v>1000</v>
      </c>
      <c r="Z337" s="43">
        <v>10</v>
      </c>
      <c r="AB337" s="55">
        <v>250</v>
      </c>
      <c r="AD337" s="43">
        <v>10</v>
      </c>
      <c r="AF337" s="43">
        <v>2000</v>
      </c>
      <c r="AG337" s="43">
        <v>2</v>
      </c>
      <c r="AH337" s="43">
        <v>2.7200000286102299</v>
      </c>
      <c r="AI337" s="43">
        <v>470</v>
      </c>
      <c r="AJ337" s="43">
        <v>0</v>
      </c>
      <c r="AK337" s="43">
        <v>323</v>
      </c>
      <c r="AM337" s="43" t="s">
        <v>2</v>
      </c>
      <c r="AO337" s="43">
        <v>250</v>
      </c>
      <c r="AW337" s="43" t="b">
        <v>0</v>
      </c>
      <c r="BF337" s="226">
        <v>1</v>
      </c>
      <c r="BG337" s="226">
        <v>0.55000000000000004</v>
      </c>
      <c r="BH337" s="226">
        <v>1</v>
      </c>
      <c r="BI337" s="226">
        <v>0.55000000000000004</v>
      </c>
      <c r="BJ337" s="226">
        <v>0</v>
      </c>
      <c r="BK337" s="43">
        <v>0</v>
      </c>
      <c r="BM337" s="36" t="s">
        <v>1</v>
      </c>
      <c r="BN337" s="61">
        <v>32</v>
      </c>
      <c r="BO337" s="61" t="s">
        <v>886</v>
      </c>
      <c r="BP337" s="61">
        <v>250</v>
      </c>
      <c r="CF337" s="47" t="s">
        <v>12</v>
      </c>
      <c r="CR337" s="43">
        <v>0</v>
      </c>
      <c r="CS337" s="70">
        <v>0</v>
      </c>
      <c r="CT337" s="70">
        <v>0</v>
      </c>
      <c r="CU337" s="43">
        <v>1</v>
      </c>
      <c r="CV337" s="70">
        <v>0</v>
      </c>
      <c r="CW337" s="70">
        <v>0</v>
      </c>
      <c r="CX337" s="70">
        <v>0</v>
      </c>
      <c r="CY337" s="70">
        <v>0</v>
      </c>
      <c r="CZ337" s="70">
        <v>0</v>
      </c>
      <c r="DA337" s="70">
        <v>0</v>
      </c>
      <c r="DB337" s="70">
        <v>0</v>
      </c>
      <c r="DD337" s="43">
        <v>2</v>
      </c>
    </row>
    <row r="338" spans="1:108" s="43" customFormat="1" ht="15.75" thickBot="1" x14ac:dyDescent="0.3">
      <c r="A338" s="43">
        <v>528083</v>
      </c>
      <c r="B338" s="43" t="s">
        <v>6</v>
      </c>
      <c r="C338" s="225" t="s">
        <v>739</v>
      </c>
      <c r="D338" s="43">
        <v>32</v>
      </c>
      <c r="E338" s="43">
        <v>0</v>
      </c>
      <c r="F338" s="43">
        <v>32</v>
      </c>
      <c r="G338" s="43">
        <v>184</v>
      </c>
      <c r="H338" s="43">
        <v>0</v>
      </c>
      <c r="I338" s="43">
        <v>125</v>
      </c>
      <c r="J338" s="57" t="s">
        <v>824</v>
      </c>
      <c r="K338" s="57" t="s">
        <v>825</v>
      </c>
      <c r="L338" s="58">
        <v>45965.988912036999</v>
      </c>
      <c r="M338" s="43">
        <v>0</v>
      </c>
      <c r="N338" s="43">
        <v>0</v>
      </c>
      <c r="O338" s="43">
        <v>0</v>
      </c>
      <c r="S338" s="43" t="b">
        <v>0</v>
      </c>
      <c r="T338" s="43">
        <v>9.9999997764825804E-3</v>
      </c>
      <c r="U338" s="55">
        <v>2.7000000476837198</v>
      </c>
      <c r="V338" s="43">
        <v>9.9999997764825804E-3</v>
      </c>
      <c r="W338" s="43">
        <v>0</v>
      </c>
      <c r="X338" s="43">
        <v>1000</v>
      </c>
      <c r="Z338" s="43">
        <v>10</v>
      </c>
      <c r="AB338" s="55">
        <v>250</v>
      </c>
      <c r="AD338" s="43">
        <v>10</v>
      </c>
      <c r="AF338" s="43">
        <v>2000</v>
      </c>
      <c r="AG338" s="43">
        <v>2</v>
      </c>
      <c r="AH338" s="43">
        <v>2.7300000190734899</v>
      </c>
      <c r="AI338" s="43">
        <v>478</v>
      </c>
      <c r="AJ338" s="43">
        <v>0</v>
      </c>
      <c r="AK338" s="43">
        <v>328</v>
      </c>
      <c r="AM338" s="43" t="s">
        <v>2</v>
      </c>
      <c r="AO338" s="43">
        <v>250</v>
      </c>
      <c r="AW338" s="43" t="b">
        <v>0</v>
      </c>
      <c r="BF338" s="226">
        <v>1</v>
      </c>
      <c r="BG338" s="226">
        <v>0.55000000000000004</v>
      </c>
      <c r="BH338" s="226">
        <v>1</v>
      </c>
      <c r="BI338" s="226">
        <v>0.55000000000000004</v>
      </c>
      <c r="BJ338" s="226">
        <v>0</v>
      </c>
      <c r="BK338" s="43">
        <v>0</v>
      </c>
      <c r="BM338" s="36" t="s">
        <v>1</v>
      </c>
      <c r="BN338" s="61">
        <v>32</v>
      </c>
      <c r="BO338" s="61" t="s">
        <v>886</v>
      </c>
      <c r="BP338" s="61">
        <v>250</v>
      </c>
      <c r="CF338" s="47" t="s">
        <v>12</v>
      </c>
      <c r="CR338" s="43">
        <v>0</v>
      </c>
      <c r="CS338" s="70">
        <v>0</v>
      </c>
      <c r="CT338" s="70">
        <v>0</v>
      </c>
      <c r="CU338" s="43">
        <v>1</v>
      </c>
      <c r="CV338" s="70">
        <v>0</v>
      </c>
      <c r="CW338" s="70">
        <v>0</v>
      </c>
      <c r="CX338" s="70">
        <v>0</v>
      </c>
      <c r="CY338" s="70">
        <v>0</v>
      </c>
      <c r="CZ338" s="70">
        <v>0</v>
      </c>
      <c r="DA338" s="70">
        <v>0</v>
      </c>
      <c r="DB338" s="70">
        <v>0</v>
      </c>
      <c r="DD338" s="43">
        <v>2</v>
      </c>
    </row>
    <row r="339" spans="1:108" s="43" customFormat="1" ht="15.75" thickBot="1" x14ac:dyDescent="0.3">
      <c r="A339" s="43">
        <v>528084</v>
      </c>
      <c r="B339" s="43" t="s">
        <v>6</v>
      </c>
      <c r="C339" s="225" t="s">
        <v>739</v>
      </c>
      <c r="D339" s="43">
        <v>32</v>
      </c>
      <c r="E339" s="43">
        <v>0</v>
      </c>
      <c r="F339" s="43">
        <v>32</v>
      </c>
      <c r="G339" s="43">
        <v>185</v>
      </c>
      <c r="H339" s="43">
        <v>0</v>
      </c>
      <c r="I339" s="43">
        <v>125</v>
      </c>
      <c r="J339" s="57" t="s">
        <v>826</v>
      </c>
      <c r="K339" s="57" t="s">
        <v>827</v>
      </c>
      <c r="L339" s="58">
        <v>45965.988981481503</v>
      </c>
      <c r="M339" s="43">
        <v>0</v>
      </c>
      <c r="N339" s="43">
        <v>0</v>
      </c>
      <c r="O339" s="43">
        <v>0</v>
      </c>
      <c r="S339" s="43" t="b">
        <v>0</v>
      </c>
      <c r="T339" s="43">
        <v>9.9999997764825804E-3</v>
      </c>
      <c r="U339" s="55">
        <v>2.7000000476837198</v>
      </c>
      <c r="V339" s="43">
        <v>9.9999997764825804E-3</v>
      </c>
      <c r="W339" s="43">
        <v>0</v>
      </c>
      <c r="X339" s="43">
        <v>1000</v>
      </c>
      <c r="Z339" s="43">
        <v>10</v>
      </c>
      <c r="AB339" s="55">
        <v>250</v>
      </c>
      <c r="AD339" s="43">
        <v>10</v>
      </c>
      <c r="AF339" s="43">
        <v>2000</v>
      </c>
      <c r="AG339" s="43">
        <v>2</v>
      </c>
      <c r="AH339" s="43">
        <v>2.7200000286102299</v>
      </c>
      <c r="AI339" s="43">
        <v>478</v>
      </c>
      <c r="AJ339" s="43">
        <v>0</v>
      </c>
      <c r="AK339" s="43">
        <v>330</v>
      </c>
      <c r="AM339" s="43" t="s">
        <v>2</v>
      </c>
      <c r="AO339" s="43">
        <v>250</v>
      </c>
      <c r="AW339" s="43" t="b">
        <v>0</v>
      </c>
      <c r="BF339" s="226">
        <v>1</v>
      </c>
      <c r="BG339" s="226">
        <v>0.55000000000000004</v>
      </c>
      <c r="BH339" s="226">
        <v>1</v>
      </c>
      <c r="BI339" s="226">
        <v>0.55000000000000004</v>
      </c>
      <c r="BJ339" s="226">
        <v>0</v>
      </c>
      <c r="BK339" s="43">
        <v>0</v>
      </c>
      <c r="BM339" s="36" t="s">
        <v>1</v>
      </c>
      <c r="BN339" s="61">
        <v>32</v>
      </c>
      <c r="BO339" s="61" t="s">
        <v>886</v>
      </c>
      <c r="BP339" s="61">
        <v>250</v>
      </c>
      <c r="CF339" s="47" t="s">
        <v>12</v>
      </c>
      <c r="CR339" s="43">
        <v>0</v>
      </c>
      <c r="CS339" s="70">
        <v>0</v>
      </c>
      <c r="CT339" s="70">
        <v>0</v>
      </c>
      <c r="CU339" s="43">
        <v>1</v>
      </c>
      <c r="CV339" s="70">
        <v>0</v>
      </c>
      <c r="CW339" s="70">
        <v>0</v>
      </c>
      <c r="CX339" s="70">
        <v>0</v>
      </c>
      <c r="CY339" s="70">
        <v>0</v>
      </c>
      <c r="CZ339" s="70">
        <v>0</v>
      </c>
      <c r="DA339" s="70">
        <v>0</v>
      </c>
      <c r="DB339" s="70">
        <v>0</v>
      </c>
      <c r="DD339" s="43">
        <v>2</v>
      </c>
    </row>
    <row r="340" spans="1:108" s="43" customFormat="1" ht="15.75" thickBot="1" x14ac:dyDescent="0.3">
      <c r="A340" s="43">
        <v>528049</v>
      </c>
      <c r="B340" s="43" t="s">
        <v>6</v>
      </c>
      <c r="C340" s="225" t="s">
        <v>739</v>
      </c>
      <c r="D340" s="43">
        <v>32</v>
      </c>
      <c r="E340" s="43">
        <v>0</v>
      </c>
      <c r="F340" s="43">
        <v>32</v>
      </c>
      <c r="G340" s="43">
        <v>150</v>
      </c>
      <c r="H340" s="43">
        <v>0</v>
      </c>
      <c r="I340" s="43">
        <v>125</v>
      </c>
      <c r="J340" s="57" t="s">
        <v>828</v>
      </c>
      <c r="K340" s="57" t="s">
        <v>829</v>
      </c>
      <c r="L340" s="58">
        <v>45965.983726851897</v>
      </c>
      <c r="M340" s="43">
        <v>0</v>
      </c>
      <c r="N340" s="43">
        <v>0</v>
      </c>
      <c r="O340" s="43">
        <v>0</v>
      </c>
      <c r="S340" s="43" t="b">
        <v>0</v>
      </c>
      <c r="T340" s="43">
        <v>9.9999997764825804E-3</v>
      </c>
      <c r="U340" s="55">
        <v>2.7000000476837198</v>
      </c>
      <c r="V340" s="43">
        <v>9.9999997764825804E-3</v>
      </c>
      <c r="W340" s="43">
        <v>0</v>
      </c>
      <c r="X340" s="43">
        <v>1000</v>
      </c>
      <c r="Z340" s="43">
        <v>10</v>
      </c>
      <c r="AB340" s="55">
        <v>250</v>
      </c>
      <c r="AD340" s="43">
        <v>10</v>
      </c>
      <c r="AF340" s="43">
        <v>2000</v>
      </c>
      <c r="AG340" s="43">
        <v>2</v>
      </c>
      <c r="AH340" s="43">
        <v>2.7300000190734899</v>
      </c>
      <c r="AI340" s="43">
        <v>474</v>
      </c>
      <c r="AJ340" s="43">
        <v>0</v>
      </c>
      <c r="AK340" s="43">
        <v>327</v>
      </c>
      <c r="AM340" s="43" t="s">
        <v>2</v>
      </c>
      <c r="AO340" s="43">
        <v>250</v>
      </c>
      <c r="AW340" s="43" t="b">
        <v>0</v>
      </c>
      <c r="BF340" s="226">
        <v>1</v>
      </c>
      <c r="BG340" s="226">
        <v>0.55000000000000004</v>
      </c>
      <c r="BH340" s="226">
        <v>1</v>
      </c>
      <c r="BI340" s="226">
        <v>0.55000000000000004</v>
      </c>
      <c r="BJ340" s="226">
        <v>0</v>
      </c>
      <c r="BK340" s="43">
        <v>0</v>
      </c>
      <c r="BM340" s="36" t="s">
        <v>1</v>
      </c>
      <c r="BN340" s="61">
        <v>32</v>
      </c>
      <c r="BO340" s="61" t="s">
        <v>886</v>
      </c>
      <c r="BP340" s="61">
        <v>250</v>
      </c>
      <c r="CF340" s="47" t="s">
        <v>12</v>
      </c>
      <c r="CR340" s="43">
        <v>0</v>
      </c>
      <c r="CS340" s="70">
        <v>0</v>
      </c>
      <c r="CT340" s="70">
        <v>0</v>
      </c>
      <c r="CU340" s="43">
        <v>1</v>
      </c>
      <c r="CV340" s="70">
        <v>0</v>
      </c>
      <c r="CW340" s="70">
        <v>0</v>
      </c>
      <c r="CX340" s="70">
        <v>0</v>
      </c>
      <c r="CY340" s="70">
        <v>0</v>
      </c>
      <c r="CZ340" s="70">
        <v>0</v>
      </c>
      <c r="DA340" s="70">
        <v>0</v>
      </c>
      <c r="DB340" s="70">
        <v>0</v>
      </c>
      <c r="DD340" s="43">
        <v>2</v>
      </c>
    </row>
    <row r="341" spans="1:108" s="43" customFormat="1" ht="15.75" thickBot="1" x14ac:dyDescent="0.3">
      <c r="A341" s="43">
        <v>528050</v>
      </c>
      <c r="B341" s="43" t="s">
        <v>6</v>
      </c>
      <c r="C341" s="225" t="s">
        <v>739</v>
      </c>
      <c r="D341" s="43">
        <v>32</v>
      </c>
      <c r="E341" s="43">
        <v>0</v>
      </c>
      <c r="F341" s="43">
        <v>32</v>
      </c>
      <c r="G341" s="43">
        <v>151</v>
      </c>
      <c r="H341" s="43">
        <v>0</v>
      </c>
      <c r="I341" s="43">
        <v>125</v>
      </c>
      <c r="J341" s="57" t="s">
        <v>830</v>
      </c>
      <c r="K341" s="57" t="s">
        <v>831</v>
      </c>
      <c r="L341" s="58">
        <v>45965.983796296299</v>
      </c>
      <c r="M341" s="43">
        <v>0</v>
      </c>
      <c r="N341" s="43">
        <v>0</v>
      </c>
      <c r="O341" s="43">
        <v>0</v>
      </c>
      <c r="S341" s="43" t="b">
        <v>0</v>
      </c>
      <c r="T341" s="43">
        <v>9.9999997764825804E-3</v>
      </c>
      <c r="U341" s="55">
        <v>2.7000000476837198</v>
      </c>
      <c r="V341" s="43">
        <v>9.9999997764825804E-3</v>
      </c>
      <c r="W341" s="43">
        <v>0</v>
      </c>
      <c r="X341" s="43">
        <v>1000</v>
      </c>
      <c r="Z341" s="43">
        <v>10</v>
      </c>
      <c r="AB341" s="55">
        <v>250</v>
      </c>
      <c r="AD341" s="43">
        <v>10</v>
      </c>
      <c r="AF341" s="43">
        <v>2000</v>
      </c>
      <c r="AG341" s="43">
        <v>2</v>
      </c>
      <c r="AH341" s="43">
        <v>2.7200000286102299</v>
      </c>
      <c r="AI341" s="43">
        <v>474</v>
      </c>
      <c r="AJ341" s="43">
        <v>0</v>
      </c>
      <c r="AK341" s="43">
        <v>327</v>
      </c>
      <c r="AM341" s="43" t="s">
        <v>2</v>
      </c>
      <c r="AO341" s="43">
        <v>250</v>
      </c>
      <c r="AW341" s="43" t="b">
        <v>0</v>
      </c>
      <c r="BF341" s="226">
        <v>1</v>
      </c>
      <c r="BG341" s="226">
        <v>0.55000000000000004</v>
      </c>
      <c r="BH341" s="226">
        <v>1</v>
      </c>
      <c r="BI341" s="226">
        <v>0.55000000000000004</v>
      </c>
      <c r="BJ341" s="226">
        <v>0</v>
      </c>
      <c r="BK341" s="43">
        <v>0</v>
      </c>
      <c r="BM341" s="36" t="s">
        <v>1</v>
      </c>
      <c r="BN341" s="61">
        <v>32</v>
      </c>
      <c r="BO341" s="61" t="s">
        <v>886</v>
      </c>
      <c r="BP341" s="61">
        <v>250</v>
      </c>
      <c r="CF341" s="47" t="s">
        <v>12</v>
      </c>
      <c r="CR341" s="43">
        <v>0</v>
      </c>
      <c r="CS341" s="70">
        <v>0</v>
      </c>
      <c r="CT341" s="70">
        <v>0</v>
      </c>
      <c r="CU341" s="43">
        <v>1</v>
      </c>
      <c r="CV341" s="70">
        <v>0</v>
      </c>
      <c r="CW341" s="70">
        <v>0</v>
      </c>
      <c r="CX341" s="70">
        <v>0</v>
      </c>
      <c r="CY341" s="70">
        <v>0</v>
      </c>
      <c r="CZ341" s="70">
        <v>0</v>
      </c>
      <c r="DA341" s="70">
        <v>0</v>
      </c>
      <c r="DB341" s="70">
        <v>0</v>
      </c>
      <c r="DD341" s="43">
        <v>2</v>
      </c>
    </row>
    <row r="342" spans="1:108" s="43" customFormat="1" ht="15.75" thickBot="1" x14ac:dyDescent="0.3">
      <c r="A342" s="43">
        <v>528051</v>
      </c>
      <c r="B342" s="43" t="s">
        <v>6</v>
      </c>
      <c r="C342" s="225" t="s">
        <v>739</v>
      </c>
      <c r="D342" s="43">
        <v>32</v>
      </c>
      <c r="E342" s="43">
        <v>0</v>
      </c>
      <c r="F342" s="43">
        <v>32</v>
      </c>
      <c r="G342" s="43">
        <v>152</v>
      </c>
      <c r="H342" s="43">
        <v>0</v>
      </c>
      <c r="I342" s="43">
        <v>125</v>
      </c>
      <c r="J342" s="57" t="s">
        <v>832</v>
      </c>
      <c r="K342" s="57" t="s">
        <v>833</v>
      </c>
      <c r="L342" s="58">
        <v>45965.983865740702</v>
      </c>
      <c r="M342" s="43">
        <v>0</v>
      </c>
      <c r="N342" s="43">
        <v>0</v>
      </c>
      <c r="O342" s="43">
        <v>0</v>
      </c>
      <c r="S342" s="43" t="b">
        <v>0</v>
      </c>
      <c r="T342" s="43">
        <v>9.9999997764825804E-3</v>
      </c>
      <c r="U342" s="55">
        <v>2.7000000476837198</v>
      </c>
      <c r="V342" s="43">
        <v>9.9999997764825804E-3</v>
      </c>
      <c r="W342" s="43">
        <v>0</v>
      </c>
      <c r="X342" s="43">
        <v>1000</v>
      </c>
      <c r="Z342" s="43">
        <v>10</v>
      </c>
      <c r="AB342" s="55">
        <v>250</v>
      </c>
      <c r="AD342" s="43">
        <v>10</v>
      </c>
      <c r="AF342" s="43">
        <v>2000</v>
      </c>
      <c r="AG342" s="43">
        <v>2</v>
      </c>
      <c r="AH342" s="43">
        <v>2.7200000286102299</v>
      </c>
      <c r="AI342" s="43">
        <v>474</v>
      </c>
      <c r="AJ342" s="43">
        <v>0</v>
      </c>
      <c r="AK342" s="43">
        <v>325</v>
      </c>
      <c r="AM342" s="43" t="s">
        <v>2</v>
      </c>
      <c r="AO342" s="43">
        <v>250</v>
      </c>
      <c r="AW342" s="43" t="b">
        <v>0</v>
      </c>
      <c r="BF342" s="226">
        <v>1</v>
      </c>
      <c r="BG342" s="226">
        <v>0.55000000000000004</v>
      </c>
      <c r="BH342" s="226">
        <v>1</v>
      </c>
      <c r="BI342" s="226">
        <v>0.55000000000000004</v>
      </c>
      <c r="BJ342" s="226">
        <v>0</v>
      </c>
      <c r="BK342" s="43">
        <v>0</v>
      </c>
      <c r="BM342" s="36" t="s">
        <v>1</v>
      </c>
      <c r="BN342" s="61">
        <v>32</v>
      </c>
      <c r="BO342" s="61" t="s">
        <v>886</v>
      </c>
      <c r="BP342" s="61">
        <v>250</v>
      </c>
      <c r="CF342" s="47" t="s">
        <v>12</v>
      </c>
      <c r="CR342" s="43">
        <v>0</v>
      </c>
      <c r="CS342" s="70">
        <v>0</v>
      </c>
      <c r="CT342" s="70">
        <v>0</v>
      </c>
      <c r="CU342" s="43">
        <v>1</v>
      </c>
      <c r="CV342" s="70">
        <v>0</v>
      </c>
      <c r="CW342" s="70">
        <v>0</v>
      </c>
      <c r="CX342" s="70">
        <v>0</v>
      </c>
      <c r="CY342" s="70">
        <v>0</v>
      </c>
      <c r="CZ342" s="70">
        <v>0</v>
      </c>
      <c r="DA342" s="70">
        <v>0</v>
      </c>
      <c r="DB342" s="70">
        <v>0</v>
      </c>
      <c r="DD342" s="43">
        <v>2</v>
      </c>
    </row>
    <row r="343" spans="1:108" s="43" customFormat="1" ht="15.75" thickBot="1" x14ac:dyDescent="0.3">
      <c r="A343" s="43">
        <v>528052</v>
      </c>
      <c r="B343" s="43" t="s">
        <v>6</v>
      </c>
      <c r="C343" s="225" t="s">
        <v>739</v>
      </c>
      <c r="D343" s="43">
        <v>32</v>
      </c>
      <c r="E343" s="43">
        <v>0</v>
      </c>
      <c r="F343" s="43">
        <v>32</v>
      </c>
      <c r="G343" s="43">
        <v>153</v>
      </c>
      <c r="H343" s="43">
        <v>0</v>
      </c>
      <c r="I343" s="43">
        <v>125</v>
      </c>
      <c r="J343" s="57" t="s">
        <v>834</v>
      </c>
      <c r="K343" s="57" t="s">
        <v>835</v>
      </c>
      <c r="L343" s="58">
        <v>45965.983935185199</v>
      </c>
      <c r="M343" s="43">
        <v>0</v>
      </c>
      <c r="N343" s="43">
        <v>0</v>
      </c>
      <c r="O343" s="43">
        <v>0</v>
      </c>
      <c r="S343" s="43" t="b">
        <v>0</v>
      </c>
      <c r="T343" s="43">
        <v>9.9999997764825804E-3</v>
      </c>
      <c r="U343" s="55">
        <v>2.7000000476837198</v>
      </c>
      <c r="V343" s="43">
        <v>9.9999997764825804E-3</v>
      </c>
      <c r="W343" s="43">
        <v>0</v>
      </c>
      <c r="X343" s="43">
        <v>1000</v>
      </c>
      <c r="Z343" s="43">
        <v>10</v>
      </c>
      <c r="AB343" s="55">
        <v>250</v>
      </c>
      <c r="AD343" s="43">
        <v>10</v>
      </c>
      <c r="AF343" s="43">
        <v>2000</v>
      </c>
      <c r="AG343" s="43">
        <v>2</v>
      </c>
      <c r="AH343" s="43">
        <v>2.7200000286102299</v>
      </c>
      <c r="AI343" s="43">
        <v>474</v>
      </c>
      <c r="AJ343" s="43">
        <v>0</v>
      </c>
      <c r="AK343" s="43">
        <v>327</v>
      </c>
      <c r="AM343" s="43" t="s">
        <v>2</v>
      </c>
      <c r="AO343" s="43">
        <v>250</v>
      </c>
      <c r="AW343" s="43" t="b">
        <v>0</v>
      </c>
      <c r="BF343" s="226">
        <v>1</v>
      </c>
      <c r="BG343" s="226">
        <v>0.55000000000000004</v>
      </c>
      <c r="BH343" s="226">
        <v>1</v>
      </c>
      <c r="BI343" s="226">
        <v>0.55000000000000004</v>
      </c>
      <c r="BJ343" s="226">
        <v>0</v>
      </c>
      <c r="BK343" s="43">
        <v>0</v>
      </c>
      <c r="BM343" s="36" t="s">
        <v>1</v>
      </c>
      <c r="BN343" s="61">
        <v>32</v>
      </c>
      <c r="BO343" s="61" t="s">
        <v>886</v>
      </c>
      <c r="BP343" s="61">
        <v>250</v>
      </c>
      <c r="CF343" s="47" t="s">
        <v>12</v>
      </c>
      <c r="CR343" s="43">
        <v>0</v>
      </c>
      <c r="CS343" s="70">
        <v>0</v>
      </c>
      <c r="CT343" s="70">
        <v>0</v>
      </c>
      <c r="CU343" s="43">
        <v>1</v>
      </c>
      <c r="CV343" s="70">
        <v>0</v>
      </c>
      <c r="CW343" s="70">
        <v>0</v>
      </c>
      <c r="CX343" s="70">
        <v>0</v>
      </c>
      <c r="CY343" s="70">
        <v>0</v>
      </c>
      <c r="CZ343" s="70">
        <v>0</v>
      </c>
      <c r="DA343" s="70">
        <v>0</v>
      </c>
      <c r="DB343" s="70">
        <v>0</v>
      </c>
      <c r="DD343" s="43">
        <v>2</v>
      </c>
    </row>
    <row r="344" spans="1:108" s="43" customFormat="1" ht="15.75" thickBot="1" x14ac:dyDescent="0.3">
      <c r="A344" s="43">
        <v>528053</v>
      </c>
      <c r="B344" s="43" t="s">
        <v>6</v>
      </c>
      <c r="C344" s="225" t="s">
        <v>739</v>
      </c>
      <c r="D344" s="43">
        <v>32</v>
      </c>
      <c r="E344" s="43">
        <v>0</v>
      </c>
      <c r="F344" s="43">
        <v>32</v>
      </c>
      <c r="G344" s="43">
        <v>154</v>
      </c>
      <c r="H344" s="43">
        <v>0</v>
      </c>
      <c r="I344" s="43">
        <v>125</v>
      </c>
      <c r="J344" s="57" t="s">
        <v>836</v>
      </c>
      <c r="K344" s="57" t="s">
        <v>837</v>
      </c>
      <c r="L344" s="58">
        <v>45965.984027777798</v>
      </c>
      <c r="M344" s="43">
        <v>0</v>
      </c>
      <c r="N344" s="43">
        <v>0</v>
      </c>
      <c r="O344" s="43">
        <v>0</v>
      </c>
      <c r="S344" s="43" t="b">
        <v>0</v>
      </c>
      <c r="T344" s="43">
        <v>9.9999997764825804E-3</v>
      </c>
      <c r="U344" s="55">
        <v>2.7000000476837198</v>
      </c>
      <c r="V344" s="43">
        <v>9.9999997764825804E-3</v>
      </c>
      <c r="W344" s="43">
        <v>0</v>
      </c>
      <c r="X344" s="43">
        <v>1000</v>
      </c>
      <c r="Z344" s="43">
        <v>10</v>
      </c>
      <c r="AB344" s="55">
        <v>250</v>
      </c>
      <c r="AD344" s="43">
        <v>10</v>
      </c>
      <c r="AF344" s="43">
        <v>2000</v>
      </c>
      <c r="AG344" s="43">
        <v>2</v>
      </c>
      <c r="AH344" s="43">
        <v>2.7200000286102299</v>
      </c>
      <c r="AI344" s="43">
        <v>478</v>
      </c>
      <c r="AJ344" s="43">
        <v>0</v>
      </c>
      <c r="AK344" s="43">
        <v>327</v>
      </c>
      <c r="AM344" s="43" t="s">
        <v>2</v>
      </c>
      <c r="AO344" s="43">
        <v>250</v>
      </c>
      <c r="AW344" s="43" t="b">
        <v>0</v>
      </c>
      <c r="BF344" s="226">
        <v>1</v>
      </c>
      <c r="BG344" s="226">
        <v>0.55000000000000004</v>
      </c>
      <c r="BH344" s="226">
        <v>1</v>
      </c>
      <c r="BI344" s="226">
        <v>0.55000000000000004</v>
      </c>
      <c r="BJ344" s="226">
        <v>0</v>
      </c>
      <c r="BK344" s="43">
        <v>0</v>
      </c>
      <c r="BM344" s="36" t="s">
        <v>1</v>
      </c>
      <c r="BN344" s="61">
        <v>32</v>
      </c>
      <c r="BO344" s="61" t="s">
        <v>886</v>
      </c>
      <c r="BP344" s="61">
        <v>250</v>
      </c>
      <c r="CF344" s="47" t="s">
        <v>12</v>
      </c>
      <c r="CR344" s="43">
        <v>0</v>
      </c>
      <c r="CS344" s="70">
        <v>0</v>
      </c>
      <c r="CT344" s="70">
        <v>0</v>
      </c>
      <c r="CU344" s="43">
        <v>1</v>
      </c>
      <c r="CV344" s="70">
        <v>0</v>
      </c>
      <c r="CW344" s="70">
        <v>0</v>
      </c>
      <c r="CX344" s="70">
        <v>0</v>
      </c>
      <c r="CY344" s="70">
        <v>0</v>
      </c>
      <c r="CZ344" s="70">
        <v>0</v>
      </c>
      <c r="DA344" s="70">
        <v>0</v>
      </c>
      <c r="DB344" s="70">
        <v>0</v>
      </c>
      <c r="DD344" s="43">
        <v>2</v>
      </c>
    </row>
    <row r="345" spans="1:108" s="43" customFormat="1" ht="15.75" thickBot="1" x14ac:dyDescent="0.3">
      <c r="A345" s="43">
        <v>528054</v>
      </c>
      <c r="B345" s="43" t="s">
        <v>6</v>
      </c>
      <c r="C345" s="225" t="s">
        <v>739</v>
      </c>
      <c r="D345" s="43">
        <v>32</v>
      </c>
      <c r="E345" s="43">
        <v>0</v>
      </c>
      <c r="F345" s="43">
        <v>32</v>
      </c>
      <c r="G345" s="43">
        <v>155</v>
      </c>
      <c r="H345" s="43">
        <v>0</v>
      </c>
      <c r="I345" s="43">
        <v>125</v>
      </c>
      <c r="J345" s="57" t="s">
        <v>838</v>
      </c>
      <c r="K345" s="57" t="s">
        <v>839</v>
      </c>
      <c r="L345" s="58">
        <v>45965.9841087963</v>
      </c>
      <c r="M345" s="43">
        <v>0</v>
      </c>
      <c r="N345" s="43">
        <v>0</v>
      </c>
      <c r="O345" s="43">
        <v>0</v>
      </c>
      <c r="S345" s="43" t="b">
        <v>0</v>
      </c>
      <c r="T345" s="43">
        <v>9.9999997764825804E-3</v>
      </c>
      <c r="U345" s="55">
        <v>2.7000000476837198</v>
      </c>
      <c r="V345" s="43">
        <v>9.9999997764825804E-3</v>
      </c>
      <c r="W345" s="43">
        <v>0</v>
      </c>
      <c r="X345" s="43">
        <v>1000</v>
      </c>
      <c r="Z345" s="43">
        <v>10</v>
      </c>
      <c r="AB345" s="55">
        <v>250</v>
      </c>
      <c r="AD345" s="43">
        <v>10</v>
      </c>
      <c r="AF345" s="43">
        <v>2000</v>
      </c>
      <c r="AG345" s="43">
        <v>2</v>
      </c>
      <c r="AH345" s="43">
        <v>2.7200000286102299</v>
      </c>
      <c r="AI345" s="43">
        <v>478</v>
      </c>
      <c r="AJ345" s="43">
        <v>0</v>
      </c>
      <c r="AK345" s="43">
        <v>328</v>
      </c>
      <c r="AM345" s="43" t="s">
        <v>2</v>
      </c>
      <c r="AO345" s="43">
        <v>250</v>
      </c>
      <c r="AW345" s="43" t="b">
        <v>0</v>
      </c>
      <c r="BF345" s="226">
        <v>1</v>
      </c>
      <c r="BG345" s="226">
        <v>0.55000000000000004</v>
      </c>
      <c r="BH345" s="226">
        <v>1</v>
      </c>
      <c r="BI345" s="226">
        <v>0.55000000000000004</v>
      </c>
      <c r="BJ345" s="226">
        <v>0</v>
      </c>
      <c r="BK345" s="43">
        <v>0</v>
      </c>
      <c r="BM345" s="36" t="s">
        <v>1</v>
      </c>
      <c r="BN345" s="61">
        <v>32</v>
      </c>
      <c r="BO345" s="61" t="s">
        <v>886</v>
      </c>
      <c r="BP345" s="61">
        <v>250</v>
      </c>
      <c r="CF345" s="47" t="s">
        <v>12</v>
      </c>
      <c r="CR345" s="43">
        <v>0</v>
      </c>
      <c r="CS345" s="70">
        <v>0</v>
      </c>
      <c r="CT345" s="70">
        <v>0</v>
      </c>
      <c r="CU345" s="43">
        <v>1</v>
      </c>
      <c r="CV345" s="70">
        <v>0</v>
      </c>
      <c r="CW345" s="70">
        <v>0</v>
      </c>
      <c r="CX345" s="70">
        <v>0</v>
      </c>
      <c r="CY345" s="70">
        <v>0</v>
      </c>
      <c r="CZ345" s="70">
        <v>0</v>
      </c>
      <c r="DA345" s="70">
        <v>0</v>
      </c>
      <c r="DB345" s="70">
        <v>0</v>
      </c>
      <c r="DD345" s="43">
        <v>2</v>
      </c>
    </row>
    <row r="346" spans="1:108" s="43" customFormat="1" ht="15.75" thickBot="1" x14ac:dyDescent="0.3">
      <c r="A346" s="43">
        <v>528025</v>
      </c>
      <c r="B346" s="43" t="s">
        <v>6</v>
      </c>
      <c r="C346" s="225" t="s">
        <v>739</v>
      </c>
      <c r="D346" s="43">
        <v>32</v>
      </c>
      <c r="E346" s="43">
        <v>0</v>
      </c>
      <c r="F346" s="43">
        <v>32</v>
      </c>
      <c r="G346" s="43">
        <v>126</v>
      </c>
      <c r="H346" s="43">
        <v>0</v>
      </c>
      <c r="I346" s="43">
        <v>125</v>
      </c>
      <c r="J346" s="57" t="s">
        <v>840</v>
      </c>
      <c r="K346" s="57" t="s">
        <v>841</v>
      </c>
      <c r="L346" s="58">
        <v>45965.912407407399</v>
      </c>
      <c r="M346" s="43">
        <v>0</v>
      </c>
      <c r="N346" s="43">
        <v>0</v>
      </c>
      <c r="O346" s="43">
        <v>0</v>
      </c>
      <c r="S346" s="43" t="b">
        <v>0</v>
      </c>
      <c r="T346" s="43">
        <v>9.9999997764825804E-3</v>
      </c>
      <c r="U346" s="55">
        <v>2.7000000476837198</v>
      </c>
      <c r="V346" s="43">
        <v>9.9999997764825804E-3</v>
      </c>
      <c r="W346" s="43">
        <v>0</v>
      </c>
      <c r="X346" s="43">
        <v>1000</v>
      </c>
      <c r="Z346" s="43">
        <v>10</v>
      </c>
      <c r="AB346" s="55">
        <v>250</v>
      </c>
      <c r="AD346" s="43">
        <v>10</v>
      </c>
      <c r="AF346" s="43">
        <v>2000</v>
      </c>
      <c r="AG346" s="43">
        <v>2</v>
      </c>
      <c r="AH346" s="43">
        <v>2.7200000286102299</v>
      </c>
      <c r="AI346" s="43">
        <v>470</v>
      </c>
      <c r="AJ346" s="43">
        <v>0</v>
      </c>
      <c r="AK346" s="43">
        <v>322</v>
      </c>
      <c r="AM346" s="43" t="s">
        <v>2</v>
      </c>
      <c r="AO346" s="43">
        <v>250</v>
      </c>
      <c r="AW346" s="43" t="b">
        <v>0</v>
      </c>
      <c r="BF346" s="226">
        <v>1</v>
      </c>
      <c r="BG346" s="226">
        <v>0.55000000000000004</v>
      </c>
      <c r="BH346" s="226">
        <v>1</v>
      </c>
      <c r="BI346" s="226">
        <v>0.55000000000000004</v>
      </c>
      <c r="BJ346" s="226">
        <v>0</v>
      </c>
      <c r="BK346" s="43">
        <v>0</v>
      </c>
      <c r="BM346" s="36" t="s">
        <v>1</v>
      </c>
      <c r="BN346" s="61">
        <v>32</v>
      </c>
      <c r="BO346" s="61" t="s">
        <v>886</v>
      </c>
      <c r="BP346" s="61">
        <v>250</v>
      </c>
      <c r="CF346" s="47" t="s">
        <v>12</v>
      </c>
      <c r="CR346" s="43">
        <v>0</v>
      </c>
      <c r="CS346" s="70">
        <v>0</v>
      </c>
      <c r="CT346" s="70">
        <v>0</v>
      </c>
      <c r="CU346" s="43">
        <v>1</v>
      </c>
      <c r="CV346" s="70">
        <v>0</v>
      </c>
      <c r="CW346" s="70">
        <v>0</v>
      </c>
      <c r="CX346" s="70">
        <v>0</v>
      </c>
      <c r="CY346" s="70">
        <v>0</v>
      </c>
      <c r="CZ346" s="70">
        <v>0</v>
      </c>
      <c r="DA346" s="70">
        <v>0</v>
      </c>
      <c r="DB346" s="70">
        <v>0</v>
      </c>
      <c r="DD346" s="43">
        <v>2</v>
      </c>
    </row>
    <row r="347" spans="1:108" s="43" customFormat="1" ht="15.75" thickBot="1" x14ac:dyDescent="0.3">
      <c r="A347" s="43">
        <v>528026</v>
      </c>
      <c r="B347" s="43" t="s">
        <v>6</v>
      </c>
      <c r="C347" s="225" t="s">
        <v>739</v>
      </c>
      <c r="D347" s="43">
        <v>32</v>
      </c>
      <c r="E347" s="43">
        <v>0</v>
      </c>
      <c r="F347" s="43">
        <v>32</v>
      </c>
      <c r="G347" s="43">
        <v>127</v>
      </c>
      <c r="H347" s="43">
        <v>0</v>
      </c>
      <c r="I347" s="43">
        <v>125</v>
      </c>
      <c r="J347" s="57" t="s">
        <v>842</v>
      </c>
      <c r="K347" s="57" t="s">
        <v>843</v>
      </c>
      <c r="L347" s="58">
        <v>45965.912476851903</v>
      </c>
      <c r="M347" s="43">
        <v>0</v>
      </c>
      <c r="N347" s="43">
        <v>0</v>
      </c>
      <c r="O347" s="43">
        <v>0</v>
      </c>
      <c r="S347" s="43" t="b">
        <v>0</v>
      </c>
      <c r="T347" s="43">
        <v>9.9999997764825804E-3</v>
      </c>
      <c r="U347" s="55">
        <v>2.7000000476837198</v>
      </c>
      <c r="V347" s="43">
        <v>9.9999997764825804E-3</v>
      </c>
      <c r="W347" s="43">
        <v>0</v>
      </c>
      <c r="X347" s="43">
        <v>1000</v>
      </c>
      <c r="Z347" s="43">
        <v>10</v>
      </c>
      <c r="AB347" s="55">
        <v>250</v>
      </c>
      <c r="AD347" s="43">
        <v>10</v>
      </c>
      <c r="AF347" s="43">
        <v>2000</v>
      </c>
      <c r="AG347" s="43">
        <v>2</v>
      </c>
      <c r="AH347" s="43">
        <v>2.7200000286102299</v>
      </c>
      <c r="AI347" s="43">
        <v>470</v>
      </c>
      <c r="AJ347" s="43">
        <v>0</v>
      </c>
      <c r="AK347" s="43">
        <v>324</v>
      </c>
      <c r="AM347" s="43" t="s">
        <v>2</v>
      </c>
      <c r="AO347" s="43">
        <v>250</v>
      </c>
      <c r="AW347" s="43" t="b">
        <v>0</v>
      </c>
      <c r="BF347" s="226">
        <v>1</v>
      </c>
      <c r="BG347" s="226">
        <v>0.55000000000000004</v>
      </c>
      <c r="BH347" s="226">
        <v>1</v>
      </c>
      <c r="BI347" s="226">
        <v>0.55000000000000004</v>
      </c>
      <c r="BJ347" s="226">
        <v>0</v>
      </c>
      <c r="BK347" s="43">
        <v>0</v>
      </c>
      <c r="BM347" s="36" t="s">
        <v>1</v>
      </c>
      <c r="BN347" s="61">
        <v>32</v>
      </c>
      <c r="BO347" s="61" t="s">
        <v>886</v>
      </c>
      <c r="BP347" s="61">
        <v>250</v>
      </c>
      <c r="CF347" s="47" t="s">
        <v>12</v>
      </c>
      <c r="CR347" s="43">
        <v>0</v>
      </c>
      <c r="CS347" s="70">
        <v>0</v>
      </c>
      <c r="CT347" s="70">
        <v>0</v>
      </c>
      <c r="CU347" s="43">
        <v>1</v>
      </c>
      <c r="CV347" s="70">
        <v>0</v>
      </c>
      <c r="CW347" s="70">
        <v>0</v>
      </c>
      <c r="CX347" s="70">
        <v>0</v>
      </c>
      <c r="CY347" s="70">
        <v>0</v>
      </c>
      <c r="CZ347" s="70">
        <v>0</v>
      </c>
      <c r="DA347" s="70">
        <v>0</v>
      </c>
      <c r="DB347" s="70">
        <v>0</v>
      </c>
      <c r="DD347" s="43">
        <v>2</v>
      </c>
    </row>
    <row r="348" spans="1:108" s="43" customFormat="1" ht="15.75" thickBot="1" x14ac:dyDescent="0.3">
      <c r="A348" s="43">
        <v>528027</v>
      </c>
      <c r="B348" s="43" t="s">
        <v>6</v>
      </c>
      <c r="C348" s="225" t="s">
        <v>739</v>
      </c>
      <c r="D348" s="43">
        <v>32</v>
      </c>
      <c r="E348" s="43">
        <v>0</v>
      </c>
      <c r="F348" s="43">
        <v>32</v>
      </c>
      <c r="G348" s="43">
        <v>128</v>
      </c>
      <c r="H348" s="43">
        <v>0</v>
      </c>
      <c r="I348" s="43">
        <v>125</v>
      </c>
      <c r="J348" s="57" t="s">
        <v>844</v>
      </c>
      <c r="K348" s="57" t="s">
        <v>845</v>
      </c>
      <c r="L348" s="58">
        <v>45965.912546296298</v>
      </c>
      <c r="M348" s="43">
        <v>0</v>
      </c>
      <c r="N348" s="43">
        <v>0</v>
      </c>
      <c r="O348" s="43">
        <v>0</v>
      </c>
      <c r="S348" s="43" t="b">
        <v>0</v>
      </c>
      <c r="T348" s="43">
        <v>9.9999997764825804E-3</v>
      </c>
      <c r="U348" s="55">
        <v>2.7000000476837198</v>
      </c>
      <c r="V348" s="43">
        <v>9.9999997764825804E-3</v>
      </c>
      <c r="W348" s="43">
        <v>0</v>
      </c>
      <c r="X348" s="43">
        <v>1000</v>
      </c>
      <c r="Z348" s="43">
        <v>10</v>
      </c>
      <c r="AB348" s="55">
        <v>250</v>
      </c>
      <c r="AD348" s="43">
        <v>10</v>
      </c>
      <c r="AF348" s="43">
        <v>2000</v>
      </c>
      <c r="AG348" s="43">
        <v>2</v>
      </c>
      <c r="AH348" s="43">
        <v>2.7200000286102299</v>
      </c>
      <c r="AI348" s="43">
        <v>474</v>
      </c>
      <c r="AJ348" s="43">
        <v>0</v>
      </c>
      <c r="AK348" s="43">
        <v>324</v>
      </c>
      <c r="AM348" s="43" t="s">
        <v>2</v>
      </c>
      <c r="AO348" s="43">
        <v>250</v>
      </c>
      <c r="AW348" s="43" t="b">
        <v>0</v>
      </c>
      <c r="BF348" s="226">
        <v>1</v>
      </c>
      <c r="BG348" s="226">
        <v>0.55000000000000004</v>
      </c>
      <c r="BH348" s="226">
        <v>1</v>
      </c>
      <c r="BI348" s="226">
        <v>0.55000000000000004</v>
      </c>
      <c r="BJ348" s="226">
        <v>0</v>
      </c>
      <c r="BK348" s="43">
        <v>0</v>
      </c>
      <c r="BM348" s="36" t="s">
        <v>1</v>
      </c>
      <c r="BN348" s="61">
        <v>32</v>
      </c>
      <c r="BO348" s="61" t="s">
        <v>886</v>
      </c>
      <c r="BP348" s="61">
        <v>250</v>
      </c>
      <c r="CF348" s="47" t="s">
        <v>12</v>
      </c>
      <c r="CR348" s="43">
        <v>0</v>
      </c>
      <c r="CS348" s="70">
        <v>0</v>
      </c>
      <c r="CT348" s="70">
        <v>0</v>
      </c>
      <c r="CU348" s="43">
        <v>1</v>
      </c>
      <c r="CV348" s="70">
        <v>0</v>
      </c>
      <c r="CW348" s="70">
        <v>0</v>
      </c>
      <c r="CX348" s="70">
        <v>0</v>
      </c>
      <c r="CY348" s="70">
        <v>0</v>
      </c>
      <c r="CZ348" s="70">
        <v>0</v>
      </c>
      <c r="DA348" s="70">
        <v>0</v>
      </c>
      <c r="DB348" s="70">
        <v>0</v>
      </c>
      <c r="DD348" s="43">
        <v>2</v>
      </c>
    </row>
    <row r="349" spans="1:108" s="43" customFormat="1" ht="15.75" thickBot="1" x14ac:dyDescent="0.3">
      <c r="A349" s="43">
        <v>528000</v>
      </c>
      <c r="B349" s="43" t="s">
        <v>6</v>
      </c>
      <c r="C349" s="225" t="s">
        <v>739</v>
      </c>
      <c r="D349" s="43">
        <v>32</v>
      </c>
      <c r="E349" s="43">
        <v>0</v>
      </c>
      <c r="F349" s="43">
        <v>32</v>
      </c>
      <c r="G349" s="43">
        <v>101</v>
      </c>
      <c r="H349" s="43">
        <v>0</v>
      </c>
      <c r="I349" s="43">
        <v>125</v>
      </c>
      <c r="J349" s="57" t="s">
        <v>846</v>
      </c>
      <c r="K349" s="57" t="s">
        <v>847</v>
      </c>
      <c r="L349" s="58">
        <v>45965.909293981502</v>
      </c>
      <c r="M349" s="43">
        <v>0</v>
      </c>
      <c r="N349" s="43">
        <v>0</v>
      </c>
      <c r="O349" s="43">
        <v>0</v>
      </c>
      <c r="S349" s="43" t="b">
        <v>0</v>
      </c>
      <c r="T349" s="43">
        <v>9.9999997764825804E-3</v>
      </c>
      <c r="U349" s="55">
        <v>2.7000000476837198</v>
      </c>
      <c r="V349" s="43">
        <v>9.9999997764825804E-3</v>
      </c>
      <c r="W349" s="43">
        <v>0</v>
      </c>
      <c r="X349" s="43">
        <v>1000</v>
      </c>
      <c r="Z349" s="43">
        <v>10</v>
      </c>
      <c r="AB349" s="55">
        <v>250</v>
      </c>
      <c r="AD349" s="43">
        <v>10</v>
      </c>
      <c r="AF349" s="43">
        <v>2000</v>
      </c>
      <c r="AG349" s="43">
        <v>2</v>
      </c>
      <c r="AH349" s="43">
        <v>2.7300000190734899</v>
      </c>
      <c r="AI349" s="43">
        <v>491</v>
      </c>
      <c r="AJ349" s="43">
        <v>0</v>
      </c>
      <c r="AK349" s="43">
        <v>339</v>
      </c>
      <c r="AM349" s="43" t="s">
        <v>2</v>
      </c>
      <c r="AO349" s="43">
        <v>250</v>
      </c>
      <c r="AW349" s="43" t="b">
        <v>0</v>
      </c>
      <c r="BF349" s="226">
        <v>1</v>
      </c>
      <c r="BG349" s="226">
        <v>0.55000000000000004</v>
      </c>
      <c r="BH349" s="226">
        <v>1</v>
      </c>
      <c r="BI349" s="226">
        <v>0.55000000000000004</v>
      </c>
      <c r="BJ349" s="226">
        <v>0</v>
      </c>
      <c r="BK349" s="43">
        <v>0</v>
      </c>
      <c r="BM349" s="36" t="s">
        <v>1</v>
      </c>
      <c r="BN349" s="61">
        <v>32</v>
      </c>
      <c r="BO349" s="61" t="s">
        <v>886</v>
      </c>
      <c r="BP349" s="61">
        <v>250</v>
      </c>
      <c r="CF349" s="47" t="s">
        <v>12</v>
      </c>
      <c r="CR349" s="43">
        <v>0</v>
      </c>
      <c r="CS349" s="70">
        <v>0</v>
      </c>
      <c r="CT349" s="70">
        <v>0</v>
      </c>
      <c r="CU349" s="43">
        <v>1</v>
      </c>
      <c r="CV349" s="70">
        <v>0</v>
      </c>
      <c r="CW349" s="70">
        <v>0</v>
      </c>
      <c r="CX349" s="70">
        <v>0</v>
      </c>
      <c r="CY349" s="70">
        <v>0</v>
      </c>
      <c r="CZ349" s="70">
        <v>0</v>
      </c>
      <c r="DA349" s="70">
        <v>0</v>
      </c>
      <c r="DB349" s="70">
        <v>0</v>
      </c>
      <c r="DD349" s="43">
        <v>2</v>
      </c>
    </row>
    <row r="350" spans="1:108" s="43" customFormat="1" ht="15.75" thickBot="1" x14ac:dyDescent="0.3">
      <c r="A350" s="43">
        <v>528001</v>
      </c>
      <c r="B350" s="43" t="s">
        <v>6</v>
      </c>
      <c r="C350" s="225" t="s">
        <v>739</v>
      </c>
      <c r="D350" s="43">
        <v>32</v>
      </c>
      <c r="E350" s="43">
        <v>0</v>
      </c>
      <c r="F350" s="43">
        <v>32</v>
      </c>
      <c r="G350" s="43">
        <v>102</v>
      </c>
      <c r="H350" s="43">
        <v>0</v>
      </c>
      <c r="I350" s="43">
        <v>125</v>
      </c>
      <c r="J350" s="57" t="s">
        <v>848</v>
      </c>
      <c r="K350" s="57" t="s">
        <v>849</v>
      </c>
      <c r="L350" s="58">
        <v>45965.909375000003</v>
      </c>
      <c r="M350" s="43">
        <v>0</v>
      </c>
      <c r="N350" s="43">
        <v>0</v>
      </c>
      <c r="O350" s="43">
        <v>0</v>
      </c>
      <c r="S350" s="43" t="b">
        <v>0</v>
      </c>
      <c r="T350" s="43">
        <v>9.9999997764825804E-3</v>
      </c>
      <c r="U350" s="55">
        <v>2.7000000476837198</v>
      </c>
      <c r="V350" s="43">
        <v>9.9999997764825804E-3</v>
      </c>
      <c r="W350" s="43">
        <v>0</v>
      </c>
      <c r="X350" s="43">
        <v>1000</v>
      </c>
      <c r="Z350" s="43">
        <v>10</v>
      </c>
      <c r="AB350" s="55">
        <v>250</v>
      </c>
      <c r="AD350" s="43">
        <v>10</v>
      </c>
      <c r="AF350" s="43">
        <v>2000</v>
      </c>
      <c r="AG350" s="43">
        <v>2</v>
      </c>
      <c r="AH350" s="43">
        <v>2.7200000286102299</v>
      </c>
      <c r="AI350" s="43">
        <v>478</v>
      </c>
      <c r="AJ350" s="43">
        <v>0</v>
      </c>
      <c r="AK350" s="43">
        <v>327</v>
      </c>
      <c r="AM350" s="43" t="s">
        <v>2</v>
      </c>
      <c r="AO350" s="43">
        <v>250</v>
      </c>
      <c r="AW350" s="43" t="b">
        <v>0</v>
      </c>
      <c r="BF350" s="226">
        <v>1</v>
      </c>
      <c r="BG350" s="226">
        <v>0.55000000000000004</v>
      </c>
      <c r="BH350" s="226">
        <v>1</v>
      </c>
      <c r="BI350" s="226">
        <v>0.55000000000000004</v>
      </c>
      <c r="BJ350" s="226">
        <v>0</v>
      </c>
      <c r="BK350" s="43">
        <v>0</v>
      </c>
      <c r="BM350" s="36" t="s">
        <v>1</v>
      </c>
      <c r="BN350" s="61">
        <v>32</v>
      </c>
      <c r="BO350" s="61" t="s">
        <v>886</v>
      </c>
      <c r="BP350" s="61">
        <v>250</v>
      </c>
      <c r="CF350" s="47" t="s">
        <v>12</v>
      </c>
      <c r="CR350" s="43">
        <v>0</v>
      </c>
      <c r="CS350" s="70">
        <v>0</v>
      </c>
      <c r="CT350" s="70">
        <v>0</v>
      </c>
      <c r="CU350" s="43">
        <v>1</v>
      </c>
      <c r="CV350" s="70">
        <v>0</v>
      </c>
      <c r="CW350" s="70">
        <v>0</v>
      </c>
      <c r="CX350" s="70">
        <v>0</v>
      </c>
      <c r="CY350" s="70">
        <v>0</v>
      </c>
      <c r="CZ350" s="70">
        <v>0</v>
      </c>
      <c r="DA350" s="70">
        <v>0</v>
      </c>
      <c r="DB350" s="70">
        <v>0</v>
      </c>
      <c r="DD350" s="43">
        <v>2</v>
      </c>
    </row>
    <row r="351" spans="1:108" s="43" customFormat="1" ht="15.75" thickBot="1" x14ac:dyDescent="0.3">
      <c r="A351" s="43">
        <v>528002</v>
      </c>
      <c r="B351" s="43" t="s">
        <v>6</v>
      </c>
      <c r="C351" s="225" t="s">
        <v>739</v>
      </c>
      <c r="D351" s="43">
        <v>32</v>
      </c>
      <c r="E351" s="43">
        <v>0</v>
      </c>
      <c r="F351" s="43">
        <v>32</v>
      </c>
      <c r="G351" s="43">
        <v>103</v>
      </c>
      <c r="H351" s="43">
        <v>0</v>
      </c>
      <c r="I351" s="43">
        <v>125</v>
      </c>
      <c r="J351" s="57" t="s">
        <v>850</v>
      </c>
      <c r="K351" s="57" t="s">
        <v>851</v>
      </c>
      <c r="L351" s="58">
        <v>45965.909444444398</v>
      </c>
      <c r="M351" s="43">
        <v>0</v>
      </c>
      <c r="N351" s="43">
        <v>0</v>
      </c>
      <c r="O351" s="43">
        <v>0</v>
      </c>
      <c r="S351" s="43" t="b">
        <v>0</v>
      </c>
      <c r="T351" s="43">
        <v>9.9999997764825804E-3</v>
      </c>
      <c r="U351" s="55">
        <v>2.7000000476837198</v>
      </c>
      <c r="V351" s="43">
        <v>9.9999997764825804E-3</v>
      </c>
      <c r="W351" s="43">
        <v>0</v>
      </c>
      <c r="X351" s="43">
        <v>1000</v>
      </c>
      <c r="Z351" s="43">
        <v>10</v>
      </c>
      <c r="AB351" s="55">
        <v>250</v>
      </c>
      <c r="AD351" s="43">
        <v>10</v>
      </c>
      <c r="AF351" s="43">
        <v>2000</v>
      </c>
      <c r="AG351" s="43">
        <v>2</v>
      </c>
      <c r="AH351" s="43">
        <v>2.7200000286102299</v>
      </c>
      <c r="AI351" s="43">
        <v>478</v>
      </c>
      <c r="AJ351" s="43">
        <v>0</v>
      </c>
      <c r="AK351" s="43">
        <v>331</v>
      </c>
      <c r="AM351" s="43" t="s">
        <v>2</v>
      </c>
      <c r="AO351" s="43">
        <v>250</v>
      </c>
      <c r="AW351" s="43" t="b">
        <v>0</v>
      </c>
      <c r="BF351" s="226">
        <v>1</v>
      </c>
      <c r="BG351" s="226">
        <v>0.55000000000000004</v>
      </c>
      <c r="BH351" s="226">
        <v>1</v>
      </c>
      <c r="BI351" s="226">
        <v>0.55000000000000004</v>
      </c>
      <c r="BJ351" s="226">
        <v>0</v>
      </c>
      <c r="BK351" s="43">
        <v>0</v>
      </c>
      <c r="BM351" s="36" t="s">
        <v>1</v>
      </c>
      <c r="BN351" s="61">
        <v>32</v>
      </c>
      <c r="BO351" s="61" t="s">
        <v>886</v>
      </c>
      <c r="BP351" s="61">
        <v>250</v>
      </c>
      <c r="CF351" s="47" t="s">
        <v>12</v>
      </c>
      <c r="CR351" s="43">
        <v>0</v>
      </c>
      <c r="CS351" s="70">
        <v>0</v>
      </c>
      <c r="CT351" s="70">
        <v>0</v>
      </c>
      <c r="CU351" s="43">
        <v>1</v>
      </c>
      <c r="CV351" s="70">
        <v>0</v>
      </c>
      <c r="CW351" s="70">
        <v>0</v>
      </c>
      <c r="CX351" s="70">
        <v>0</v>
      </c>
      <c r="CY351" s="70">
        <v>0</v>
      </c>
      <c r="CZ351" s="70">
        <v>0</v>
      </c>
      <c r="DA351" s="70">
        <v>0</v>
      </c>
      <c r="DB351" s="70">
        <v>0</v>
      </c>
      <c r="DD351" s="43">
        <v>2</v>
      </c>
    </row>
    <row r="352" spans="1:108" s="43" customFormat="1" ht="15.75" thickBot="1" x14ac:dyDescent="0.3">
      <c r="A352" s="43">
        <v>528003</v>
      </c>
      <c r="B352" s="43" t="s">
        <v>6</v>
      </c>
      <c r="C352" s="225" t="s">
        <v>739</v>
      </c>
      <c r="D352" s="43">
        <v>32</v>
      </c>
      <c r="E352" s="43">
        <v>0</v>
      </c>
      <c r="F352" s="43">
        <v>32</v>
      </c>
      <c r="G352" s="43">
        <v>104</v>
      </c>
      <c r="H352" s="43">
        <v>0</v>
      </c>
      <c r="I352" s="43">
        <v>125</v>
      </c>
      <c r="J352" s="57" t="s">
        <v>852</v>
      </c>
      <c r="K352" s="57" t="s">
        <v>853</v>
      </c>
      <c r="L352" s="58">
        <v>45965.909502314797</v>
      </c>
      <c r="M352" s="43">
        <v>0</v>
      </c>
      <c r="N352" s="43">
        <v>0</v>
      </c>
      <c r="O352" s="43">
        <v>0</v>
      </c>
      <c r="S352" s="43" t="b">
        <v>0</v>
      </c>
      <c r="T352" s="43">
        <v>9.9999997764825804E-3</v>
      </c>
      <c r="U352" s="55">
        <v>2.7000000476837198</v>
      </c>
      <c r="V352" s="43">
        <v>9.9999997764825804E-3</v>
      </c>
      <c r="W352" s="43">
        <v>0</v>
      </c>
      <c r="X352" s="43">
        <v>1000</v>
      </c>
      <c r="Z352" s="43">
        <v>10</v>
      </c>
      <c r="AB352" s="55">
        <v>250</v>
      </c>
      <c r="AD352" s="43">
        <v>10</v>
      </c>
      <c r="AF352" s="43">
        <v>2000</v>
      </c>
      <c r="AG352" s="43">
        <v>2</v>
      </c>
      <c r="AH352" s="43">
        <v>2.7200000286102299</v>
      </c>
      <c r="AI352" s="43">
        <v>482</v>
      </c>
      <c r="AJ352" s="43">
        <v>0</v>
      </c>
      <c r="AK352" s="43">
        <v>332</v>
      </c>
      <c r="AM352" s="43" t="s">
        <v>2</v>
      </c>
      <c r="AO352" s="43">
        <v>250</v>
      </c>
      <c r="AW352" s="43" t="b">
        <v>0</v>
      </c>
      <c r="BF352" s="226">
        <v>1</v>
      </c>
      <c r="BG352" s="226">
        <v>0.55000000000000004</v>
      </c>
      <c r="BH352" s="226">
        <v>1</v>
      </c>
      <c r="BI352" s="226">
        <v>0.55000000000000004</v>
      </c>
      <c r="BJ352" s="226">
        <v>0</v>
      </c>
      <c r="BK352" s="43">
        <v>0</v>
      </c>
      <c r="BM352" s="36" t="s">
        <v>1</v>
      </c>
      <c r="BN352" s="61">
        <v>32</v>
      </c>
      <c r="BO352" s="61" t="s">
        <v>886</v>
      </c>
      <c r="BP352" s="61">
        <v>250</v>
      </c>
      <c r="CF352" s="47" t="s">
        <v>12</v>
      </c>
      <c r="CR352" s="43">
        <v>0</v>
      </c>
      <c r="CS352" s="70">
        <v>0</v>
      </c>
      <c r="CT352" s="70">
        <v>0</v>
      </c>
      <c r="CU352" s="43">
        <v>1</v>
      </c>
      <c r="CV352" s="70">
        <v>0</v>
      </c>
      <c r="CW352" s="70">
        <v>0</v>
      </c>
      <c r="CX352" s="70">
        <v>0</v>
      </c>
      <c r="CY352" s="70">
        <v>0</v>
      </c>
      <c r="CZ352" s="70">
        <v>0</v>
      </c>
      <c r="DA352" s="70">
        <v>0</v>
      </c>
      <c r="DB352" s="70">
        <v>0</v>
      </c>
      <c r="DD352" s="43">
        <v>2</v>
      </c>
    </row>
    <row r="353" spans="1:108" s="43" customFormat="1" ht="15.75" thickBot="1" x14ac:dyDescent="0.3">
      <c r="A353" s="43">
        <v>527978</v>
      </c>
      <c r="B353" s="43" t="s">
        <v>6</v>
      </c>
      <c r="C353" s="225" t="s">
        <v>739</v>
      </c>
      <c r="D353" s="43">
        <v>32</v>
      </c>
      <c r="E353" s="43">
        <v>0</v>
      </c>
      <c r="F353" s="43">
        <v>32</v>
      </c>
      <c r="G353" s="43">
        <v>79</v>
      </c>
      <c r="H353" s="43">
        <v>0</v>
      </c>
      <c r="I353" s="43">
        <v>125</v>
      </c>
      <c r="J353" s="57" t="s">
        <v>854</v>
      </c>
      <c r="K353" s="57" t="s">
        <v>855</v>
      </c>
      <c r="L353" s="58">
        <v>45965.889641203699</v>
      </c>
      <c r="M353" s="43">
        <v>0</v>
      </c>
      <c r="N353" s="43">
        <v>0</v>
      </c>
      <c r="O353" s="43">
        <v>0</v>
      </c>
      <c r="S353" s="43" t="b">
        <v>0</v>
      </c>
      <c r="T353" s="43">
        <v>9.9999997764825804E-3</v>
      </c>
      <c r="U353" s="55">
        <v>2.7000000476837198</v>
      </c>
      <c r="V353" s="43">
        <v>9.9999997764825804E-3</v>
      </c>
      <c r="W353" s="43">
        <v>0</v>
      </c>
      <c r="X353" s="43">
        <v>1000</v>
      </c>
      <c r="Z353" s="43">
        <v>10</v>
      </c>
      <c r="AB353" s="55">
        <v>250</v>
      </c>
      <c r="AD353" s="43">
        <v>10</v>
      </c>
      <c r="AF353" s="43">
        <v>2000</v>
      </c>
      <c r="AG353" s="43">
        <v>2</v>
      </c>
      <c r="AH353" s="43">
        <v>2.7200000286102299</v>
      </c>
      <c r="AI353" s="43">
        <v>470</v>
      </c>
      <c r="AJ353" s="43">
        <v>0</v>
      </c>
      <c r="AK353" s="43">
        <v>322</v>
      </c>
      <c r="AM353" s="43" t="s">
        <v>2</v>
      </c>
      <c r="AO353" s="43">
        <v>250</v>
      </c>
      <c r="AW353" s="43" t="b">
        <v>0</v>
      </c>
      <c r="BF353" s="226">
        <v>1</v>
      </c>
      <c r="BG353" s="226">
        <v>0.55000000000000004</v>
      </c>
      <c r="BH353" s="226">
        <v>1</v>
      </c>
      <c r="BI353" s="226">
        <v>0.55000000000000004</v>
      </c>
      <c r="BJ353" s="226">
        <v>0</v>
      </c>
      <c r="BK353" s="43">
        <v>0</v>
      </c>
      <c r="BM353" s="36" t="s">
        <v>1</v>
      </c>
      <c r="BN353" s="61">
        <v>32</v>
      </c>
      <c r="BO353" s="61" t="s">
        <v>886</v>
      </c>
      <c r="BP353" s="61">
        <v>250</v>
      </c>
      <c r="CF353" s="47" t="s">
        <v>12</v>
      </c>
      <c r="CR353" s="43">
        <v>0</v>
      </c>
      <c r="CS353" s="70">
        <v>0</v>
      </c>
      <c r="CT353" s="70">
        <v>0</v>
      </c>
      <c r="CU353" s="43">
        <v>1</v>
      </c>
      <c r="CV353" s="70">
        <v>0</v>
      </c>
      <c r="CW353" s="70">
        <v>0</v>
      </c>
      <c r="CX353" s="70">
        <v>0</v>
      </c>
      <c r="CY353" s="70">
        <v>0</v>
      </c>
      <c r="CZ353" s="70">
        <v>0</v>
      </c>
      <c r="DA353" s="70">
        <v>0</v>
      </c>
      <c r="DB353" s="70">
        <v>0</v>
      </c>
      <c r="DD353" s="43">
        <v>2</v>
      </c>
    </row>
    <row r="354" spans="1:108" s="43" customFormat="1" ht="15.75" thickBot="1" x14ac:dyDescent="0.3">
      <c r="A354" s="43">
        <v>527979</v>
      </c>
      <c r="B354" s="43" t="s">
        <v>6</v>
      </c>
      <c r="C354" s="225" t="s">
        <v>739</v>
      </c>
      <c r="D354" s="43">
        <v>32</v>
      </c>
      <c r="E354" s="43">
        <v>0</v>
      </c>
      <c r="F354" s="43">
        <v>32</v>
      </c>
      <c r="G354" s="43">
        <v>80</v>
      </c>
      <c r="H354" s="43">
        <v>0</v>
      </c>
      <c r="I354" s="43">
        <v>125</v>
      </c>
      <c r="J354" s="57" t="s">
        <v>856</v>
      </c>
      <c r="K354" s="57" t="s">
        <v>857</v>
      </c>
      <c r="L354" s="58">
        <v>45965.889710648102</v>
      </c>
      <c r="M354" s="43">
        <v>0</v>
      </c>
      <c r="N354" s="43">
        <v>0</v>
      </c>
      <c r="O354" s="43">
        <v>0</v>
      </c>
      <c r="S354" s="43" t="b">
        <v>0</v>
      </c>
      <c r="T354" s="43">
        <v>9.9999997764825804E-3</v>
      </c>
      <c r="U354" s="55">
        <v>2.7000000476837198</v>
      </c>
      <c r="V354" s="43">
        <v>9.9999997764825804E-3</v>
      </c>
      <c r="W354" s="43">
        <v>0</v>
      </c>
      <c r="X354" s="43">
        <v>1000</v>
      </c>
      <c r="Z354" s="43">
        <v>10</v>
      </c>
      <c r="AB354" s="55">
        <v>250</v>
      </c>
      <c r="AD354" s="43">
        <v>10</v>
      </c>
      <c r="AF354" s="43">
        <v>2000</v>
      </c>
      <c r="AG354" s="43">
        <v>2</v>
      </c>
      <c r="AH354" s="43">
        <v>2.7200000286102299</v>
      </c>
      <c r="AI354" s="43">
        <v>465</v>
      </c>
      <c r="AJ354" s="43">
        <v>0</v>
      </c>
      <c r="AK354" s="43">
        <v>319</v>
      </c>
      <c r="AM354" s="43" t="s">
        <v>2</v>
      </c>
      <c r="AO354" s="43">
        <v>250</v>
      </c>
      <c r="AW354" s="43" t="b">
        <v>0</v>
      </c>
      <c r="BF354" s="226">
        <v>1</v>
      </c>
      <c r="BG354" s="226">
        <v>0.55000000000000004</v>
      </c>
      <c r="BH354" s="226">
        <v>1</v>
      </c>
      <c r="BI354" s="226">
        <v>0.55000000000000004</v>
      </c>
      <c r="BJ354" s="226">
        <v>0</v>
      </c>
      <c r="BK354" s="43">
        <v>0</v>
      </c>
      <c r="BM354" s="36" t="s">
        <v>1</v>
      </c>
      <c r="BN354" s="61">
        <v>32</v>
      </c>
      <c r="BO354" s="61" t="s">
        <v>886</v>
      </c>
      <c r="BP354" s="61">
        <v>250</v>
      </c>
      <c r="CF354" s="47" t="s">
        <v>12</v>
      </c>
      <c r="CR354" s="43">
        <v>0</v>
      </c>
      <c r="CS354" s="70">
        <v>0</v>
      </c>
      <c r="CT354" s="70">
        <v>0</v>
      </c>
      <c r="CU354" s="43">
        <v>1</v>
      </c>
      <c r="CV354" s="70">
        <v>0</v>
      </c>
      <c r="CW354" s="70">
        <v>0</v>
      </c>
      <c r="CX354" s="70">
        <v>0</v>
      </c>
      <c r="CY354" s="70">
        <v>0</v>
      </c>
      <c r="CZ354" s="70">
        <v>0</v>
      </c>
      <c r="DA354" s="70">
        <v>0</v>
      </c>
      <c r="DB354" s="70">
        <v>0</v>
      </c>
      <c r="DD354" s="43">
        <v>2</v>
      </c>
    </row>
    <row r="355" spans="1:108" s="43" customFormat="1" ht="15.75" thickBot="1" x14ac:dyDescent="0.3">
      <c r="A355" s="43">
        <v>527980</v>
      </c>
      <c r="B355" s="43" t="s">
        <v>6</v>
      </c>
      <c r="C355" s="225" t="s">
        <v>739</v>
      </c>
      <c r="D355" s="43">
        <v>32</v>
      </c>
      <c r="E355" s="43">
        <v>0</v>
      </c>
      <c r="F355" s="43">
        <v>32</v>
      </c>
      <c r="G355" s="43">
        <v>81</v>
      </c>
      <c r="H355" s="43">
        <v>0</v>
      </c>
      <c r="I355" s="43">
        <v>125</v>
      </c>
      <c r="J355" s="57" t="s">
        <v>858</v>
      </c>
      <c r="K355" s="57" t="s">
        <v>859</v>
      </c>
      <c r="L355" s="58">
        <v>45965.889791666697</v>
      </c>
      <c r="M355" s="43">
        <v>0</v>
      </c>
      <c r="N355" s="43">
        <v>0</v>
      </c>
      <c r="O355" s="43">
        <v>0</v>
      </c>
      <c r="S355" s="43" t="b">
        <v>0</v>
      </c>
      <c r="T355" s="43">
        <v>9.9999997764825804E-3</v>
      </c>
      <c r="U355" s="55">
        <v>2.7000000476837198</v>
      </c>
      <c r="V355" s="43">
        <v>9.9999997764825804E-3</v>
      </c>
      <c r="W355" s="43">
        <v>0</v>
      </c>
      <c r="X355" s="43">
        <v>1000</v>
      </c>
      <c r="Z355" s="43">
        <v>10</v>
      </c>
      <c r="AB355" s="55">
        <v>250</v>
      </c>
      <c r="AD355" s="43">
        <v>10</v>
      </c>
      <c r="AF355" s="43">
        <v>2000</v>
      </c>
      <c r="AG355" s="43">
        <v>2</v>
      </c>
      <c r="AH355" s="43">
        <v>2.7200000286102299</v>
      </c>
      <c r="AI355" s="43">
        <v>470</v>
      </c>
      <c r="AJ355" s="43">
        <v>0</v>
      </c>
      <c r="AK355" s="43">
        <v>323</v>
      </c>
      <c r="AM355" s="43" t="s">
        <v>2</v>
      </c>
      <c r="AO355" s="43">
        <v>250</v>
      </c>
      <c r="AW355" s="43" t="b">
        <v>0</v>
      </c>
      <c r="BF355" s="226">
        <v>1</v>
      </c>
      <c r="BG355" s="226">
        <v>0.55000000000000004</v>
      </c>
      <c r="BH355" s="226">
        <v>1</v>
      </c>
      <c r="BI355" s="226">
        <v>0.55000000000000004</v>
      </c>
      <c r="BJ355" s="226">
        <v>0</v>
      </c>
      <c r="BK355" s="43">
        <v>0</v>
      </c>
      <c r="BM355" s="36" t="s">
        <v>1</v>
      </c>
      <c r="BN355" s="61">
        <v>32</v>
      </c>
      <c r="BO355" s="61" t="s">
        <v>886</v>
      </c>
      <c r="BP355" s="61">
        <v>250</v>
      </c>
      <c r="CF355" s="47" t="s">
        <v>12</v>
      </c>
      <c r="CR355" s="43">
        <v>0</v>
      </c>
      <c r="CS355" s="70">
        <v>0</v>
      </c>
      <c r="CT355" s="70">
        <v>0</v>
      </c>
      <c r="CU355" s="43">
        <v>1</v>
      </c>
      <c r="CV355" s="70">
        <v>0</v>
      </c>
      <c r="CW355" s="70">
        <v>0</v>
      </c>
      <c r="CX355" s="70">
        <v>0</v>
      </c>
      <c r="CY355" s="70">
        <v>0</v>
      </c>
      <c r="CZ355" s="70">
        <v>0</v>
      </c>
      <c r="DA355" s="70">
        <v>0</v>
      </c>
      <c r="DB355" s="70">
        <v>0</v>
      </c>
      <c r="DD355" s="43">
        <v>2</v>
      </c>
    </row>
    <row r="356" spans="1:108" s="43" customFormat="1" ht="15.75" thickBot="1" x14ac:dyDescent="0.3">
      <c r="A356" s="43">
        <v>527953</v>
      </c>
      <c r="B356" s="43" t="s">
        <v>6</v>
      </c>
      <c r="C356" s="225" t="s">
        <v>739</v>
      </c>
      <c r="D356" s="43">
        <v>32</v>
      </c>
      <c r="E356" s="43">
        <v>0</v>
      </c>
      <c r="F356" s="43">
        <v>32</v>
      </c>
      <c r="G356" s="43">
        <v>54</v>
      </c>
      <c r="H356" s="43">
        <v>0</v>
      </c>
      <c r="I356" s="43">
        <v>125</v>
      </c>
      <c r="J356" s="57" t="s">
        <v>860</v>
      </c>
      <c r="K356" s="57" t="s">
        <v>861</v>
      </c>
      <c r="L356" s="58">
        <v>45965.884664351899</v>
      </c>
      <c r="M356" s="43">
        <v>0</v>
      </c>
      <c r="N356" s="43">
        <v>0</v>
      </c>
      <c r="O356" s="43">
        <v>0</v>
      </c>
      <c r="S356" s="43" t="b">
        <v>0</v>
      </c>
      <c r="T356" s="43">
        <v>9.9999997764825804E-3</v>
      </c>
      <c r="U356" s="55">
        <v>2.7000000476837198</v>
      </c>
      <c r="V356" s="43">
        <v>9.9999997764825804E-3</v>
      </c>
      <c r="W356" s="43">
        <v>0</v>
      </c>
      <c r="X356" s="43">
        <v>1000</v>
      </c>
      <c r="Z356" s="43">
        <v>10</v>
      </c>
      <c r="AB356" s="55">
        <v>250</v>
      </c>
      <c r="AD356" s="43">
        <v>10</v>
      </c>
      <c r="AF356" s="43">
        <v>2000</v>
      </c>
      <c r="AG356" s="43">
        <v>2</v>
      </c>
      <c r="AH356" s="43">
        <v>2.7300000190734899</v>
      </c>
      <c r="AI356" s="43">
        <v>487</v>
      </c>
      <c r="AJ356" s="43">
        <v>0</v>
      </c>
      <c r="AK356" s="43">
        <v>334</v>
      </c>
      <c r="AM356" s="43" t="s">
        <v>2</v>
      </c>
      <c r="AO356" s="43">
        <v>250</v>
      </c>
      <c r="AW356" s="43" t="b">
        <v>0</v>
      </c>
      <c r="BF356" s="226">
        <v>1</v>
      </c>
      <c r="BG356" s="226">
        <v>0.55000000000000004</v>
      </c>
      <c r="BH356" s="226">
        <v>1</v>
      </c>
      <c r="BI356" s="226">
        <v>0.55000000000000004</v>
      </c>
      <c r="BJ356" s="226">
        <v>0</v>
      </c>
      <c r="BK356" s="43">
        <v>0</v>
      </c>
      <c r="BM356" s="36" t="s">
        <v>1</v>
      </c>
      <c r="BN356" s="61">
        <v>32</v>
      </c>
      <c r="BO356" s="61" t="s">
        <v>886</v>
      </c>
      <c r="BP356" s="61">
        <v>250</v>
      </c>
      <c r="CF356" s="47" t="s">
        <v>12</v>
      </c>
      <c r="CR356" s="43">
        <v>0</v>
      </c>
      <c r="CS356" s="70">
        <v>0</v>
      </c>
      <c r="CT356" s="70">
        <v>0</v>
      </c>
      <c r="CU356" s="43">
        <v>1</v>
      </c>
      <c r="CV356" s="70">
        <v>0</v>
      </c>
      <c r="CW356" s="70">
        <v>0</v>
      </c>
      <c r="CX356" s="70">
        <v>0</v>
      </c>
      <c r="CY356" s="70">
        <v>0</v>
      </c>
      <c r="CZ356" s="70">
        <v>0</v>
      </c>
      <c r="DA356" s="70">
        <v>0</v>
      </c>
      <c r="DB356" s="70">
        <v>0</v>
      </c>
      <c r="DD356" s="43">
        <v>2</v>
      </c>
    </row>
    <row r="357" spans="1:108" s="43" customFormat="1" ht="15.75" thickBot="1" x14ac:dyDescent="0.3">
      <c r="A357" s="43">
        <v>527954</v>
      </c>
      <c r="B357" s="43" t="s">
        <v>6</v>
      </c>
      <c r="C357" s="225" t="s">
        <v>739</v>
      </c>
      <c r="D357" s="43">
        <v>32</v>
      </c>
      <c r="E357" s="43">
        <v>0</v>
      </c>
      <c r="F357" s="43">
        <v>32</v>
      </c>
      <c r="G357" s="43">
        <v>55</v>
      </c>
      <c r="H357" s="43">
        <v>0</v>
      </c>
      <c r="I357" s="43">
        <v>125</v>
      </c>
      <c r="J357" s="57" t="s">
        <v>862</v>
      </c>
      <c r="K357" s="57" t="s">
        <v>863</v>
      </c>
      <c r="L357" s="58">
        <v>45965.8847453704</v>
      </c>
      <c r="M357" s="43">
        <v>0</v>
      </c>
      <c r="N357" s="43">
        <v>0</v>
      </c>
      <c r="O357" s="43">
        <v>0</v>
      </c>
      <c r="S357" s="43" t="b">
        <v>0</v>
      </c>
      <c r="T357" s="43">
        <v>9.9999997764825804E-3</v>
      </c>
      <c r="U357" s="55">
        <v>2.7000000476837198</v>
      </c>
      <c r="V357" s="43">
        <v>9.9999997764825804E-3</v>
      </c>
      <c r="W357" s="43">
        <v>0</v>
      </c>
      <c r="X357" s="43">
        <v>1000</v>
      </c>
      <c r="Z357" s="43">
        <v>10</v>
      </c>
      <c r="AB357" s="55">
        <v>250</v>
      </c>
      <c r="AD357" s="43">
        <v>10</v>
      </c>
      <c r="AF357" s="43">
        <v>2000</v>
      </c>
      <c r="AG357" s="43">
        <v>2</v>
      </c>
      <c r="AH357" s="43">
        <v>2.7200000286102299</v>
      </c>
      <c r="AI357" s="43">
        <v>474</v>
      </c>
      <c r="AJ357" s="43">
        <v>0</v>
      </c>
      <c r="AK357" s="43">
        <v>325</v>
      </c>
      <c r="AM357" s="43" t="s">
        <v>2</v>
      </c>
      <c r="AO357" s="43">
        <v>250</v>
      </c>
      <c r="AW357" s="43" t="b">
        <v>0</v>
      </c>
      <c r="BF357" s="226">
        <v>1</v>
      </c>
      <c r="BG357" s="226">
        <v>0.55000000000000004</v>
      </c>
      <c r="BH357" s="226">
        <v>1</v>
      </c>
      <c r="BI357" s="226">
        <v>0.55000000000000004</v>
      </c>
      <c r="BJ357" s="226">
        <v>0</v>
      </c>
      <c r="BK357" s="43">
        <v>0</v>
      </c>
      <c r="BM357" s="36" t="s">
        <v>1</v>
      </c>
      <c r="BN357" s="61">
        <v>32</v>
      </c>
      <c r="BO357" s="61" t="s">
        <v>886</v>
      </c>
      <c r="BP357" s="61">
        <v>250</v>
      </c>
      <c r="CF357" s="47" t="s">
        <v>12</v>
      </c>
      <c r="CR357" s="43">
        <v>0</v>
      </c>
      <c r="CS357" s="70">
        <v>0</v>
      </c>
      <c r="CT357" s="70">
        <v>0</v>
      </c>
      <c r="CU357" s="43">
        <v>1</v>
      </c>
      <c r="CV357" s="70">
        <v>0</v>
      </c>
      <c r="CW357" s="70">
        <v>0</v>
      </c>
      <c r="CX357" s="70">
        <v>0</v>
      </c>
      <c r="CY357" s="70">
        <v>0</v>
      </c>
      <c r="CZ357" s="70">
        <v>0</v>
      </c>
      <c r="DA357" s="70">
        <v>0</v>
      </c>
      <c r="DB357" s="70">
        <v>0</v>
      </c>
      <c r="DD357" s="43">
        <v>2</v>
      </c>
    </row>
    <row r="358" spans="1:108" s="43" customFormat="1" ht="15.75" thickBot="1" x14ac:dyDescent="0.3">
      <c r="A358" s="43">
        <v>527955</v>
      </c>
      <c r="B358" s="43" t="s">
        <v>6</v>
      </c>
      <c r="C358" s="225" t="s">
        <v>739</v>
      </c>
      <c r="D358" s="43">
        <v>32</v>
      </c>
      <c r="E358" s="43">
        <v>0</v>
      </c>
      <c r="F358" s="43">
        <v>32</v>
      </c>
      <c r="G358" s="43">
        <v>56</v>
      </c>
      <c r="H358" s="43">
        <v>0</v>
      </c>
      <c r="I358" s="43">
        <v>125</v>
      </c>
      <c r="J358" s="57" t="s">
        <v>864</v>
      </c>
      <c r="K358" s="57" t="s">
        <v>865</v>
      </c>
      <c r="L358" s="58">
        <v>45965.884814814803</v>
      </c>
      <c r="M358" s="43">
        <v>0</v>
      </c>
      <c r="N358" s="43">
        <v>0</v>
      </c>
      <c r="O358" s="43">
        <v>0</v>
      </c>
      <c r="S358" s="43" t="b">
        <v>0</v>
      </c>
      <c r="T358" s="43">
        <v>9.9999997764825804E-3</v>
      </c>
      <c r="U358" s="55">
        <v>2.7000000476837198</v>
      </c>
      <c r="V358" s="43">
        <v>9.9999997764825804E-3</v>
      </c>
      <c r="W358" s="43">
        <v>0</v>
      </c>
      <c r="X358" s="43">
        <v>1000</v>
      </c>
      <c r="Z358" s="43">
        <v>10</v>
      </c>
      <c r="AB358" s="55">
        <v>250</v>
      </c>
      <c r="AD358" s="43">
        <v>10</v>
      </c>
      <c r="AF358" s="43">
        <v>2000</v>
      </c>
      <c r="AG358" s="43">
        <v>2</v>
      </c>
      <c r="AH358" s="43">
        <v>2.7200000286102299</v>
      </c>
      <c r="AI358" s="43">
        <v>474</v>
      </c>
      <c r="AJ358" s="43">
        <v>0</v>
      </c>
      <c r="AK358" s="43">
        <v>326</v>
      </c>
      <c r="AM358" s="43" t="s">
        <v>2</v>
      </c>
      <c r="AO358" s="43">
        <v>250</v>
      </c>
      <c r="AW358" s="43" t="b">
        <v>0</v>
      </c>
      <c r="BF358" s="226">
        <v>1</v>
      </c>
      <c r="BG358" s="226">
        <v>0.55000000000000004</v>
      </c>
      <c r="BH358" s="226">
        <v>1</v>
      </c>
      <c r="BI358" s="226">
        <v>0.55000000000000004</v>
      </c>
      <c r="BJ358" s="226">
        <v>0</v>
      </c>
      <c r="BK358" s="43">
        <v>0</v>
      </c>
      <c r="BM358" s="36" t="s">
        <v>1</v>
      </c>
      <c r="BN358" s="61">
        <v>32</v>
      </c>
      <c r="BO358" s="61" t="s">
        <v>886</v>
      </c>
      <c r="BP358" s="61">
        <v>250</v>
      </c>
      <c r="CF358" s="47" t="s">
        <v>12</v>
      </c>
      <c r="CR358" s="43">
        <v>0</v>
      </c>
      <c r="CS358" s="70">
        <v>0</v>
      </c>
      <c r="CT358" s="70">
        <v>0</v>
      </c>
      <c r="CU358" s="43">
        <v>1</v>
      </c>
      <c r="CV358" s="70">
        <v>0</v>
      </c>
      <c r="CW358" s="70">
        <v>0</v>
      </c>
      <c r="CX358" s="70">
        <v>0</v>
      </c>
      <c r="CY358" s="70">
        <v>0</v>
      </c>
      <c r="CZ358" s="70">
        <v>0</v>
      </c>
      <c r="DA358" s="70">
        <v>0</v>
      </c>
      <c r="DB358" s="70">
        <v>0</v>
      </c>
      <c r="DD358" s="43">
        <v>2</v>
      </c>
    </row>
    <row r="359" spans="1:108" s="43" customFormat="1" ht="15.75" thickBot="1" x14ac:dyDescent="0.3">
      <c r="A359" s="43">
        <v>527956</v>
      </c>
      <c r="B359" s="43" t="s">
        <v>6</v>
      </c>
      <c r="C359" s="225" t="s">
        <v>739</v>
      </c>
      <c r="D359" s="43">
        <v>32</v>
      </c>
      <c r="E359" s="43">
        <v>0</v>
      </c>
      <c r="F359" s="43">
        <v>32</v>
      </c>
      <c r="G359" s="43">
        <v>57</v>
      </c>
      <c r="H359" s="43">
        <v>0</v>
      </c>
      <c r="I359" s="43">
        <v>125</v>
      </c>
      <c r="J359" s="57" t="s">
        <v>866</v>
      </c>
      <c r="K359" s="57" t="s">
        <v>867</v>
      </c>
      <c r="L359" s="58">
        <v>45965.884861111103</v>
      </c>
      <c r="M359" s="43">
        <v>0</v>
      </c>
      <c r="N359" s="43">
        <v>0</v>
      </c>
      <c r="O359" s="43">
        <v>0</v>
      </c>
      <c r="S359" s="43" t="b">
        <v>0</v>
      </c>
      <c r="T359" s="43">
        <v>9.9999997764825804E-3</v>
      </c>
      <c r="U359" s="55">
        <v>2.7000000476837198</v>
      </c>
      <c r="V359" s="43">
        <v>9.9999997764825804E-3</v>
      </c>
      <c r="W359" s="43">
        <v>0</v>
      </c>
      <c r="X359" s="43">
        <v>1000</v>
      </c>
      <c r="Z359" s="43">
        <v>10</v>
      </c>
      <c r="AB359" s="55">
        <v>250</v>
      </c>
      <c r="AD359" s="43">
        <v>10</v>
      </c>
      <c r="AF359" s="43">
        <v>2000</v>
      </c>
      <c r="AG359" s="43">
        <v>2</v>
      </c>
      <c r="AH359" s="43">
        <v>2.7200000286102299</v>
      </c>
      <c r="AI359" s="43">
        <v>478</v>
      </c>
      <c r="AJ359" s="43">
        <v>0</v>
      </c>
      <c r="AK359" s="43">
        <v>329</v>
      </c>
      <c r="AM359" s="43" t="s">
        <v>2</v>
      </c>
      <c r="AO359" s="43">
        <v>250</v>
      </c>
      <c r="AW359" s="43" t="b">
        <v>0</v>
      </c>
      <c r="BF359" s="226">
        <v>1</v>
      </c>
      <c r="BG359" s="226">
        <v>0.55000000000000004</v>
      </c>
      <c r="BH359" s="226">
        <v>1</v>
      </c>
      <c r="BI359" s="226">
        <v>0.55000000000000004</v>
      </c>
      <c r="BJ359" s="226">
        <v>0</v>
      </c>
      <c r="BK359" s="43">
        <v>0</v>
      </c>
      <c r="BM359" s="36" t="s">
        <v>1</v>
      </c>
      <c r="BN359" s="61">
        <v>32</v>
      </c>
      <c r="BO359" s="61" t="s">
        <v>886</v>
      </c>
      <c r="BP359" s="61">
        <v>250</v>
      </c>
      <c r="CF359" s="47" t="s">
        <v>12</v>
      </c>
      <c r="CR359" s="43">
        <v>0</v>
      </c>
      <c r="CS359" s="70">
        <v>0</v>
      </c>
      <c r="CT359" s="70">
        <v>0</v>
      </c>
      <c r="CU359" s="43">
        <v>1</v>
      </c>
      <c r="CV359" s="70">
        <v>0</v>
      </c>
      <c r="CW359" s="70">
        <v>0</v>
      </c>
      <c r="CX359" s="70">
        <v>0</v>
      </c>
      <c r="CY359" s="70">
        <v>0</v>
      </c>
      <c r="CZ359" s="70">
        <v>0</v>
      </c>
      <c r="DA359" s="70">
        <v>0</v>
      </c>
      <c r="DB359" s="70">
        <v>0</v>
      </c>
      <c r="DD359" s="43">
        <v>2</v>
      </c>
    </row>
    <row r="360" spans="1:108" s="43" customFormat="1" ht="15.75" thickBot="1" x14ac:dyDescent="0.3">
      <c r="A360" s="43">
        <v>527931</v>
      </c>
      <c r="B360" s="43" t="s">
        <v>6</v>
      </c>
      <c r="C360" s="225" t="s">
        <v>739</v>
      </c>
      <c r="D360" s="43">
        <v>32</v>
      </c>
      <c r="E360" s="43">
        <v>0</v>
      </c>
      <c r="F360" s="43">
        <v>32</v>
      </c>
      <c r="G360" s="43">
        <v>32</v>
      </c>
      <c r="H360" s="43">
        <v>0</v>
      </c>
      <c r="I360" s="43">
        <v>125</v>
      </c>
      <c r="J360" s="57" t="s">
        <v>868</v>
      </c>
      <c r="K360" s="57" t="s">
        <v>869</v>
      </c>
      <c r="L360" s="58">
        <v>45965.875324074099</v>
      </c>
      <c r="M360" s="43">
        <v>0</v>
      </c>
      <c r="N360" s="43">
        <v>0</v>
      </c>
      <c r="O360" s="43">
        <v>0</v>
      </c>
      <c r="S360" s="43" t="b">
        <v>0</v>
      </c>
      <c r="T360" s="43">
        <v>9.9999997764825804E-3</v>
      </c>
      <c r="U360" s="55">
        <v>2.7000000476837198</v>
      </c>
      <c r="V360" s="43">
        <v>9.9999997764825804E-3</v>
      </c>
      <c r="W360" s="43">
        <v>0</v>
      </c>
      <c r="X360" s="43">
        <v>1000</v>
      </c>
      <c r="Z360" s="43">
        <v>10</v>
      </c>
      <c r="AB360" s="55">
        <v>250</v>
      </c>
      <c r="AD360" s="43">
        <v>10</v>
      </c>
      <c r="AF360" s="43">
        <v>2000</v>
      </c>
      <c r="AG360" s="43">
        <v>2</v>
      </c>
      <c r="AH360" s="43">
        <v>2.7200000286102299</v>
      </c>
      <c r="AI360" s="43">
        <v>474</v>
      </c>
      <c r="AJ360" s="43">
        <v>0</v>
      </c>
      <c r="AK360" s="43">
        <v>327</v>
      </c>
      <c r="AM360" s="43" t="s">
        <v>2</v>
      </c>
      <c r="AO360" s="43">
        <v>250</v>
      </c>
      <c r="AW360" s="43" t="b">
        <v>0</v>
      </c>
      <c r="BF360" s="226">
        <v>1</v>
      </c>
      <c r="BG360" s="226">
        <v>0.55000000000000004</v>
      </c>
      <c r="BH360" s="226">
        <v>1</v>
      </c>
      <c r="BI360" s="226">
        <v>0.55000000000000004</v>
      </c>
      <c r="BJ360" s="226">
        <v>0</v>
      </c>
      <c r="BK360" s="43">
        <v>0</v>
      </c>
      <c r="BM360" s="36" t="s">
        <v>1</v>
      </c>
      <c r="BN360" s="61">
        <v>32</v>
      </c>
      <c r="BO360" s="61" t="s">
        <v>886</v>
      </c>
      <c r="BP360" s="61">
        <v>250</v>
      </c>
      <c r="CF360" s="47" t="s">
        <v>12</v>
      </c>
      <c r="CR360" s="43">
        <v>0</v>
      </c>
      <c r="CS360" s="70">
        <v>0</v>
      </c>
      <c r="CT360" s="70">
        <v>0</v>
      </c>
      <c r="CU360" s="43">
        <v>1</v>
      </c>
      <c r="CV360" s="70">
        <v>0</v>
      </c>
      <c r="CW360" s="70">
        <v>0</v>
      </c>
      <c r="CX360" s="70">
        <v>0</v>
      </c>
      <c r="CY360" s="70">
        <v>0</v>
      </c>
      <c r="CZ360" s="70">
        <v>0</v>
      </c>
      <c r="DA360" s="70">
        <v>0</v>
      </c>
      <c r="DB360" s="70">
        <v>0</v>
      </c>
      <c r="DD360" s="43">
        <v>2</v>
      </c>
    </row>
    <row r="361" spans="1:108" s="43" customFormat="1" ht="15.75" thickBot="1" x14ac:dyDescent="0.3">
      <c r="A361" s="43">
        <v>527932</v>
      </c>
      <c r="B361" s="43" t="s">
        <v>6</v>
      </c>
      <c r="C361" s="225" t="s">
        <v>739</v>
      </c>
      <c r="D361" s="43">
        <v>32</v>
      </c>
      <c r="E361" s="43">
        <v>0</v>
      </c>
      <c r="F361" s="43">
        <v>32</v>
      </c>
      <c r="G361" s="43">
        <v>33</v>
      </c>
      <c r="H361" s="43">
        <v>0</v>
      </c>
      <c r="I361" s="43">
        <v>125</v>
      </c>
      <c r="J361" s="57" t="s">
        <v>870</v>
      </c>
      <c r="K361" s="57" t="s">
        <v>871</v>
      </c>
      <c r="L361" s="58">
        <v>45965.875393518501</v>
      </c>
      <c r="M361" s="43">
        <v>0</v>
      </c>
      <c r="N361" s="43">
        <v>0</v>
      </c>
      <c r="O361" s="43">
        <v>0</v>
      </c>
      <c r="S361" s="43" t="b">
        <v>0</v>
      </c>
      <c r="T361" s="43">
        <v>9.9999997764825804E-3</v>
      </c>
      <c r="U361" s="55">
        <v>2.7000000476837198</v>
      </c>
      <c r="V361" s="43">
        <v>9.9999997764825804E-3</v>
      </c>
      <c r="W361" s="43">
        <v>0</v>
      </c>
      <c r="X361" s="43">
        <v>1000</v>
      </c>
      <c r="Z361" s="43">
        <v>10</v>
      </c>
      <c r="AB361" s="55">
        <v>250</v>
      </c>
      <c r="AD361" s="43">
        <v>10</v>
      </c>
      <c r="AF361" s="43">
        <v>2000</v>
      </c>
      <c r="AG361" s="43">
        <v>2</v>
      </c>
      <c r="AH361" s="43">
        <v>2.7200000286102299</v>
      </c>
      <c r="AI361" s="43">
        <v>474</v>
      </c>
      <c r="AJ361" s="43">
        <v>0</v>
      </c>
      <c r="AK361" s="43">
        <v>325</v>
      </c>
      <c r="AM361" s="43" t="s">
        <v>2</v>
      </c>
      <c r="AO361" s="43">
        <v>250</v>
      </c>
      <c r="AW361" s="43" t="b">
        <v>0</v>
      </c>
      <c r="BF361" s="226">
        <v>1</v>
      </c>
      <c r="BG361" s="226">
        <v>0.55000000000000004</v>
      </c>
      <c r="BH361" s="226">
        <v>1</v>
      </c>
      <c r="BI361" s="226">
        <v>0.55000000000000004</v>
      </c>
      <c r="BJ361" s="226">
        <v>0</v>
      </c>
      <c r="BK361" s="43">
        <v>0</v>
      </c>
      <c r="BM361" s="36" t="s">
        <v>1</v>
      </c>
      <c r="BN361" s="61">
        <v>32</v>
      </c>
      <c r="BO361" s="61" t="s">
        <v>886</v>
      </c>
      <c r="BP361" s="61">
        <v>250</v>
      </c>
      <c r="CF361" s="47" t="s">
        <v>12</v>
      </c>
      <c r="CR361" s="43">
        <v>0</v>
      </c>
      <c r="CS361" s="70">
        <v>0</v>
      </c>
      <c r="CT361" s="70">
        <v>0</v>
      </c>
      <c r="CU361" s="43">
        <v>1</v>
      </c>
      <c r="CV361" s="70">
        <v>0</v>
      </c>
      <c r="CW361" s="70">
        <v>0</v>
      </c>
      <c r="CX361" s="70">
        <v>0</v>
      </c>
      <c r="CY361" s="70">
        <v>0</v>
      </c>
      <c r="CZ361" s="70">
        <v>0</v>
      </c>
      <c r="DA361" s="70">
        <v>0</v>
      </c>
      <c r="DB361" s="70">
        <v>0</v>
      </c>
      <c r="DD361" s="43">
        <v>2</v>
      </c>
    </row>
    <row r="362" spans="1:108" s="43" customFormat="1" ht="15.75" thickBot="1" x14ac:dyDescent="0.3">
      <c r="A362" s="43">
        <v>527933</v>
      </c>
      <c r="B362" s="43" t="s">
        <v>6</v>
      </c>
      <c r="C362" s="225" t="s">
        <v>739</v>
      </c>
      <c r="D362" s="43">
        <v>32</v>
      </c>
      <c r="E362" s="43">
        <v>0</v>
      </c>
      <c r="F362" s="43">
        <v>32</v>
      </c>
      <c r="G362" s="43">
        <v>34</v>
      </c>
      <c r="H362" s="43">
        <v>0</v>
      </c>
      <c r="I362" s="43">
        <v>125</v>
      </c>
      <c r="J362" s="57" t="s">
        <v>872</v>
      </c>
      <c r="K362" s="57" t="s">
        <v>873</v>
      </c>
      <c r="L362" s="58">
        <v>45965.875462962998</v>
      </c>
      <c r="M362" s="43">
        <v>0</v>
      </c>
      <c r="N362" s="43">
        <v>0</v>
      </c>
      <c r="O362" s="43">
        <v>0</v>
      </c>
      <c r="S362" s="43" t="b">
        <v>0</v>
      </c>
      <c r="T362" s="43">
        <v>9.9999997764825804E-3</v>
      </c>
      <c r="U362" s="55">
        <v>2.7000000476837198</v>
      </c>
      <c r="V362" s="43">
        <v>9.9999997764825804E-3</v>
      </c>
      <c r="W362" s="43">
        <v>0</v>
      </c>
      <c r="X362" s="43">
        <v>1000</v>
      </c>
      <c r="Z362" s="43">
        <v>10</v>
      </c>
      <c r="AB362" s="55">
        <v>250</v>
      </c>
      <c r="AD362" s="43">
        <v>10</v>
      </c>
      <c r="AF362" s="43">
        <v>2000</v>
      </c>
      <c r="AG362" s="43">
        <v>2</v>
      </c>
      <c r="AH362" s="43">
        <v>2.7200000286102299</v>
      </c>
      <c r="AI362" s="43">
        <v>470</v>
      </c>
      <c r="AJ362" s="43">
        <v>0</v>
      </c>
      <c r="AK362" s="43">
        <v>325</v>
      </c>
      <c r="AM362" s="43" t="s">
        <v>2</v>
      </c>
      <c r="AO362" s="43">
        <v>250</v>
      </c>
      <c r="AW362" s="43" t="b">
        <v>0</v>
      </c>
      <c r="BF362" s="226">
        <v>1</v>
      </c>
      <c r="BG362" s="226">
        <v>0.55000000000000004</v>
      </c>
      <c r="BH362" s="226">
        <v>1</v>
      </c>
      <c r="BI362" s="226">
        <v>0.55000000000000004</v>
      </c>
      <c r="BJ362" s="226">
        <v>0</v>
      </c>
      <c r="BK362" s="43">
        <v>0</v>
      </c>
      <c r="BM362" s="36" t="s">
        <v>1</v>
      </c>
      <c r="BN362" s="61">
        <v>32</v>
      </c>
      <c r="BO362" s="61" t="s">
        <v>886</v>
      </c>
      <c r="BP362" s="61">
        <v>250</v>
      </c>
      <c r="CF362" s="47" t="s">
        <v>12</v>
      </c>
      <c r="CR362" s="43">
        <v>0</v>
      </c>
      <c r="CS362" s="70">
        <v>0</v>
      </c>
      <c r="CT362" s="70">
        <v>0</v>
      </c>
      <c r="CU362" s="43">
        <v>1</v>
      </c>
      <c r="CV362" s="70">
        <v>0</v>
      </c>
      <c r="CW362" s="70">
        <v>0</v>
      </c>
      <c r="CX362" s="70">
        <v>0</v>
      </c>
      <c r="CY362" s="70">
        <v>0</v>
      </c>
      <c r="CZ362" s="70">
        <v>0</v>
      </c>
      <c r="DA362" s="70">
        <v>0</v>
      </c>
      <c r="DB362" s="70">
        <v>0</v>
      </c>
      <c r="DD362" s="43">
        <v>2</v>
      </c>
    </row>
    <row r="363" spans="1:108" s="43" customFormat="1" ht="15.75" thickBot="1" x14ac:dyDescent="0.3">
      <c r="A363" s="43">
        <v>527904</v>
      </c>
      <c r="B363" s="43" t="s">
        <v>6</v>
      </c>
      <c r="C363" s="225" t="s">
        <v>739</v>
      </c>
      <c r="D363" s="43">
        <v>32</v>
      </c>
      <c r="E363" s="43">
        <v>0</v>
      </c>
      <c r="F363" s="43">
        <v>32</v>
      </c>
      <c r="G363" s="43">
        <v>5</v>
      </c>
      <c r="H363" s="43">
        <v>0</v>
      </c>
      <c r="I363" s="43">
        <v>125</v>
      </c>
      <c r="J363" s="57" t="s">
        <v>874</v>
      </c>
      <c r="K363" s="57" t="s">
        <v>875</v>
      </c>
      <c r="L363" s="58">
        <v>45965.853622685201</v>
      </c>
      <c r="M363" s="43">
        <v>0</v>
      </c>
      <c r="N363" s="43">
        <v>0</v>
      </c>
      <c r="O363" s="43">
        <v>0</v>
      </c>
      <c r="S363" s="43" t="b">
        <v>0</v>
      </c>
      <c r="T363" s="43">
        <v>9.9999997764825804E-3</v>
      </c>
      <c r="U363" s="55">
        <v>2.7000000476837198</v>
      </c>
      <c r="V363" s="43">
        <v>9.9999997764825804E-3</v>
      </c>
      <c r="W363" s="43">
        <v>0</v>
      </c>
      <c r="X363" s="43">
        <v>1000</v>
      </c>
      <c r="Z363" s="43">
        <v>10</v>
      </c>
      <c r="AB363" s="55">
        <v>250</v>
      </c>
      <c r="AD363" s="43">
        <v>10</v>
      </c>
      <c r="AF363" s="43">
        <v>2000</v>
      </c>
      <c r="AG363" s="43">
        <v>2</v>
      </c>
      <c r="AH363" s="43">
        <v>2.71000003814697</v>
      </c>
      <c r="AI363" s="43">
        <v>436</v>
      </c>
      <c r="AJ363" s="43">
        <v>0</v>
      </c>
      <c r="AK363" s="43">
        <v>298</v>
      </c>
      <c r="AM363" s="43" t="s">
        <v>2</v>
      </c>
      <c r="AO363" s="43">
        <v>250</v>
      </c>
      <c r="AW363" s="43" t="b">
        <v>0</v>
      </c>
      <c r="BF363" s="226">
        <v>1</v>
      </c>
      <c r="BG363" s="226">
        <v>0.55000000000000004</v>
      </c>
      <c r="BH363" s="226">
        <v>1</v>
      </c>
      <c r="BI363" s="226">
        <v>0.55000000000000004</v>
      </c>
      <c r="BJ363" s="226">
        <v>0</v>
      </c>
      <c r="BK363" s="43">
        <v>0</v>
      </c>
      <c r="BM363" s="36" t="s">
        <v>1</v>
      </c>
      <c r="BN363" s="61">
        <v>32</v>
      </c>
      <c r="BO363" s="61" t="s">
        <v>886</v>
      </c>
      <c r="BP363" s="61">
        <v>250</v>
      </c>
      <c r="CF363" s="47" t="s">
        <v>12</v>
      </c>
      <c r="CR363" s="43">
        <v>0</v>
      </c>
      <c r="CS363" s="70">
        <v>0</v>
      </c>
      <c r="CT363" s="70">
        <v>0</v>
      </c>
      <c r="CU363" s="43">
        <v>1</v>
      </c>
      <c r="CV363" s="70">
        <v>0</v>
      </c>
      <c r="CW363" s="70">
        <v>0</v>
      </c>
      <c r="CX363" s="70">
        <v>0</v>
      </c>
      <c r="CY363" s="70">
        <v>0</v>
      </c>
      <c r="CZ363" s="70">
        <v>0</v>
      </c>
      <c r="DA363" s="70">
        <v>0</v>
      </c>
      <c r="DB363" s="70">
        <v>0</v>
      </c>
      <c r="DD363" s="43">
        <v>2</v>
      </c>
    </row>
    <row r="364" spans="1:108" s="43" customFormat="1" ht="15.75" thickBot="1" x14ac:dyDescent="0.3">
      <c r="A364" s="43">
        <v>527905</v>
      </c>
      <c r="B364" s="43" t="s">
        <v>6</v>
      </c>
      <c r="C364" s="225" t="s">
        <v>739</v>
      </c>
      <c r="D364" s="43">
        <v>32</v>
      </c>
      <c r="E364" s="43">
        <v>0</v>
      </c>
      <c r="F364" s="43">
        <v>32</v>
      </c>
      <c r="G364" s="43">
        <v>6</v>
      </c>
      <c r="H364" s="43">
        <v>0</v>
      </c>
      <c r="I364" s="43">
        <v>125</v>
      </c>
      <c r="J364" s="57" t="s">
        <v>876</v>
      </c>
      <c r="K364" s="57" t="s">
        <v>877</v>
      </c>
      <c r="L364" s="58">
        <v>45965.853703703702</v>
      </c>
      <c r="M364" s="43">
        <v>0</v>
      </c>
      <c r="N364" s="43">
        <v>0</v>
      </c>
      <c r="O364" s="43">
        <v>0</v>
      </c>
      <c r="S364" s="43" t="b">
        <v>0</v>
      </c>
      <c r="T364" s="43">
        <v>9.9999997764825804E-3</v>
      </c>
      <c r="U364" s="55">
        <v>2.7000000476837198</v>
      </c>
      <c r="V364" s="43">
        <v>9.9999997764825804E-3</v>
      </c>
      <c r="W364" s="43">
        <v>0</v>
      </c>
      <c r="X364" s="43">
        <v>1000</v>
      </c>
      <c r="Z364" s="43">
        <v>10</v>
      </c>
      <c r="AB364" s="55">
        <v>250</v>
      </c>
      <c r="AD364" s="43">
        <v>10</v>
      </c>
      <c r="AF364" s="43">
        <v>2000</v>
      </c>
      <c r="AG364" s="43">
        <v>2</v>
      </c>
      <c r="AH364" s="43">
        <v>2.7000000476837198</v>
      </c>
      <c r="AI364" s="43">
        <v>423</v>
      </c>
      <c r="AJ364" s="43">
        <v>0</v>
      </c>
      <c r="AK364" s="43">
        <v>291</v>
      </c>
      <c r="AM364" s="43" t="s">
        <v>2</v>
      </c>
      <c r="AO364" s="43">
        <v>250</v>
      </c>
      <c r="AW364" s="43" t="b">
        <v>0</v>
      </c>
      <c r="BF364" s="226">
        <v>1</v>
      </c>
      <c r="BG364" s="226">
        <v>0.55000000000000004</v>
      </c>
      <c r="BH364" s="226">
        <v>1</v>
      </c>
      <c r="BI364" s="226">
        <v>0.55000000000000004</v>
      </c>
      <c r="BJ364" s="226">
        <v>0</v>
      </c>
      <c r="BK364" s="43">
        <v>0</v>
      </c>
      <c r="BM364" s="36" t="s">
        <v>1</v>
      </c>
      <c r="BN364" s="61">
        <v>32</v>
      </c>
      <c r="BO364" s="61" t="s">
        <v>886</v>
      </c>
      <c r="BP364" s="61">
        <v>250</v>
      </c>
      <c r="CF364" s="47" t="s">
        <v>12</v>
      </c>
      <c r="CR364" s="43">
        <v>0</v>
      </c>
      <c r="CS364" s="70">
        <v>0</v>
      </c>
      <c r="CT364" s="70">
        <v>0</v>
      </c>
      <c r="CU364" s="43">
        <v>1</v>
      </c>
      <c r="CV364" s="70">
        <v>0</v>
      </c>
      <c r="CW364" s="70">
        <v>0</v>
      </c>
      <c r="CX364" s="70">
        <v>0</v>
      </c>
      <c r="CY364" s="70">
        <v>0</v>
      </c>
      <c r="CZ364" s="70">
        <v>0</v>
      </c>
      <c r="DA364" s="70">
        <v>0</v>
      </c>
      <c r="DB364" s="70">
        <v>0</v>
      </c>
      <c r="DD364" s="43">
        <v>2</v>
      </c>
    </row>
    <row r="365" spans="1:108" s="43" customFormat="1" ht="15.75" thickBot="1" x14ac:dyDescent="0.3">
      <c r="A365" s="43">
        <v>527906</v>
      </c>
      <c r="B365" s="43" t="s">
        <v>6</v>
      </c>
      <c r="C365" s="225" t="s">
        <v>739</v>
      </c>
      <c r="D365" s="43">
        <v>32</v>
      </c>
      <c r="E365" s="43">
        <v>0</v>
      </c>
      <c r="F365" s="43">
        <v>32</v>
      </c>
      <c r="G365" s="43">
        <v>7</v>
      </c>
      <c r="H365" s="43">
        <v>0</v>
      </c>
      <c r="I365" s="43">
        <v>125</v>
      </c>
      <c r="J365" s="57" t="s">
        <v>878</v>
      </c>
      <c r="K365" s="57" t="s">
        <v>879</v>
      </c>
      <c r="L365" s="58">
        <v>45965.872048611098</v>
      </c>
      <c r="M365" s="43">
        <v>0</v>
      </c>
      <c r="N365" s="43">
        <v>0</v>
      </c>
      <c r="O365" s="43">
        <v>0</v>
      </c>
      <c r="S365" s="43" t="b">
        <v>0</v>
      </c>
      <c r="T365" s="43">
        <v>9.9999997764825804E-3</v>
      </c>
      <c r="U365" s="55">
        <v>2.7000000476837198</v>
      </c>
      <c r="V365" s="43">
        <v>9.9999997764825804E-3</v>
      </c>
      <c r="W365" s="43">
        <v>0</v>
      </c>
      <c r="X365" s="43">
        <v>1000</v>
      </c>
      <c r="Z365" s="43">
        <v>10</v>
      </c>
      <c r="AB365" s="55">
        <v>250</v>
      </c>
      <c r="AD365" s="43">
        <v>10</v>
      </c>
      <c r="AF365" s="43">
        <v>2000</v>
      </c>
      <c r="AG365" s="43">
        <v>2</v>
      </c>
      <c r="AH365" s="43">
        <v>2.7300000190734899</v>
      </c>
      <c r="AI365" s="43">
        <v>499</v>
      </c>
      <c r="AJ365" s="43">
        <v>0</v>
      </c>
      <c r="AK365" s="43">
        <v>343</v>
      </c>
      <c r="AM365" s="43" t="s">
        <v>2</v>
      </c>
      <c r="AO365" s="43">
        <v>250</v>
      </c>
      <c r="AW365" s="43" t="b">
        <v>0</v>
      </c>
      <c r="BF365" s="226">
        <v>1</v>
      </c>
      <c r="BG365" s="226">
        <v>0.55000000000000004</v>
      </c>
      <c r="BH365" s="226">
        <v>1</v>
      </c>
      <c r="BI365" s="226">
        <v>0.55000000000000004</v>
      </c>
      <c r="BJ365" s="226">
        <v>0</v>
      </c>
      <c r="BK365" s="43">
        <v>0</v>
      </c>
      <c r="BM365" s="36" t="s">
        <v>1</v>
      </c>
      <c r="BN365" s="61">
        <v>32</v>
      </c>
      <c r="BO365" s="61" t="s">
        <v>886</v>
      </c>
      <c r="BP365" s="61">
        <v>250</v>
      </c>
      <c r="CF365" s="47" t="s">
        <v>12</v>
      </c>
      <c r="CR365" s="43">
        <v>0</v>
      </c>
      <c r="CS365" s="70">
        <v>0</v>
      </c>
      <c r="CT365" s="70">
        <v>0</v>
      </c>
      <c r="CU365" s="43">
        <v>1</v>
      </c>
      <c r="CV365" s="70">
        <v>0</v>
      </c>
      <c r="CW365" s="70">
        <v>0</v>
      </c>
      <c r="CX365" s="70">
        <v>0</v>
      </c>
      <c r="CY365" s="70">
        <v>0</v>
      </c>
      <c r="CZ365" s="70">
        <v>0</v>
      </c>
      <c r="DA365" s="70">
        <v>0</v>
      </c>
      <c r="DB365" s="70">
        <v>0</v>
      </c>
      <c r="DD365" s="43">
        <v>2</v>
      </c>
    </row>
    <row r="366" spans="1:108" s="43" customFormat="1" ht="15.75" thickBot="1" x14ac:dyDescent="0.3">
      <c r="A366" s="43">
        <v>527907</v>
      </c>
      <c r="B366" s="43" t="s">
        <v>6</v>
      </c>
      <c r="C366" s="225" t="s">
        <v>739</v>
      </c>
      <c r="D366" s="43">
        <v>32</v>
      </c>
      <c r="E366" s="43">
        <v>0</v>
      </c>
      <c r="F366" s="43">
        <v>32</v>
      </c>
      <c r="G366" s="43">
        <v>8</v>
      </c>
      <c r="H366" s="43">
        <v>0</v>
      </c>
      <c r="I366" s="43">
        <v>125</v>
      </c>
      <c r="J366" s="57" t="s">
        <v>880</v>
      </c>
      <c r="K366" s="57" t="s">
        <v>881</v>
      </c>
      <c r="L366" s="58">
        <v>45965.872118055602</v>
      </c>
      <c r="M366" s="43">
        <v>0</v>
      </c>
      <c r="N366" s="43">
        <v>0</v>
      </c>
      <c r="O366" s="43">
        <v>0</v>
      </c>
      <c r="S366" s="43" t="b">
        <v>0</v>
      </c>
      <c r="T366" s="43">
        <v>9.9999997764825804E-3</v>
      </c>
      <c r="U366" s="55">
        <v>2.7000000476837198</v>
      </c>
      <c r="V366" s="43">
        <v>9.9999997764825804E-3</v>
      </c>
      <c r="W366" s="43">
        <v>0</v>
      </c>
      <c r="X366" s="43">
        <v>1000</v>
      </c>
      <c r="Z366" s="43">
        <v>10</v>
      </c>
      <c r="AB366" s="55">
        <v>250</v>
      </c>
      <c r="AD366" s="43">
        <v>10</v>
      </c>
      <c r="AF366" s="43">
        <v>2000</v>
      </c>
      <c r="AG366" s="43">
        <v>2</v>
      </c>
      <c r="AH366" s="43">
        <v>2.7200000286102299</v>
      </c>
      <c r="AI366" s="43">
        <v>487</v>
      </c>
      <c r="AJ366" s="43">
        <v>0</v>
      </c>
      <c r="AK366" s="43">
        <v>335</v>
      </c>
      <c r="AM366" s="43" t="s">
        <v>2</v>
      </c>
      <c r="AO366" s="43">
        <v>250</v>
      </c>
      <c r="AW366" s="43" t="b">
        <v>0</v>
      </c>
      <c r="BF366" s="226">
        <v>1</v>
      </c>
      <c r="BG366" s="226">
        <v>0.55000000000000004</v>
      </c>
      <c r="BH366" s="226">
        <v>1</v>
      </c>
      <c r="BI366" s="226">
        <v>0.55000000000000004</v>
      </c>
      <c r="BJ366" s="226">
        <v>0</v>
      </c>
      <c r="BK366" s="43">
        <v>0</v>
      </c>
      <c r="BM366" s="36" t="s">
        <v>1</v>
      </c>
      <c r="BN366" s="61">
        <v>32</v>
      </c>
      <c r="BO366" s="61" t="s">
        <v>886</v>
      </c>
      <c r="BP366" s="61">
        <v>250</v>
      </c>
      <c r="CF366" s="47" t="s">
        <v>12</v>
      </c>
      <c r="CR366" s="43">
        <v>0</v>
      </c>
      <c r="CS366" s="70">
        <v>0</v>
      </c>
      <c r="CT366" s="70">
        <v>0</v>
      </c>
      <c r="CU366" s="43">
        <v>1</v>
      </c>
      <c r="CV366" s="70">
        <v>0</v>
      </c>
      <c r="CW366" s="70">
        <v>0</v>
      </c>
      <c r="CX366" s="70">
        <v>0</v>
      </c>
      <c r="CY366" s="70">
        <v>0</v>
      </c>
      <c r="CZ366" s="70">
        <v>0</v>
      </c>
      <c r="DA366" s="70">
        <v>0</v>
      </c>
      <c r="DB366" s="70">
        <v>0</v>
      </c>
      <c r="DD366" s="43">
        <v>2</v>
      </c>
    </row>
    <row r="367" spans="1:108" s="43" customFormat="1" ht="15.75" thickBot="1" x14ac:dyDescent="0.3">
      <c r="A367" s="43">
        <v>527908</v>
      </c>
      <c r="B367" s="43" t="s">
        <v>6</v>
      </c>
      <c r="C367" s="225" t="s">
        <v>739</v>
      </c>
      <c r="D367" s="43">
        <v>32</v>
      </c>
      <c r="E367" s="43">
        <v>0</v>
      </c>
      <c r="F367" s="43">
        <v>32</v>
      </c>
      <c r="G367" s="43">
        <v>9</v>
      </c>
      <c r="H367" s="43">
        <v>0</v>
      </c>
      <c r="I367" s="43">
        <v>125</v>
      </c>
      <c r="J367" s="57" t="s">
        <v>882</v>
      </c>
      <c r="K367" s="57" t="s">
        <v>883</v>
      </c>
      <c r="L367" s="58">
        <v>45965.872187499997</v>
      </c>
      <c r="M367" s="43">
        <v>0</v>
      </c>
      <c r="N367" s="43">
        <v>0</v>
      </c>
      <c r="O367" s="43">
        <v>0</v>
      </c>
      <c r="S367" s="43" t="b">
        <v>0</v>
      </c>
      <c r="T367" s="43">
        <v>9.9999997764825804E-3</v>
      </c>
      <c r="U367" s="55">
        <v>2.7000000476837198</v>
      </c>
      <c r="V367" s="43">
        <v>9.9999997764825804E-3</v>
      </c>
      <c r="W367" s="43">
        <v>0</v>
      </c>
      <c r="X367" s="43">
        <v>1000</v>
      </c>
      <c r="Z367" s="43">
        <v>10</v>
      </c>
      <c r="AB367" s="55">
        <v>250</v>
      </c>
      <c r="AD367" s="43">
        <v>10</v>
      </c>
      <c r="AF367" s="43">
        <v>2000</v>
      </c>
      <c r="AG367" s="43">
        <v>2</v>
      </c>
      <c r="AH367" s="43">
        <v>2.7300000190734899</v>
      </c>
      <c r="AI367" s="43">
        <v>487</v>
      </c>
      <c r="AJ367" s="43">
        <v>0</v>
      </c>
      <c r="AK367" s="43">
        <v>336</v>
      </c>
      <c r="AM367" s="43" t="s">
        <v>2</v>
      </c>
      <c r="AO367" s="43">
        <v>250</v>
      </c>
      <c r="AW367" s="43" t="b">
        <v>0</v>
      </c>
      <c r="BF367" s="226">
        <v>1</v>
      </c>
      <c r="BG367" s="226">
        <v>0.55000000000000004</v>
      </c>
      <c r="BH367" s="226">
        <v>1</v>
      </c>
      <c r="BI367" s="226">
        <v>0.55000000000000004</v>
      </c>
      <c r="BJ367" s="226">
        <v>0</v>
      </c>
      <c r="BK367" s="43">
        <v>0</v>
      </c>
      <c r="BM367" s="36" t="s">
        <v>1</v>
      </c>
      <c r="BN367" s="61">
        <v>32</v>
      </c>
      <c r="BO367" s="61" t="s">
        <v>886</v>
      </c>
      <c r="BP367" s="61">
        <v>250</v>
      </c>
      <c r="CF367" s="47" t="s">
        <v>12</v>
      </c>
      <c r="CR367" s="43">
        <v>0</v>
      </c>
      <c r="CS367" s="70">
        <v>0</v>
      </c>
      <c r="CT367" s="70">
        <v>0</v>
      </c>
      <c r="CU367" s="43">
        <v>1</v>
      </c>
      <c r="CV367" s="70">
        <v>0</v>
      </c>
      <c r="CW367" s="70">
        <v>0</v>
      </c>
      <c r="CX367" s="70">
        <v>0</v>
      </c>
      <c r="CY367" s="70">
        <v>0</v>
      </c>
      <c r="CZ367" s="70">
        <v>0</v>
      </c>
      <c r="DA367" s="70">
        <v>0</v>
      </c>
      <c r="DB367" s="70">
        <v>0</v>
      </c>
      <c r="DD367" s="43">
        <v>2</v>
      </c>
    </row>
    <row r="368" spans="1:108" s="43" customFormat="1" ht="15.75" thickBot="1" x14ac:dyDescent="0.3">
      <c r="A368" s="43">
        <v>527909</v>
      </c>
      <c r="B368" s="43" t="s">
        <v>6</v>
      </c>
      <c r="C368" s="225" t="s">
        <v>739</v>
      </c>
      <c r="D368" s="43">
        <v>32</v>
      </c>
      <c r="E368" s="43">
        <v>0</v>
      </c>
      <c r="F368" s="43">
        <v>32</v>
      </c>
      <c r="G368" s="43">
        <v>10</v>
      </c>
      <c r="H368" s="43">
        <v>0</v>
      </c>
      <c r="I368" s="43">
        <v>125</v>
      </c>
      <c r="J368" s="57" t="s">
        <v>884</v>
      </c>
      <c r="K368" s="57" t="s">
        <v>885</v>
      </c>
      <c r="L368" s="58">
        <v>45965.872233796297</v>
      </c>
      <c r="M368" s="43">
        <v>0</v>
      </c>
      <c r="N368" s="43">
        <v>0</v>
      </c>
      <c r="O368" s="43">
        <v>0</v>
      </c>
      <c r="S368" s="43" t="b">
        <v>0</v>
      </c>
      <c r="T368" s="43">
        <v>9.9999997764825804E-3</v>
      </c>
      <c r="U368" s="55">
        <v>2.7000000476837198</v>
      </c>
      <c r="V368" s="43">
        <v>9.9999997764825804E-3</v>
      </c>
      <c r="W368" s="43">
        <v>0</v>
      </c>
      <c r="X368" s="43">
        <v>1000</v>
      </c>
      <c r="Z368" s="43">
        <v>10</v>
      </c>
      <c r="AB368" s="55">
        <v>250</v>
      </c>
      <c r="AD368" s="43">
        <v>10</v>
      </c>
      <c r="AF368" s="43">
        <v>2000</v>
      </c>
      <c r="AG368" s="43">
        <v>2</v>
      </c>
      <c r="AH368" s="43">
        <v>2.7300000190734899</v>
      </c>
      <c r="AI368" s="43">
        <v>491</v>
      </c>
      <c r="AJ368" s="43">
        <v>0</v>
      </c>
      <c r="AK368" s="43">
        <v>336</v>
      </c>
      <c r="AM368" s="43" t="s">
        <v>2</v>
      </c>
      <c r="AO368" s="43">
        <v>250</v>
      </c>
      <c r="AW368" s="43" t="b">
        <v>0</v>
      </c>
      <c r="BF368" s="226">
        <v>1</v>
      </c>
      <c r="BG368" s="226">
        <v>0.55000000000000004</v>
      </c>
      <c r="BH368" s="226">
        <v>1</v>
      </c>
      <c r="BI368" s="226">
        <v>0.55000000000000004</v>
      </c>
      <c r="BJ368" s="226">
        <v>0</v>
      </c>
      <c r="BK368" s="43">
        <v>0</v>
      </c>
      <c r="BM368" s="36" t="s">
        <v>1</v>
      </c>
      <c r="BN368" s="61">
        <v>32</v>
      </c>
      <c r="BO368" s="61" t="s">
        <v>886</v>
      </c>
      <c r="BP368" s="61">
        <v>250</v>
      </c>
      <c r="CF368" s="47" t="s">
        <v>12</v>
      </c>
      <c r="CR368" s="43">
        <v>0</v>
      </c>
      <c r="CS368" s="70">
        <v>0</v>
      </c>
      <c r="CT368" s="70">
        <v>0</v>
      </c>
      <c r="CU368" s="43">
        <v>1</v>
      </c>
      <c r="CV368" s="70">
        <v>0</v>
      </c>
      <c r="CW368" s="70">
        <v>0</v>
      </c>
      <c r="CX368" s="70">
        <v>0</v>
      </c>
      <c r="CY368" s="70">
        <v>0</v>
      </c>
      <c r="CZ368" s="70">
        <v>0</v>
      </c>
      <c r="DA368" s="70">
        <v>0</v>
      </c>
      <c r="DB368" s="70">
        <v>0</v>
      </c>
      <c r="DD368" s="43">
        <v>2</v>
      </c>
    </row>
    <row r="369" spans="75:108" x14ac:dyDescent="0.25">
      <c r="BW369" s="17"/>
      <c r="BX369" s="17"/>
      <c r="BY369" s="17"/>
      <c r="BZ369" s="17"/>
      <c r="CA369" s="17"/>
      <c r="CB369" s="17"/>
      <c r="CC369" s="17"/>
      <c r="CD369" s="16"/>
      <c r="DD369" s="15"/>
    </row>
  </sheetData>
  <mergeCells count="91">
    <mergeCell ref="BD4:BD5"/>
    <mergeCell ref="BD6:BD7"/>
    <mergeCell ref="BD8:BD11"/>
    <mergeCell ref="BN2:BN3"/>
    <mergeCell ref="BO2:BO3"/>
    <mergeCell ref="BW3:BX3"/>
    <mergeCell ref="BY3:BZ3"/>
    <mergeCell ref="CA3:CB3"/>
    <mergeCell ref="CG3:CH3"/>
    <mergeCell ref="BT2:CE2"/>
    <mergeCell ref="BU3:BV3"/>
    <mergeCell ref="BQ2:BS2"/>
    <mergeCell ref="BL2:BL3"/>
    <mergeCell ref="BM2:BM3"/>
    <mergeCell ref="BG2:BG3"/>
    <mergeCell ref="BP2:BP3"/>
    <mergeCell ref="BH2:BH3"/>
    <mergeCell ref="BI2:BI3"/>
    <mergeCell ref="BJ2:BJ3"/>
    <mergeCell ref="BK2:BK3"/>
    <mergeCell ref="BA2:BA3"/>
    <mergeCell ref="BC2:BC3"/>
    <mergeCell ref="BD2:BD3"/>
    <mergeCell ref="BE2:BE3"/>
    <mergeCell ref="BF2:BF3"/>
    <mergeCell ref="AZ2:AZ3"/>
    <mergeCell ref="AO2:AO3"/>
    <mergeCell ref="AP2:AP3"/>
    <mergeCell ref="AQ2:AQ3"/>
    <mergeCell ref="AR2:AR3"/>
    <mergeCell ref="AS2:AS3"/>
    <mergeCell ref="AY2:AY3"/>
    <mergeCell ref="AT2:AT3"/>
    <mergeCell ref="AU2:AU3"/>
    <mergeCell ref="AV2:AV3"/>
    <mergeCell ref="AW2:AW3"/>
    <mergeCell ref="AX2:AX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B2:AB3"/>
    <mergeCell ref="AJ2:AJ3"/>
    <mergeCell ref="AK2:AK3"/>
    <mergeCell ref="AL2:AL3"/>
    <mergeCell ref="AM2:AM3"/>
    <mergeCell ref="V2:V3"/>
    <mergeCell ref="W2:W3"/>
    <mergeCell ref="X2:X3"/>
    <mergeCell ref="Y2:Y3"/>
    <mergeCell ref="DF1:DF3"/>
    <mergeCell ref="A1:BA1"/>
    <mergeCell ref="BC1:CE1"/>
    <mergeCell ref="CF1:CF2"/>
    <mergeCell ref="CG1:CJ2"/>
    <mergeCell ref="A2:A3"/>
    <mergeCell ref="Q2:Q3"/>
    <mergeCell ref="R2:R3"/>
    <mergeCell ref="S2:S3"/>
    <mergeCell ref="T2:T3"/>
    <mergeCell ref="U2:U3"/>
    <mergeCell ref="Z2:Z3"/>
    <mergeCell ref="DG1:DG3"/>
    <mergeCell ref="DH1:DH3"/>
    <mergeCell ref="DI1:DI3"/>
    <mergeCell ref="CK1:DD1"/>
    <mergeCell ref="DE1:DE3"/>
    <mergeCell ref="DC2:DC3"/>
    <mergeCell ref="DD2:DD3"/>
    <mergeCell ref="CR2:DB2"/>
    <mergeCell ref="CK2:CQ2"/>
    <mergeCell ref="B2:B3"/>
    <mergeCell ref="C2:C3"/>
    <mergeCell ref="D2:D3"/>
    <mergeCell ref="E2:E3"/>
    <mergeCell ref="P2:P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</mergeCells>
  <conditionalFormatting sqref="CJ18:CJ56 CJ1:CJ13 CJ58:CJ88">
    <cfRule type="cellIs" dxfId="26" priority="27" operator="equal">
      <formula>1</formula>
    </cfRule>
  </conditionalFormatting>
  <conditionalFormatting sqref="BQ1:BS56 BQ58:BS96">
    <cfRule type="cellIs" dxfId="25" priority="26" operator="equal">
      <formula>0</formula>
    </cfRule>
  </conditionalFormatting>
  <conditionalFormatting sqref="CJ89:CJ96">
    <cfRule type="cellIs" dxfId="24" priority="25" operator="equal">
      <formula>1</formula>
    </cfRule>
  </conditionalFormatting>
  <conditionalFormatting sqref="CK1:CQ56 CK58:CQ96">
    <cfRule type="cellIs" dxfId="23" priority="24" operator="equal">
      <formula>1</formula>
    </cfRule>
  </conditionalFormatting>
  <conditionalFormatting sqref="CR14:CT17 CV14:DB17">
    <cfRule type="cellIs" dxfId="22" priority="23" operator="equal">
      <formula>1</formula>
    </cfRule>
  </conditionalFormatting>
  <conditionalFormatting sqref="DD14:DD17">
    <cfRule type="cellIs" dxfId="21" priority="22" operator="equal">
      <formula>1</formula>
    </cfRule>
  </conditionalFormatting>
  <conditionalFormatting sqref="DE14:DE17">
    <cfRule type="cellIs" dxfId="20" priority="21" operator="equal">
      <formula>1</formula>
    </cfRule>
  </conditionalFormatting>
  <conditionalFormatting sqref="DF14:DF17">
    <cfRule type="cellIs" dxfId="19" priority="20" operator="equal">
      <formula>1</formula>
    </cfRule>
  </conditionalFormatting>
  <conditionalFormatting sqref="DG14:DG17">
    <cfRule type="cellIs" dxfId="18" priority="19" operator="equal">
      <formula>1</formula>
    </cfRule>
  </conditionalFormatting>
  <conditionalFormatting sqref="DH14:DH17">
    <cfRule type="cellIs" dxfId="17" priority="18" operator="equal">
      <formula>1</formula>
    </cfRule>
  </conditionalFormatting>
  <conditionalFormatting sqref="DI14:DI17">
    <cfRule type="cellIs" dxfId="16" priority="17" operator="equal">
      <formula>1</formula>
    </cfRule>
  </conditionalFormatting>
  <conditionalFormatting sqref="CJ57">
    <cfRule type="cellIs" dxfId="15" priority="16" operator="equal">
      <formula>1</formula>
    </cfRule>
  </conditionalFormatting>
  <conditionalFormatting sqref="BQ57:BS57">
    <cfRule type="cellIs" dxfId="14" priority="15" operator="equal">
      <formula>0</formula>
    </cfRule>
  </conditionalFormatting>
  <conditionalFormatting sqref="CK57:CQ57">
    <cfRule type="cellIs" dxfId="13" priority="14" operator="equal">
      <formula>1</formula>
    </cfRule>
  </conditionalFormatting>
  <conditionalFormatting sqref="CU315:CU317 CU324:CU1048576 CU303:CU308 CU1:CU298">
    <cfRule type="cellIs" dxfId="12" priority="13" operator="equal">
      <formula>1</formula>
    </cfRule>
  </conditionalFormatting>
  <conditionalFormatting sqref="DD1 DD315:DD317 DD324:DD1048576 DD303:DD308 DD4:DD298">
    <cfRule type="cellIs" dxfId="11" priority="9" operator="equal">
      <formula>3</formula>
    </cfRule>
    <cfRule type="cellIs" dxfId="10" priority="10" operator="equal">
      <formula>2</formula>
    </cfRule>
    <cfRule type="cellIs" dxfId="9" priority="11" operator="equal">
      <formula>1</formula>
    </cfRule>
    <cfRule type="cellIs" dxfId="8" priority="12" operator="greaterThan">
      <formula>0</formula>
    </cfRule>
  </conditionalFormatting>
  <conditionalFormatting sqref="DC315:DC317 DC324:DC1048576 DC303:DC308 DC1:DC298">
    <cfRule type="cellIs" dxfId="7" priority="8" operator="equal">
      <formula>1</formula>
    </cfRule>
  </conditionalFormatting>
  <conditionalFormatting sqref="CJ315:CJ317 CJ324:CJ1048576 CJ303:CJ308 CJ1:CJ298">
    <cfRule type="cellIs" dxfId="6" priority="7" operator="equal">
      <formula>1</formula>
    </cfRule>
  </conditionalFormatting>
  <conditionalFormatting sqref="BQ108:BS114">
    <cfRule type="cellIs" dxfId="5" priority="6" operator="equal">
      <formula>0</formula>
    </cfRule>
  </conditionalFormatting>
  <conditionalFormatting sqref="BQ115:BS115">
    <cfRule type="cellIs" dxfId="4" priority="5" operator="equal">
      <formula>0</formula>
    </cfRule>
  </conditionalFormatting>
  <conditionalFormatting sqref="BQ116:BS116">
    <cfRule type="cellIs" dxfId="3" priority="4" operator="equal">
      <formula>0</formula>
    </cfRule>
  </conditionalFormatting>
  <conditionalFormatting sqref="BQ120:BS123">
    <cfRule type="cellIs" dxfId="2" priority="3" operator="equal">
      <formula>0</formula>
    </cfRule>
  </conditionalFormatting>
  <conditionalFormatting sqref="BQ125:BS127">
    <cfRule type="cellIs" dxfId="1" priority="2" operator="equal">
      <formula>0</formula>
    </cfRule>
  </conditionalFormatting>
  <conditionalFormatting sqref="BQ128:BS134">
    <cfRule type="cellIs" dxfId="0" priority="1" operator="equal">
      <formula>0</formula>
    </cfRule>
  </conditionalFormatting>
  <dataValidations count="1">
    <dataValidation type="list" allowBlank="1" showInputMessage="1" showErrorMessage="1" sqref="BM2:BM96">
      <formula1>"CP Ti Gr3, Nimonic 75"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DatosTitaneo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2026-01-15T11:47:28Z</dcterms:modified>
</cp:coreProperties>
</file>