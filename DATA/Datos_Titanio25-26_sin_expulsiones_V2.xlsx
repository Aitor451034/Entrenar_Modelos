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"/>
  </bookViews>
  <sheets>
    <sheet name="Hoja1" sheetId="1" state="hidden" r:id="rId1"/>
    <sheet name="DatosTitane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O106" i="2" l="1"/>
  <c r="BN106" i="2"/>
  <c r="BO241" i="2" l="1"/>
  <c r="BO240" i="2"/>
  <c r="BO239" i="2"/>
  <c r="BO238" i="2"/>
  <c r="BO237" i="2"/>
  <c r="BO236" i="2"/>
  <c r="BO235" i="2"/>
  <c r="BO234" i="2"/>
  <c r="BO233" i="2"/>
  <c r="BO232" i="2"/>
  <c r="BO231" i="2"/>
  <c r="BO230" i="2"/>
  <c r="BO229" i="2"/>
  <c r="BO228" i="2"/>
  <c r="BO227" i="2"/>
  <c r="BO226" i="2"/>
  <c r="BO225" i="2"/>
  <c r="BO224" i="2"/>
  <c r="BO223" i="2"/>
  <c r="BO222" i="2"/>
  <c r="BO221" i="2"/>
  <c r="BO220" i="2"/>
  <c r="BO219" i="2"/>
  <c r="BO218" i="2"/>
  <c r="BO217" i="2"/>
  <c r="BO216" i="2"/>
  <c r="BO215" i="2"/>
  <c r="BO214" i="2"/>
  <c r="BO213" i="2"/>
  <c r="BO212" i="2"/>
  <c r="BO211" i="2"/>
  <c r="BO210" i="2"/>
  <c r="BO209" i="2"/>
  <c r="BO208" i="2"/>
  <c r="BO207" i="2"/>
  <c r="BO206" i="2"/>
  <c r="BO205" i="2"/>
  <c r="BO204" i="2"/>
  <c r="BO203" i="2"/>
  <c r="BO202" i="2"/>
  <c r="BO201" i="2"/>
  <c r="BO200" i="2"/>
  <c r="BO199" i="2"/>
  <c r="BO198" i="2"/>
  <c r="BO197" i="2"/>
  <c r="BO196" i="2"/>
  <c r="BO195" i="2"/>
  <c r="BO194" i="2"/>
  <c r="BO193" i="2"/>
  <c r="BO192" i="2"/>
  <c r="BO191" i="2"/>
  <c r="BO190" i="2"/>
  <c r="BO189" i="2"/>
  <c r="BO188" i="2"/>
  <c r="BO187" i="2"/>
  <c r="BO186" i="2"/>
  <c r="BO185" i="2"/>
  <c r="BO184" i="2"/>
  <c r="BO183" i="2"/>
  <c r="BO182" i="2"/>
  <c r="BO181" i="2"/>
  <c r="BO180" i="2"/>
  <c r="BO179" i="2"/>
  <c r="BO178" i="2"/>
  <c r="BO177" i="2"/>
  <c r="BO176" i="2"/>
  <c r="BO175" i="2"/>
  <c r="BO174" i="2"/>
  <c r="BO173" i="2"/>
  <c r="BO172" i="2"/>
  <c r="BO171" i="2"/>
  <c r="BO170" i="2"/>
  <c r="BO169" i="2"/>
  <c r="BO168" i="2"/>
  <c r="BO167" i="2"/>
  <c r="BO166" i="2"/>
  <c r="BO165" i="2"/>
  <c r="BO164" i="2"/>
  <c r="BO163" i="2"/>
  <c r="BO162" i="2"/>
  <c r="BO161" i="2"/>
  <c r="BO160" i="2"/>
  <c r="BO159" i="2"/>
  <c r="BO158" i="2"/>
  <c r="BO157" i="2"/>
  <c r="BO156" i="2"/>
  <c r="BO155" i="2"/>
  <c r="BO154" i="2"/>
  <c r="BO153" i="2"/>
  <c r="BO152" i="2"/>
  <c r="BO151" i="2"/>
  <c r="BO150" i="2"/>
  <c r="BO149" i="2"/>
  <c r="BO148" i="2"/>
  <c r="BO147" i="2"/>
  <c r="BO146" i="2"/>
  <c r="BO145" i="2"/>
  <c r="BO144" i="2"/>
  <c r="BO143" i="2"/>
  <c r="BO142" i="2"/>
  <c r="BO141" i="2"/>
  <c r="BO140" i="2"/>
  <c r="BO139" i="2"/>
  <c r="BO138" i="2"/>
  <c r="BO137" i="2"/>
  <c r="BO136" i="2"/>
  <c r="BO135" i="2"/>
  <c r="BO134" i="2"/>
  <c r="BO133" i="2"/>
  <c r="BO132" i="2"/>
  <c r="BO131" i="2"/>
  <c r="BO130" i="2"/>
  <c r="BO129" i="2"/>
  <c r="BO128" i="2"/>
  <c r="BO127" i="2"/>
  <c r="BO126" i="2"/>
  <c r="BO125" i="2"/>
  <c r="BO124" i="2" l="1"/>
  <c r="BO123" i="2"/>
  <c r="BO122" i="2"/>
  <c r="BO121" i="2"/>
  <c r="BO120" i="2"/>
  <c r="BO119" i="2"/>
  <c r="BO118" i="2"/>
  <c r="BO117" i="2"/>
  <c r="BO116" i="2"/>
  <c r="BO115" i="2"/>
  <c r="BO114" i="2"/>
  <c r="BO113" i="2"/>
  <c r="BO112" i="2"/>
  <c r="BO111" i="2"/>
  <c r="BO110" i="2"/>
  <c r="BO109" i="2"/>
  <c r="BO108" i="2"/>
  <c r="BN124" i="2"/>
  <c r="BN123" i="2"/>
  <c r="BN122" i="2"/>
  <c r="BN121" i="2"/>
  <c r="BN120" i="2"/>
  <c r="BN119" i="2"/>
  <c r="BN118" i="2"/>
  <c r="BN117" i="2"/>
  <c r="BN116" i="2"/>
  <c r="BN115" i="2"/>
  <c r="BN114" i="2"/>
  <c r="BN113" i="2"/>
  <c r="BN112" i="2"/>
  <c r="BN111" i="2"/>
  <c r="BN110" i="2"/>
  <c r="BN109" i="2"/>
  <c r="BS107" i="2" l="1"/>
  <c r="BS96" i="2"/>
  <c r="BS105" i="2"/>
  <c r="BS104" i="2"/>
  <c r="BS103" i="2"/>
  <c r="BS102" i="2"/>
  <c r="BS101" i="2"/>
  <c r="BS100" i="2"/>
  <c r="BS99" i="2"/>
  <c r="BS98" i="2"/>
  <c r="BS97" i="2"/>
  <c r="BO107" i="2"/>
  <c r="BO105" i="2"/>
  <c r="BO104" i="2"/>
  <c r="BO103" i="2"/>
  <c r="BO102" i="2"/>
  <c r="BO101" i="2"/>
  <c r="BO100" i="2"/>
  <c r="BO99" i="2"/>
  <c r="BO98" i="2"/>
  <c r="BO97" i="2"/>
  <c r="BO96" i="2"/>
  <c r="BN107" i="2"/>
  <c r="BN105" i="2"/>
  <c r="BN104" i="2"/>
  <c r="BN103" i="2"/>
  <c r="BN102" i="2"/>
  <c r="BN101" i="2"/>
  <c r="BN100" i="2"/>
  <c r="BN99" i="2"/>
  <c r="BN98" i="2"/>
  <c r="BN97" i="2"/>
  <c r="BN96" i="2"/>
  <c r="BN95" i="2"/>
  <c r="BS95" i="2" l="1"/>
  <c r="BS94" i="2"/>
  <c r="BS93" i="2"/>
  <c r="BS92" i="2"/>
  <c r="BS88" i="2"/>
  <c r="BS87" i="2"/>
  <c r="BS86" i="2"/>
  <c r="BS85" i="2"/>
  <c r="BS84" i="2"/>
  <c r="BS83" i="2"/>
  <c r="BS82" i="2"/>
  <c r="BS81" i="2"/>
  <c r="BS80" i="2"/>
  <c r="BO95" i="2" l="1"/>
  <c r="BO94" i="2"/>
  <c r="BO93" i="2"/>
  <c r="BO92" i="2"/>
  <c r="BO91" i="2"/>
  <c r="BO90" i="2"/>
  <c r="BO89" i="2"/>
  <c r="BO88" i="2"/>
  <c r="BO87" i="2"/>
  <c r="BO86" i="2"/>
  <c r="BO85" i="2"/>
  <c r="BO84" i="2"/>
  <c r="BO83" i="2"/>
  <c r="BO82" i="2"/>
  <c r="BO81" i="2"/>
  <c r="BO80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4" i="2" l="1"/>
  <c r="BO4" i="2"/>
  <c r="CH4" i="2"/>
  <c r="CI4" i="2"/>
  <c r="DC4" i="2"/>
  <c r="BN5" i="2"/>
  <c r="BO5" i="2"/>
  <c r="CH5" i="2"/>
  <c r="CI5" i="2"/>
  <c r="DC5" i="2"/>
  <c r="BN6" i="2"/>
  <c r="BO6" i="2"/>
  <c r="CH6" i="2"/>
  <c r="CI6" i="2"/>
  <c r="DC6" i="2"/>
  <c r="BN7" i="2"/>
  <c r="BO7" i="2"/>
  <c r="CH7" i="2"/>
  <c r="CI7" i="2"/>
  <c r="DC7" i="2"/>
  <c r="BN8" i="2"/>
  <c r="BO8" i="2"/>
  <c r="CH8" i="2"/>
  <c r="CI8" i="2"/>
  <c r="DC8" i="2"/>
  <c r="BN9" i="2"/>
  <c r="BO9" i="2"/>
  <c r="CH9" i="2"/>
  <c r="CI9" i="2"/>
  <c r="DC9" i="2"/>
  <c r="BN10" i="2"/>
  <c r="BO10" i="2"/>
  <c r="CH10" i="2"/>
  <c r="CI10" i="2"/>
  <c r="DC10" i="2"/>
  <c r="BN11" i="2"/>
  <c r="BO11" i="2"/>
  <c r="CH11" i="2"/>
  <c r="CI11" i="2"/>
  <c r="DC11" i="2"/>
  <c r="BN12" i="2"/>
  <c r="BO12" i="2"/>
  <c r="CH12" i="2"/>
  <c r="CI12" i="2"/>
  <c r="DC12" i="2"/>
  <c r="BN13" i="2"/>
  <c r="BO13" i="2"/>
  <c r="CH13" i="2"/>
  <c r="CI13" i="2"/>
  <c r="DC13" i="2"/>
  <c r="BN14" i="2"/>
  <c r="BO14" i="2"/>
  <c r="CH14" i="2"/>
  <c r="CI14" i="2"/>
  <c r="DC14" i="2"/>
  <c r="BN15" i="2"/>
  <c r="BO15" i="2"/>
  <c r="CH15" i="2"/>
  <c r="CI15" i="2"/>
  <c r="DC15" i="2"/>
  <c r="BN16" i="2"/>
  <c r="BO16" i="2"/>
  <c r="CH16" i="2"/>
  <c r="CI16" i="2"/>
  <c r="DC16" i="2"/>
  <c r="BN17" i="2"/>
  <c r="BO17" i="2"/>
  <c r="CH17" i="2"/>
  <c r="CI17" i="2"/>
  <c r="DC17" i="2"/>
  <c r="BN18" i="2"/>
  <c r="BO18" i="2"/>
  <c r="CH18" i="2"/>
  <c r="CI18" i="2"/>
  <c r="DC18" i="2"/>
  <c r="BN19" i="2"/>
  <c r="BO19" i="2"/>
  <c r="CH19" i="2"/>
  <c r="CI19" i="2"/>
  <c r="DC19" i="2"/>
  <c r="BN20" i="2"/>
  <c r="BO20" i="2"/>
  <c r="CH20" i="2"/>
  <c r="CI20" i="2"/>
  <c r="DC20" i="2"/>
  <c r="BN21" i="2"/>
  <c r="BO21" i="2"/>
  <c r="CH21" i="2"/>
  <c r="CI21" i="2"/>
  <c r="DC21" i="2"/>
  <c r="BN22" i="2"/>
  <c r="BO22" i="2"/>
  <c r="CH22" i="2"/>
  <c r="CI22" i="2"/>
  <c r="DC22" i="2"/>
  <c r="BN23" i="2"/>
  <c r="BO23" i="2"/>
  <c r="CH23" i="2"/>
  <c r="CI23" i="2"/>
  <c r="DC23" i="2"/>
  <c r="BN24" i="2"/>
  <c r="BO24" i="2"/>
  <c r="CH24" i="2"/>
  <c r="CI24" i="2"/>
  <c r="DC24" i="2"/>
  <c r="BN25" i="2"/>
  <c r="BO25" i="2"/>
  <c r="CH25" i="2"/>
  <c r="CI25" i="2"/>
  <c r="DC25" i="2"/>
  <c r="BN26" i="2"/>
  <c r="BO26" i="2"/>
  <c r="CH26" i="2"/>
  <c r="CI26" i="2"/>
  <c r="DC26" i="2"/>
  <c r="BN27" i="2"/>
  <c r="BO27" i="2"/>
  <c r="CH27" i="2"/>
  <c r="CI27" i="2"/>
  <c r="DC27" i="2"/>
  <c r="BN28" i="2"/>
  <c r="BO28" i="2"/>
  <c r="CH28" i="2"/>
  <c r="CI28" i="2"/>
  <c r="DC28" i="2"/>
  <c r="BN29" i="2"/>
  <c r="BO29" i="2"/>
  <c r="CH29" i="2"/>
  <c r="CI29" i="2"/>
  <c r="DC29" i="2"/>
  <c r="BN30" i="2"/>
  <c r="BO30" i="2"/>
  <c r="CH30" i="2"/>
  <c r="CI30" i="2"/>
  <c r="DC30" i="2"/>
  <c r="BN31" i="2"/>
  <c r="BO31" i="2"/>
  <c r="CH31" i="2"/>
  <c r="CI31" i="2"/>
  <c r="DC31" i="2"/>
  <c r="BN32" i="2"/>
  <c r="BO32" i="2"/>
  <c r="CH32" i="2"/>
  <c r="CI32" i="2"/>
  <c r="DC32" i="2"/>
  <c r="BN33" i="2"/>
  <c r="BO33" i="2"/>
  <c r="CH33" i="2"/>
  <c r="CI33" i="2"/>
  <c r="DC33" i="2"/>
  <c r="BN34" i="2"/>
  <c r="BO34" i="2"/>
  <c r="CH34" i="2"/>
  <c r="CI34" i="2"/>
  <c r="DC34" i="2"/>
  <c r="BN35" i="2"/>
  <c r="BO35" i="2"/>
  <c r="CH35" i="2"/>
  <c r="CI35" i="2"/>
  <c r="DC35" i="2"/>
  <c r="BN36" i="2"/>
  <c r="BO36" i="2"/>
  <c r="CH36" i="2"/>
  <c r="CI36" i="2"/>
  <c r="DC36" i="2"/>
  <c r="BN37" i="2"/>
  <c r="BO37" i="2"/>
  <c r="CH37" i="2"/>
  <c r="CI37" i="2"/>
  <c r="DC37" i="2"/>
  <c r="BN38" i="2"/>
  <c r="BO38" i="2"/>
  <c r="CH38" i="2"/>
  <c r="CI38" i="2"/>
  <c r="DC38" i="2"/>
  <c r="BN39" i="2"/>
  <c r="BO39" i="2"/>
  <c r="CH39" i="2"/>
  <c r="CI39" i="2"/>
  <c r="DC39" i="2"/>
  <c r="BN40" i="2"/>
  <c r="BO40" i="2"/>
  <c r="CH40" i="2"/>
  <c r="CI40" i="2"/>
  <c r="DC40" i="2"/>
  <c r="BN41" i="2"/>
  <c r="BO41" i="2"/>
  <c r="CH41" i="2"/>
  <c r="CI41" i="2"/>
  <c r="DC41" i="2"/>
  <c r="BN42" i="2"/>
  <c r="BO42" i="2"/>
  <c r="CH42" i="2"/>
  <c r="CI42" i="2"/>
  <c r="DC42" i="2"/>
  <c r="BN43" i="2"/>
  <c r="BO43" i="2"/>
  <c r="CH43" i="2"/>
  <c r="CI43" i="2"/>
  <c r="DC43" i="2"/>
  <c r="BN44" i="2"/>
  <c r="BO44" i="2"/>
  <c r="CH44" i="2"/>
  <c r="CI44" i="2"/>
  <c r="DC44" i="2"/>
  <c r="BN45" i="2"/>
  <c r="BO45" i="2"/>
  <c r="CH45" i="2"/>
  <c r="CI45" i="2"/>
  <c r="DC45" i="2"/>
  <c r="BN46" i="2"/>
  <c r="BO46" i="2"/>
  <c r="CH46" i="2"/>
  <c r="CI46" i="2"/>
  <c r="DC46" i="2"/>
  <c r="BN47" i="2"/>
  <c r="BO47" i="2"/>
  <c r="CH47" i="2"/>
  <c r="CI47" i="2"/>
  <c r="DC47" i="2"/>
  <c r="BN48" i="2"/>
  <c r="BO48" i="2"/>
  <c r="CH48" i="2"/>
  <c r="CI48" i="2"/>
  <c r="DC48" i="2"/>
  <c r="BN49" i="2"/>
  <c r="BO49" i="2"/>
  <c r="CH49" i="2"/>
  <c r="CI49" i="2"/>
  <c r="DC49" i="2"/>
  <c r="BN50" i="2"/>
  <c r="BO50" i="2"/>
  <c r="CH50" i="2"/>
  <c r="CI50" i="2"/>
  <c r="DC50" i="2"/>
  <c r="BN51" i="2"/>
  <c r="BO51" i="2"/>
  <c r="CH51" i="2"/>
  <c r="CI51" i="2"/>
  <c r="DC51" i="2"/>
  <c r="BN52" i="2"/>
  <c r="BO52" i="2"/>
  <c r="CH52" i="2"/>
  <c r="CI52" i="2"/>
  <c r="DC52" i="2"/>
  <c r="BN53" i="2"/>
  <c r="BO53" i="2"/>
  <c r="CH53" i="2"/>
  <c r="CI53" i="2"/>
  <c r="DC53" i="2"/>
  <c r="BN54" i="2"/>
  <c r="BO54" i="2"/>
  <c r="CH54" i="2"/>
  <c r="CI54" i="2"/>
  <c r="DC54" i="2"/>
  <c r="BN55" i="2"/>
  <c r="BO55" i="2"/>
  <c r="CH55" i="2"/>
  <c r="CI55" i="2"/>
  <c r="DC55" i="2"/>
  <c r="BN56" i="2"/>
  <c r="BO56" i="2"/>
  <c r="CH56" i="2"/>
  <c r="CI56" i="2"/>
  <c r="DC56" i="2"/>
  <c r="BN57" i="2"/>
  <c r="BO57" i="2"/>
  <c r="CH57" i="2"/>
  <c r="CI57" i="2"/>
  <c r="DC57" i="2"/>
  <c r="BN58" i="2"/>
  <c r="BO58" i="2"/>
  <c r="CH58" i="2"/>
  <c r="CI58" i="2"/>
  <c r="DC58" i="2"/>
  <c r="BN59" i="2"/>
  <c r="BO59" i="2"/>
  <c r="CH59" i="2"/>
  <c r="CI59" i="2"/>
  <c r="DC59" i="2"/>
  <c r="BN60" i="2"/>
  <c r="BO60" i="2"/>
  <c r="CH60" i="2"/>
  <c r="CI60" i="2"/>
  <c r="DC60" i="2"/>
  <c r="BN61" i="2"/>
  <c r="BO61" i="2"/>
  <c r="CH61" i="2"/>
  <c r="CI61" i="2"/>
  <c r="DC61" i="2"/>
  <c r="BN62" i="2"/>
  <c r="BO62" i="2"/>
  <c r="CH62" i="2"/>
  <c r="CI62" i="2"/>
  <c r="DC62" i="2"/>
  <c r="BN63" i="2"/>
  <c r="BO63" i="2"/>
  <c r="CH63" i="2"/>
  <c r="CI63" i="2"/>
  <c r="DC63" i="2"/>
  <c r="BN64" i="2"/>
  <c r="BO64" i="2"/>
  <c r="CH64" i="2"/>
  <c r="CI64" i="2"/>
  <c r="DC64" i="2"/>
  <c r="BN65" i="2"/>
  <c r="BO65" i="2"/>
  <c r="BS65" i="2"/>
  <c r="CG65" i="2" s="1"/>
  <c r="CH65" i="2"/>
  <c r="CI65" i="2"/>
  <c r="BN66" i="2"/>
  <c r="BO66" i="2"/>
  <c r="BS66" i="2"/>
  <c r="CG66" i="2" s="1"/>
  <c r="CH66" i="2"/>
  <c r="CI66" i="2"/>
  <c r="DC66" i="2"/>
  <c r="BN67" i="2"/>
  <c r="BO67" i="2"/>
  <c r="BS67" i="2"/>
  <c r="CG67" i="2" s="1"/>
  <c r="CH67" i="2"/>
  <c r="CI67" i="2"/>
  <c r="DC67" i="2"/>
  <c r="BN68" i="2"/>
  <c r="BO68" i="2"/>
  <c r="BS68" i="2"/>
  <c r="CG68" i="2" s="1"/>
  <c r="CH68" i="2"/>
  <c r="CI68" i="2"/>
  <c r="DC68" i="2"/>
  <c r="BN69" i="2"/>
  <c r="BO69" i="2"/>
  <c r="BS69" i="2"/>
  <c r="CG69" i="2" s="1"/>
  <c r="CH69" i="2"/>
  <c r="CI69" i="2"/>
  <c r="DC69" i="2"/>
  <c r="BN70" i="2"/>
  <c r="BO70" i="2"/>
  <c r="BS70" i="2"/>
  <c r="CG70" i="2" s="1"/>
  <c r="CH70" i="2"/>
  <c r="CI70" i="2"/>
  <c r="DC70" i="2"/>
  <c r="BN71" i="2"/>
  <c r="BO71" i="2"/>
  <c r="BS71" i="2"/>
  <c r="CG71" i="2" s="1"/>
  <c r="CH71" i="2"/>
  <c r="CI71" i="2"/>
  <c r="DC71" i="2"/>
  <c r="BN72" i="2"/>
  <c r="BO72" i="2"/>
  <c r="BS72" i="2"/>
  <c r="CG72" i="2" s="1"/>
  <c r="CH72" i="2"/>
  <c r="CI72" i="2"/>
  <c r="DC72" i="2"/>
  <c r="BN73" i="2"/>
  <c r="BO73" i="2"/>
  <c r="CI73" i="2"/>
  <c r="DC73" i="2"/>
  <c r="BN74" i="2"/>
  <c r="BO74" i="2"/>
  <c r="CI74" i="2"/>
  <c r="DC74" i="2"/>
  <c r="BN75" i="2"/>
  <c r="BO75" i="2"/>
  <c r="CI75" i="2"/>
  <c r="DC75" i="2"/>
  <c r="BN76" i="2"/>
  <c r="BO76" i="2"/>
  <c r="CI76" i="2"/>
  <c r="DC76" i="2"/>
  <c r="BN77" i="2"/>
  <c r="BO77" i="2"/>
  <c r="CI77" i="2"/>
  <c r="DC77" i="2"/>
  <c r="BN78" i="2"/>
  <c r="BO78" i="2"/>
  <c r="CI78" i="2"/>
  <c r="DC78" i="2"/>
  <c r="BN79" i="2"/>
  <c r="BO79" i="2"/>
  <c r="CI79" i="2"/>
  <c r="DC79" i="2"/>
  <c r="CJ65" i="2" l="1"/>
  <c r="DC65" i="2" s="1"/>
</calcChain>
</file>

<file path=xl/comments1.xml><?xml version="1.0" encoding="utf-8"?>
<comments xmlns="http://schemas.openxmlformats.org/spreadsheetml/2006/main">
  <authors>
    <author>Autor</author>
  </authors>
  <commentList>
    <comment ref="AL2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HE QUITADO ESTA COLUMNA, QUE NO PONÍA NADA (PONÍA Repetida) Y HE METIDO EL TIEMPO DE ENFRIAMIENTO ENTRE IMPULSOS, Tf2</t>
        </r>
      </text>
    </comment>
    <comment ref="CJ3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0: entra dentro del requerimiento
1: está fuera del requerimiento, el diámetro del nugget es demasiado pequeño</t>
        </r>
      </text>
    </comment>
    <comment ref="CT3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acepta una indentación de hasta un 15% del espesor de la chapa o 0.13 mm, el valor que sea mayor</t>
        </r>
      </text>
    </comment>
    <comment ref="DI42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Las chapas no han llegado a fusionarse</t>
        </r>
      </text>
    </comment>
    <comment ref="DI46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Todas las chapas estaban unidas</t>
        </r>
      </text>
    </comment>
    <comment ref="DI47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cortar se ha separado la chapa de 0.55 mm</t>
        </r>
      </text>
    </comment>
    <comment ref="DI48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cortar se ha separado la chapa de 0.55 mm</t>
        </r>
      </text>
    </comment>
    <comment ref="DI49" authorId="0" shapeId="0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Al cortar se ha separado la chapa de 1 mm</t>
        </r>
      </text>
    </comment>
  </commentList>
</comments>
</file>

<file path=xl/sharedStrings.xml><?xml version="1.0" encoding="utf-8"?>
<sst xmlns="http://schemas.openxmlformats.org/spreadsheetml/2006/main" count="4134" uniqueCount="1029">
  <si>
    <t>D</t>
  </si>
  <si>
    <t>CP Ti Gr3</t>
  </si>
  <si>
    <t>CC</t>
  </si>
  <si>
    <t>122;266;415;542;652;741;792;817;817;809;796;771;754;737;720;703;690;682;665;652;643;631;626;618;605;597;593;584;576;563;559;550;554;550;550;</t>
  </si>
  <si>
    <t>227;376;484;584;685;755;793;818;814;809;800;798;793;782;782;778;782;780;769;775;775;775;773;771;778;773;778;780;773;775;773;775;764;782;782;</t>
  </si>
  <si>
    <t>Prog =  35</t>
  </si>
  <si>
    <t>R1_ITP</t>
  </si>
  <si>
    <t>144;300;449;580;694;779;830;851;847;834;821;796;766;741;724;711;698;682;673;665;652;639;626;618;614;614;597;584;584;584;576;563;567;563;563;</t>
  </si>
  <si>
    <t>207;338;462;588;685;760;798;816;816;811;807;796;793;787;782;787;778;780;782;778;780;771;778;775;773;778;771;773;775;775;780;769;780;748;748;</t>
  </si>
  <si>
    <t>84;173;254;321;389;449;478;495;495;491;474;453;436;419;402;385;377;364;355;347;343;338;326;317;317;317;309;300;296;292;292;288;288;279;275;288;288;</t>
  </si>
  <si>
    <t>96;182;268;356;419;460;475;475;487;505;507;493;493;489;480;480;478;480;478;480;484;478;475;478;475;471;466;473;478;478;480;475;473;473;473;473;473;</t>
  </si>
  <si>
    <t>Prog =  16</t>
  </si>
  <si>
    <t>Pegado</t>
  </si>
  <si>
    <t>63;118;177;237;296;338;368;393;415;419;415;415;419;423;427;427;419;419;423;419;419;427;432;432;432;</t>
  </si>
  <si>
    <t>27;56;112;189;232;270;313;324;318;308;306;306;304;299;308;311;304;304;306;308;306;306;306;308;308;</t>
  </si>
  <si>
    <t>Prog =  60</t>
  </si>
  <si>
    <t>Sin defecto</t>
  </si>
  <si>
    <t>84;173;249;317;385;432;470;487;499;499;499;495;487;482;474;470;461;461;457;457;</t>
  </si>
  <si>
    <t>54;110;189;257;338;417;424;421;419;414;419;417;414;417;412;414;414;419;417;417;</t>
  </si>
  <si>
    <t>72;135;207;279;338;389;423;440;440;444;440;432;419;419;415;415;415;406;398;389;398;393;389;389;385;377;372;377;372;360;360;364;368;364;355;364;364;</t>
  </si>
  <si>
    <t>15;36;90;169;241;295;322;327;322;320;322;315;315;315;308;308;306;311;311;306;308;311;313;308;306;313;306;308;311;308;313;311;306;306;304;302;302;</t>
  </si>
  <si>
    <t>76;169;254;330;402;457;487;499;495;491;470;449;427;410;389;372;364;355;347;334;330;330;326;321;313;309;305;305;296;283;283;288;288;283;279;283;283;</t>
  </si>
  <si>
    <t>99;184;268;349;414;462;484;489;496;509;507;496;493;489;484;480;478;478;473;478;480;471;480;482;478;475;473;475;471;469;475;471;471;471;473;469;469;</t>
  </si>
  <si>
    <t>1,6(TT)+1+1(TT)+0,55(TT)/titanio</t>
  </si>
  <si>
    <t/>
  </si>
  <si>
    <t>122;245;360;470;593;707;783;838;868;881;876;868;851;830;813;800;787;771;758;754;745;741;732;724;720;720;715;703;698;694;682;682;682;677;669;660;660;656;652;643;639;639;635;631;626;622;618;614;614;614;</t>
  </si>
  <si>
    <t>18;45;99;173;257;333;383;408;426;439;448;442;435;428;426;428;424;421;414;412;419;417;414;414;414;419;414;412;414;414;419;417;412;412;410;419;419;412;410;412;417;417;414;414;414;414;412;419;408;408;</t>
  </si>
  <si>
    <t>118;241;351;474;593;690;762;813;843;855;855;847;834;821;800;783;775;766;758;754;749;741;737;737;728;720;715;715;707;698;694;690;686;686;677;677;677;</t>
  </si>
  <si>
    <t>22;47;103;184;266;336;383;401;414;437;442;437;435;430;421;414;412;417;419;412;412;412;414;414;412;417;412;414;414;412;414;412;417;414;408;408;408;</t>
  </si>
  <si>
    <t>148;321;474;618;749;847;915;953;965;961;948;936;948;915;915;</t>
  </si>
  <si>
    <t>92;139;207;365;511;579;633;654;658;651;638;640;620;654;654;</t>
  </si>
  <si>
    <t>177;385;563;715;864;987;1076;1126;1148;1139;1126;1101;1122;1080;1080;</t>
  </si>
  <si>
    <t>142;227;324;487;649;730;780;800;796;811;814;805;809;798;798;</t>
  </si>
  <si>
    <t>97;186;275;368;470;571;656;715;758;775;783;792;787;779;766;758;745;737;732;724;715;707;707;703;703;</t>
  </si>
  <si>
    <t>0;9;42;101;139;191;261;295;308;315;320;320;324;322;315;315;318;320;315;313;313;313;320;315;315;</t>
  </si>
  <si>
    <t>131;271;406;533;656;762;834;885;910;910;910;893;881;859;843;838;826;813;804;792;779;766;775;762;762;</t>
  </si>
  <si>
    <t>54;96;173;288;360;426;507;532;541;545;541;534;530;530;534;525;521;521;523;523;518;523;511;527;527;</t>
  </si>
  <si>
    <t>156;321;487;639;766;868;936;982;1008;1004;991;970;948;923;902;876;855;838;826;813;800;783;792;771;771;</t>
  </si>
  <si>
    <t>81;144;245;372;448;530;633;658;665;665;647;649;649;638;636;629;633;633;631;629;617;620;604;633;633;</t>
  </si>
  <si>
    <t>186;393;576;732;876;995;1076;1126;1156;1156;1139;1114;1084;1063;1042;1016;982;961;940;919;893;872;876;855;855;</t>
  </si>
  <si>
    <t>126;223;360;509;586;681;782;811;816;814;807;802;811;802;798;793;787;800;793;787;787;784;798;773;773;</t>
  </si>
  <si>
    <t>1,2+1,2 / titanio /Sin pulir / NO tratadas</t>
  </si>
  <si>
    <t>173;355;521;652;758;826;847;834;796;754;715;669;686;631;631;</t>
  </si>
  <si>
    <t>263;413;518;721;897;967;1011;1020;1002;993;967;976;932;1002;1002;</t>
  </si>
  <si>
    <t>156;330;478;610;715;762;762;754;720;673;631;593;605;580;580;</t>
  </si>
  <si>
    <t>272;448;545;738;914;984;1028;1037;1020;976;949;940;949;949;949;</t>
  </si>
  <si>
    <t>169;351;516;652;775;834;843;834;792;737;686;643;639;618;618;</t>
  </si>
  <si>
    <t>237;404;536;721;879;958;1028;1046;1020;993;967;958;914;976;976;</t>
  </si>
  <si>
    <t>160;343;512;643;741;800;817;826;809;809;</t>
  </si>
  <si>
    <t>228;369;562;782;879;958;1028;993;1081;1081;</t>
  </si>
  <si>
    <t>169;360;525;665;783;838;851;834;792;745;694;652;656;626;626;</t>
  </si>
  <si>
    <t>255;404;510;712;888;976;1020;1037;1028;993;976;958;984;958;958;</t>
  </si>
  <si>
    <t>114;237;347;449;538;618;665;690;703;690;673;652;656;635;635;</t>
  </si>
  <si>
    <t>86;142;206;333;445;491;516;540;549;551;549;542;553;529;529;</t>
  </si>
  <si>
    <t>135;296;436;554;656;732;766;771;754;715;677;643;656;626;626;</t>
  </si>
  <si>
    <t>178;299;389;523;656;732;771;796;794;786;773;751;768;727;727;</t>
  </si>
  <si>
    <t>169;360;533;677;792;851;864;843;804;762;707;660;669;648;648;</t>
  </si>
  <si>
    <t>246;404;536;712;879;984;1028;1020;1020;1002;984;967;984;949;949;</t>
  </si>
  <si>
    <t>1+1+0,55 mm / titanio / Sin pulir / NO tratadas</t>
  </si>
  <si>
    <t>148;313;461;601;737;838;898;931;940;927;889;843;804;766;732;703;677;652;639;622;610;597;597;584;584;</t>
  </si>
  <si>
    <t>94;172;271;387;456;531;633;674;689;691;674;669;667;656;650;633;631;631;626;631;615;615;598;631;631;</t>
  </si>
  <si>
    <t>148;313;457;584;707;809;876;910;923;906;876;843;813;775;732;707;677;652;639;618;601;593;593;588;588;</t>
  </si>
  <si>
    <t>99;180;290;407;471;536;622;656;674;680;671;674;665;652;646;635;635;633;633;624;615;628;613;637;637;</t>
  </si>
  <si>
    <t>139;292;427;559;682;779;843;868;868;851;821;787;800;766;766;</t>
  </si>
  <si>
    <t>114;185;260;389;514;585;633;663;669;674;671;656;676;639;639;</t>
  </si>
  <si>
    <t>135;288;432;559;690;787;838;864;876;868;838;804;771;732;703;682;665;639;618;610;593;580;571;567;559;550;546;538;525;525;516;508;495;504;504;</t>
  </si>
  <si>
    <t>118;204;297;404;501;572;613;628;665;682;676;667;654;648;639;633;631;626;631;628;624;622;620;624;620;620;624;618;620;618;620;618;628;620;620;</t>
  </si>
  <si>
    <t>148;305;453;588;711;809;872;902;910;902;876;838;800;762;732;711;686;665;639;626;618;601;593;576;567;559;550;554;554;554;</t>
  </si>
  <si>
    <t>103;180;275;398;495;562;607;643;676;678;674;671;652;650;646;637;633;626;631;631;628;628;624;624;618;622;628;628;633;633;</t>
  </si>
  <si>
    <t>63;114;160;216;292;360;423;474;499;521;533;538;538;542;533;529;525;521;525;521;521;521;533;516;516;</t>
  </si>
  <si>
    <t>2;0;12;45;75;114;163;187;200;206;208;208;215;208;204;208;206;208;206;206;208;204;211;200;200;</t>
  </si>
  <si>
    <t>84;169;245;330;423;504;563;610;643;665;677;673;660;652;643;631;622;610;597;593;580;576;580;576;576;</t>
  </si>
  <si>
    <t>6;17;60;131;176;228;284;303;312;314;325;329;314;318;316;318;325;318;318;316;316;316;318;316;316;</t>
  </si>
  <si>
    <t>1+1+0,55 mm / titanio / SIN pulir / NO tratadas</t>
  </si>
  <si>
    <t>76;135;182;241;309;368;415;449;465;474;478;478;478;487;487;495;499;499;504;504;508;508;512;512;512;</t>
  </si>
  <si>
    <t>27;56;110;176;215;258;305;314;312;317;312;303;301;303;305;303;299;299;303;301;301;308;299;312;312;</t>
  </si>
  <si>
    <t>55;127;186;249;321;381;427;461;482;491;499;504;504;508;512;512;516;516;516;521;521;521;521;542;542;</t>
  </si>
  <si>
    <t>20;52;108;174;210;253;299;310;312;312;305;301;305;303;301;301;305;305;303;308;305;303;303;305;305;</t>
  </si>
  <si>
    <t>55;114;160;216;279;343;389;427;449;461;474;478;487;491;495;499;508;512;512;512;516;516;521;521;521;</t>
  </si>
  <si>
    <t>38;79;120;176;219;260;294;303;303;301;301;303;303;301;296;305;308;301;303;308;308;308;310;308;308;</t>
  </si>
  <si>
    <t>67;131;194;271;347;410;457;491;504;516;525;525;529;533;533;533;538;546;550;546;542;542;538;542;542;</t>
  </si>
  <si>
    <t>20;47;92;158;203;251;301;317;323;317;310;308;303;301;303;305;303;303;308;310;305;303;299;312;312;</t>
  </si>
  <si>
    <t>59;118;160;203;262;321;368;406;436;444;449;453;449;444;440;436;427;423;423;423;423;423;440;419;419;</t>
  </si>
  <si>
    <t>2;6;22;63;97;133;176;197;208;215;212;212;212;212;212;208;210;206;203;208;203;199;199;203;203;</t>
  </si>
  <si>
    <t>46;88;135;190;249;305;347;381;402;410;410;410;406;398;398;393;398;398;393;393;393;393;398;398;398;</t>
  </si>
  <si>
    <t>2;6;24;65;97;138;185;201;208;217;219;212;206;206;203;201;203;208;206;203;206;203;208;197;197;</t>
  </si>
  <si>
    <t>55;105;156;211;279;351;406;444;470;478;482;482;474;465;461;449;444;436;432;427;432;432;449;419;419;</t>
  </si>
  <si>
    <t>0;0;20;56;81;122;169;194;210;217;219;217;212;219;219;210;206;206;208;206;208;208;208;212;212;</t>
  </si>
  <si>
    <t>38;93;135;182;245;305;351;389;419;436;436;436;432;427;423;419;419;419;415;410;410;415;415;410;410;</t>
  </si>
  <si>
    <t>0;2;27;70;92;133;181;197;208;215;210;212;210;208;208;206;208;208;206;203;206;206;210;199;199;</t>
  </si>
  <si>
    <t>Sin defectos</t>
  </si>
  <si>
    <t>97;216;338;449;550;639;703;745;771;779;779;766;741;720;698;677;660;639;626;610;597;593;584;567;546;533;538;529;521;512;508;504;495;487;482;474;470;465;461;461;453;444;449;440;440;</t>
  </si>
  <si>
    <t>167;287;382;468;523;568;593;611;629;638;647;643;643;638;631;638;636;634;627;622;629;625;627;625;618;622;618;620;618;616;622;620;620;618;613;620;616;620;622;618;620;616;627;607;607;</t>
  </si>
  <si>
    <t>88;207;330;432;538;626;703;758;783;800;792;775;762;741;724;698;673;648;635;622;601;593;580;567;563;554;538;529;521;516;508;499;495;487;478;474;470;465;461;453;444;440;440;440;440;</t>
  </si>
  <si>
    <t>176;299;391;471;516;554;584;602;627;650;652;641;638;647;645;641;636;631;634;627;627;631;622;622;620;625;627;618;622;620;618;620;618;622;620;620;620;613;620;620;616;613;604;627;627;</t>
  </si>
  <si>
    <t>97;207;330;444;550;648;720;766;792;796;783;771;749;720;694;669;652;635;622;610;588;576;571;559;546;542;529;525;521;512;504;495;499;491;491;</t>
  </si>
  <si>
    <t>176;296;382;459;516;559;595;622;629;645;647;647;650;643;643;641;634;631;620;625;627;622;625;618;622;622;618;625;620;622;622;620;622;620;620;</t>
  </si>
  <si>
    <t>88;199;313;423;529;635;715;766;796;800;796;783;766;741;715;694;669;648;631;614;597;588;580;571;563;550;533;525;525;512;508;495;508;487;487;</t>
  </si>
  <si>
    <t>188;317;396;462;516;548;575;607;631;645;645;652;654;647;645;634;634;634;631;631;620;620;620;620;629;622;620;622;620;627;622;622;613;620;620;</t>
  </si>
  <si>
    <t>Partial Interfacial Fracture With Button Pull</t>
  </si>
  <si>
    <t>93;207;330;449;559;656;720;758;775;775;775;749;766;737;737;</t>
  </si>
  <si>
    <t>176;276;339;448;541;573;604;625;634;647;647;650;638;652;652;</t>
  </si>
  <si>
    <t>88;194;309;427;542;635;715;762;783;800;792;771;775;766;766;</t>
  </si>
  <si>
    <t>181;296;369;453;523;559;586;611;625;641;645;641;652;636;636;</t>
  </si>
  <si>
    <t>131;300;482;643;758;838;893;906;893;868;826;775;737;698;673;652;622;601;593;588;567;550;554;538;538;</t>
  </si>
  <si>
    <t>323;508;638;749;795;878;961;989;1017;1008;971;943;961;952;943;943;915;915;915;924;952;934;952;915;915;</t>
  </si>
  <si>
    <t>101;232;381;521;643;741;813;847;855;843;817;783;754;724;694;669;648;631;618;605;593;576;584;554;554;</t>
  </si>
  <si>
    <t>262;421;520;598;631;690;772;813;822;826;824;810;808;795;790;786;779;781;779;786;781;772;779;763;763;</t>
  </si>
  <si>
    <t>88;203;317;427;529;618;690;737;762;771;758;741;728;711;694;673;648;631;618;610;601;588;588;580;580;</t>
  </si>
  <si>
    <t>185;308;389;471;514;543;591;616;631;641;636;643;643;638;638;631;631;629;627;627;618;622;602;638;638;</t>
  </si>
  <si>
    <t>84;182;296;402;508;601;669;724;762;775;775;775;766;754;732;707;690;677;665;643;626;618;618;614;614;</t>
  </si>
  <si>
    <t>197;326;412;477;507;543;573;598;616;622;636;638;643;641;636;638;629;631;629;625;629;625;636;616;616;</t>
  </si>
  <si>
    <t>84;173;266;364;453;529;588;639;673;694;703;703;694;690;677;665;652;639;631;622;614;601;610;597;597;</t>
  </si>
  <si>
    <t>86;154;228;321;373;400;432;443;453;462;468;477;475;475;475;471;473;466;471;466;464;473;466;482;482;</t>
  </si>
  <si>
    <t>76;152;241;338;427;504;576;635;665;690;707;711;707;694;686;682;669;656;648;635;622;610;618;601;601;</t>
  </si>
  <si>
    <t>97;172;249;321;351;385;430;441;443;459;468;471;473;473;477;473;471;475;468;471;473;473;466;475;475;</t>
  </si>
  <si>
    <t>67;131;199;271;347;415;478;525;559;580;597;610;614;622;631;631;622;618;614;610;605;605;605;597;597;</t>
  </si>
  <si>
    <t>49;101;160;228;267;299;332;339;339;346;348;351;357;362;364;362;366;366;362;364;364;366;357;366;366;</t>
  </si>
  <si>
    <t>59;135;211;288;364;432;491;542;576;605;626;635;639;639;643;643;635;622;614;601;601;593;605;584;584;</t>
  </si>
  <si>
    <t>45;90;151;226;267;299;328;339;348;353;355;357;355;357;366;371;366;362;366;364;362;366;369;369;369;</t>
  </si>
  <si>
    <t>Full Interfacial Fracture</t>
  </si>
  <si>
    <t>114;254;398;529;626;690;737;745;728;707;677;635;669;618;618;</t>
  </si>
  <si>
    <t>314;527;647;767;869;924;971;989;971;971;971;952;971;915;915;</t>
  </si>
  <si>
    <t>97;232;389;508;610;682;715;724;715;694;660;631;631;614;614;</t>
  </si>
  <si>
    <t>332;545;647;758;860;906;961;980;971;971;943;943;915;971;971;</t>
  </si>
  <si>
    <t>80;156;224;292;372;440;491;529;550;567;580;584;588;593;593;</t>
  </si>
  <si>
    <t>31;56;95;199;292;330;348;348;351;351;348;353;351;366;366;</t>
  </si>
  <si>
    <t>67;148;203;254;326;389;436;478;508;525;546;559;567;554;554;</t>
  </si>
  <si>
    <t>40;81;124;215;299;332;346;339;342;346;342;344;342;351;351;</t>
  </si>
  <si>
    <t>88;182;266;351;436;512;567;605;631;639;648;656;656;652;652;</t>
  </si>
  <si>
    <t>47;86;140;246;342;376;391;398;403;416;423;423;423;425;425;</t>
  </si>
  <si>
    <t>76;156;237;317;393;465;525;563;593;614;635;648;643;652;652;</t>
  </si>
  <si>
    <t>63;106;158;260;346;371;380;391;396;398;405;407;419;400;400;</t>
  </si>
  <si>
    <t>88;169;249;326;402;478;533;571;601;622;631;639;648;648;648;</t>
  </si>
  <si>
    <t>56;106;160;255;342;371;387;394;398;407;407;412;403;419;419;</t>
  </si>
  <si>
    <t>84;173;258;347;432;516;580;622;652;660;665;665;669;665;665;</t>
  </si>
  <si>
    <t>81;138;190;299;389;421;439;448;457;464;468;480;468;491;491;</t>
  </si>
  <si>
    <t>80;173;266;360;453;542;614;665;694;703;707;698;703;698;698;</t>
  </si>
  <si>
    <t>124;203;262;357;430;457;480;491;505;518;536;541;552;541;541;</t>
  </si>
  <si>
    <t>76;165;258;351;449;538;605;652;682;698;703;690;698;686;686;</t>
  </si>
  <si>
    <t>126;210;269;355;428;457;477;491;507;527;534;541;527;548;548;</t>
  </si>
  <si>
    <t>156;334;512;656;775;851;872;859;817;779;741;694;656;618;597;584;567;546;533;533;521;512;504;491;482;470;461;461;457;449;444;432;436;432;432;</t>
  </si>
  <si>
    <t>277;471;610;749;860;943;998;1017;1017;998;989;971;934;924;934;924;924;924;924;924;943;943;924;934;915;906;934;934;924;897;906;934;961;943;943;</t>
  </si>
  <si>
    <t>144;330;516;665;779;843;872;859;830;779;728;686;652;618;588;576;563;546;538;529;512;495;487;482;474;465;457;453;444;427;419;427;415;440;440;</t>
  </si>
  <si>
    <t>268;462;610;739;850;934;998;1045;1017;998;971;934;943;952;934;915;915;934;934;943;943;924;915;915;924;934;934;934;915;915;915;924;934;915;915;</t>
  </si>
  <si>
    <t>160;343;508;643;754;809;830;826;800;758;715;686;652;610;584;567;554;542;529;521;508;499;495;491;478;465;449;461;453;453;</t>
  </si>
  <si>
    <t>286;462;610;776;878;943;989;1008;998;980;980;971;943;934;924;934;934;934;934;915;915;924;934;943;934;934;924;934;915;915;</t>
  </si>
  <si>
    <t>152;326;499;639;749;813;843;838;804;762;711;673;639;610;588;563;550;529;516;512;504;495;478;470;470;457;449;444;449;449;</t>
  </si>
  <si>
    <t>286;480;619;749;860;934;989;1017;1017;971;961;961;943;952;934;934;934;924;924;924;934;915;915;915;915;924;934;943;952;952;</t>
  </si>
  <si>
    <t>169;347;512;643;754;821;834;826;813;762;720;686;648;614;584;563;554;563;542;542;</t>
  </si>
  <si>
    <t>277;471;610;702;832;961;1017;1017;998;989;980;971;943;924;924;934;924;924;943;943;</t>
  </si>
  <si>
    <t>152;338;521;660;762;830;855;851;817;766;711;669;639;614;588;563;542;546;529;529;</t>
  </si>
  <si>
    <t>258;443;601;712;841;971;1008;1017;1008;998;980;961;952;934;924;924;924;906;943;943;</t>
  </si>
  <si>
    <t>144;305;461;597;711;783;813;800;775;749;715;669;686;643;643;</t>
  </si>
  <si>
    <t>231;378;477;613;763;844;881;903;899;890;874;851;867;829;829;</t>
  </si>
  <si>
    <t>131;296;461;593;711;783;813;809;779;749;711;669;694;639;639;</t>
  </si>
  <si>
    <t>246;373;448;609;761;842;894;901;906;894;876;858;865;853;853;</t>
  </si>
  <si>
    <t>131;279;419;538;643;715;754;758;741;720;694;660;669;631;631;</t>
  </si>
  <si>
    <t>192;303;376;523;659;727;761;772;781;772;767;752;767;738;738;</t>
  </si>
  <si>
    <t>127;271;406;525;631;711;754;762;749;724;690;660;673;639;639;</t>
  </si>
  <si>
    <t>197;308;378;518;654;718;761;774;786;776;756;747;742;754;754;</t>
  </si>
  <si>
    <t>110;232;351;457;563;643;690;715;720;707;694;673;682;656;656;</t>
  </si>
  <si>
    <t>154;249;312;430;536;593;625;643;656;654;654;647;661;641;641;</t>
  </si>
  <si>
    <t>110;228;343;461;571;656;711;737;745;732;711;686;690;669;669;</t>
  </si>
  <si>
    <t>158;253;321;425;523;582;616;645;659;663;665;645;668;622;622;</t>
  </si>
  <si>
    <t>101;211;313;406;508;597;656;694;711;720;715;690;694;669;669;</t>
  </si>
  <si>
    <t>92;154;212;332;430;466;489;507;539;550;550;550;550;548;548;</t>
  </si>
  <si>
    <t>80;169;262;360;470;567;635;686;715;724;715;703;711;690;690;</t>
  </si>
  <si>
    <t>117;197;253;342;412;448;473;489;518;536;550;552;557;557;557;</t>
  </si>
  <si>
    <t>Grieta material base</t>
  </si>
  <si>
    <t>Grieta nugget</t>
  </si>
  <si>
    <t>Grieta central nugget</t>
  </si>
  <si>
    <t>Lados nugget concavos</t>
  </si>
  <si>
    <t>Nugget desplazado</t>
  </si>
  <si>
    <t>Penetracion desigual</t>
  </si>
  <si>
    <t>Cavidad</t>
  </si>
  <si>
    <t>Pegado (fusion incompleta)</t>
  </si>
  <si>
    <t>Indentacion excesiva</t>
  </si>
  <si>
    <t>Expulsion exterior</t>
  </si>
  <si>
    <t>Expulsion interior</t>
  </si>
  <si>
    <t>ANCHO MINIMO RQSC08T-4001</t>
  </si>
  <si>
    <t>DIAM AND WIDT NUGGET</t>
  </si>
  <si>
    <t>OTHERS (CRACKS; CAVITIES; ETC)</t>
  </si>
  <si>
    <t>INDENT_5</t>
  </si>
  <si>
    <t>INDENT_1</t>
  </si>
  <si>
    <t>MAX PENETRATION THCK_5 / TOTAL</t>
  </si>
  <si>
    <t>MAX PENETRATION THCK_1</t>
  </si>
  <si>
    <t>MIN PENETRATION_5</t>
  </si>
  <si>
    <t>MIN PENETRATION_1</t>
  </si>
  <si>
    <t>MIN NUGGET WIDT</t>
  </si>
  <si>
    <t>AVG</t>
  </si>
  <si>
    <t>NUGGET D2</t>
  </si>
  <si>
    <t>NUGGET D1</t>
  </si>
  <si>
    <t>CARACTERIZACION POR CLASE (0:Sin defecto/ 1: Expulsion /2:Pegado y Diam. Peq.)</t>
  </si>
  <si>
    <t>TOTAL</t>
  </si>
  <si>
    <t>Modos de fractura desbotonado</t>
  </si>
  <si>
    <t>METALLOGRAPHIC TEST</t>
  </si>
  <si>
    <t>CHISEL TEST</t>
  </si>
  <si>
    <t>WELDING FORCE (daN)</t>
  </si>
  <si>
    <t>WELDING INTENSITY (kA)</t>
  </si>
  <si>
    <t>WELDING PROG.</t>
  </si>
  <si>
    <t>ALLOY</t>
  </si>
  <si>
    <t>UCAP DIAM</t>
  </si>
  <si>
    <t>MCAP DIAM</t>
  </si>
  <si>
    <t>THCK_5</t>
  </si>
  <si>
    <t>THCK_4</t>
  </si>
  <si>
    <t>THCK_3</t>
  </si>
  <si>
    <t>THCK_2</t>
  </si>
  <si>
    <t>THCK_1</t>
  </si>
  <si>
    <t>OF</t>
  </si>
  <si>
    <t>DESCRIPTION</t>
  </si>
  <si>
    <t>PROBETA</t>
  </si>
  <si>
    <t>TpcEnPatr</t>
  </si>
  <si>
    <t>Code</t>
  </si>
  <si>
    <t>CodPza</t>
  </si>
  <si>
    <t>CodeErr</t>
  </si>
  <si>
    <t>Proj_Sel</t>
  </si>
  <si>
    <t>Proj_Tst_T</t>
  </si>
  <si>
    <t>Proj_Tst_Time</t>
  </si>
  <si>
    <t>Proj_Tst_PwDn</t>
  </si>
  <si>
    <t>Proj_Weld_T</t>
  </si>
  <si>
    <t>Proj_Weld_Time</t>
  </si>
  <si>
    <t>Proj_Weld_PwDn</t>
  </si>
  <si>
    <t>Tsw3</t>
  </si>
  <si>
    <t>Tsw2</t>
  </si>
  <si>
    <t>Tsw1</t>
  </si>
  <si>
    <t>tKsr</t>
  </si>
  <si>
    <t>Tf2</t>
  </si>
  <si>
    <t>Energy</t>
  </si>
  <si>
    <t>VefTs1</t>
  </si>
  <si>
    <t>Vef</t>
  </si>
  <si>
    <t>Ief</t>
  </si>
  <si>
    <t>ksr</t>
  </si>
  <si>
    <t>Enf</t>
  </si>
  <si>
    <t>Ts3</t>
  </si>
  <si>
    <t>Tf3</t>
  </si>
  <si>
    <t>SlDn</t>
  </si>
  <si>
    <t>Ts2</t>
  </si>
  <si>
    <t>SlUp</t>
  </si>
  <si>
    <t>Tf1</t>
  </si>
  <si>
    <t>Ts1</t>
  </si>
  <si>
    <t>Apr</t>
  </si>
  <si>
    <t>PreI</t>
  </si>
  <si>
    <t>kAI3</t>
  </si>
  <si>
    <t>kAI2</t>
  </si>
  <si>
    <t>kAI1</t>
  </si>
  <si>
    <t>Patron</t>
  </si>
  <si>
    <t>CSel</t>
  </si>
  <si>
    <t>CGap</t>
  </si>
  <si>
    <t>CCoef</t>
  </si>
  <si>
    <t>SrrGap</t>
  </si>
  <si>
    <t>SrrCoef</t>
  </si>
  <si>
    <t>SrrQual</t>
  </si>
  <si>
    <t>Fecha</t>
  </si>
  <si>
    <t>Curv_V</t>
  </si>
  <si>
    <t>Curv_I</t>
  </si>
  <si>
    <t>Ns</t>
  </si>
  <si>
    <t>ContFr</t>
  </si>
  <si>
    <t>ContPtos</t>
  </si>
  <si>
    <t>FBL</t>
  </si>
  <si>
    <t>FBH</t>
  </si>
  <si>
    <t>nProgram</t>
  </si>
  <si>
    <t>tProgram</t>
  </si>
  <si>
    <t>tTimer</t>
  </si>
  <si>
    <t>ID</t>
  </si>
  <si>
    <t>METODO DE ANALISIS (Desbotonado/Macro)</t>
  </si>
  <si>
    <t>Q total</t>
  </si>
  <si>
    <t>Q3</t>
  </si>
  <si>
    <t>Q2</t>
  </si>
  <si>
    <t>Q1</t>
  </si>
  <si>
    <t>DEFECTOS</t>
  </si>
  <si>
    <t>ACEPTACION ANCHO DE NUGGET</t>
  </si>
  <si>
    <t>DEFECTO OBSERVADO</t>
  </si>
  <si>
    <t>TESTS</t>
  </si>
  <si>
    <t>WISE DATA</t>
  </si>
  <si>
    <t>11;22;63;126;175;198;209;214;209;207;205;202;200;198;207;207;200;200;202;200;202;205;205;207;205;207;209;202;202;207;205;200;205;207;207;205;205;205;202;202;205;205;202;200;202;202;200;202;202;200;202;205;207;205;202;202;205;202;202;207;205;202;202;202;202;202;205;205;200;198;205;207;202;202;205;202;200;205;205;205;202;202;205;202;205;205;202;202;202;205;202;202;205;202;202;202;202;205;202;202;108;198;272;349;399;419;424;424;421;410;408;412;405;408;408;410;408;399;408;412;408;408;408;405;403;410;414;405;405;408;410;410;405;408;408;405;408;410;410;405;408;410;405;408;410;410;412;410;412;410;405;410;405;403;405;410;410;405;410;410;408;405;405;412;408;405;410;410;408;408;408;410;410;410;410;</t>
  </si>
  <si>
    <t>33;50;67;97;122;144;165;173;177;182;182;177;182;182;186;186;182;182;186;190;190;186;190;199;194;194;194;194;194;194;194;199;199;194;190;194;194;194;194;194;194;194;194;194;190;190;194;199;194;190;194;194;177;190;207;199;194;199;203;203;199;199;199;199;199;199;199;203;203;199;199;199;199;203;203;199;203;207;199;199;199;194;199;199;199;203;203;203;203;199;199;207;207;203;207;207;207;207;211;211;55;101;144;182;216;232;241;249;258;258;249;245;241;245;245;249;254;249;245;249;249;245;249;249;245;245;249;245;249;254;258;249;249;249;249;241;249;254;249;249;254;258;258;254;254;254;249;254;254;258;254;249;249;249;254;254;258;258;258;254;254;254;249;254;258;254;254;254;249;249;249;254;254;258;258;</t>
  </si>
  <si>
    <t>11;27;58;112;160;191;205;209;214;212;209;207;205;207;205;202;202;202;200;200;202;207;205;205;200;202;205;209;207;202;205;202;200;205;207;202;202;205;205;202;202;205;205;205;202;205;205;200;202;207;207;200;205;207;202;202;205;202;202;200;209;207;202;202;200;200;202;202;202;205;205;205;202;200;202;207;207;205;205;202;202;202;205;202;202;205;207;205;205;202;202;202;205;205;200;202;205;207;207;207;72;144;216;284;336;363;369;369;365;365;360;356;358;358;358;356;356;360;356;358;360;356;354;354;358;358;358;360;358;358;358;358;356;351;358;356;354;356;354;358;356;356;360;363;356;356;358;356;354;358;358;356;358;358;358;354;354;358;360;358;358;356;356;354;358;358;358;360;363;358;356;358;365;360;360;</t>
  </si>
  <si>
    <t>42;67;84;114;148;173;194;211;224;228;220;216;228;224;220;220;220;224;224;224;220;224;224;224;224;224;224;228;224;220;220;220;220;224;220;220;224;224;220;216;211;211;216;216;216;216;211;203;211;211;211;211;207;220;220;207;211;211;203;207;207;199;194;207;207;211;211;211;211;211;211;211;211;207;211;211;207;203;211;211;207;207;207;207;211;211;211;211;211;216;220;211;207;216;216;211;211;211;220;220;46;84;122;156;190;211;228;237;237;241;241;237;237;237;237;232;232;241;241;241;237;241;241;237;237;237;237;237;237;237;241;241;241;237;237;237;241;237;237;241;241;237;241;245;232;224;232;241;237;237;241;245;245;241;245;245;245;245;245;241;245;245;241;245;245;245;245;245;249;249;237;232;232;241;241;</t>
  </si>
  <si>
    <t>11;24;58;117;157;184;205;209;207;207;209;209;202;202;202;202;205;205;205;205;205;207;202;196;202;209;207;205;205;205;207;205;202;205;202;202;209;207;202;205;202;202;202;205;205;205;205;200;202;202;205;205;202;205;207;207;207;205;205;202;202;205;205;205;202;202;205;200;202;207;202;202;205;207;205;202;205;202;205;200;202;207;205;205;207;202;202;202;205;205;205;202;202;202;202;202;205;205;207;207;78;153;216;284;338;363;372;372;367;360;360;358;363;358;356;360;356;354;358;356;356;356;360;365;360;354;354;356;358;354;356;358;356;358;358;356;356;358;356;351;358;358;358;358;354;358;360;358;363;360;356;354;358;358;354;358;358;356;354;351;354;358;356;363;360;354;354;358;356;356;356;354;356;354;358;358;351;354;363;360;356;358;356;356;356;356;351;358;360;354;356;358;358;358;356;356;358;360;358;358;</t>
  </si>
  <si>
    <t>38;59;84;110;148;182;207;220;224;228;232;237;232;232;228;228;232;224;224;232;232;228;220;220;228;224;224;224;220;224;224;220;220;224;220;216;216;211;216;216;211;216;211;211;216;216;211;211;211;207;207;216;216;216;216;211;211;216;220;216;216;211;207;207;211;211;216;203;199;216;211;211;216;228;224;207;207;207;207;207;211;216;211;220;220;207;211;211;207;211;211;207;211;216;207;211;211;216;207;207;50;80;114;152;186;207;220;232;232;237;237;241;241;232;228;232;232;228;232;241;237;232;237;237;237;237;237;237;241;241;237;237;237;232;237;237;237;237;237;232;232;237;241;237;237;237;237;237;237;237;237;237;237;241;241;237;237;237;237;237;237;237;237;241;241;241;241;241;237;237;237;245;245;241;241;241;241;237;241;237;232;228;232;232;237;241;241;241;245;245;241;241;241;241;241;237;241;237;241;241;</t>
  </si>
  <si>
    <t>9;27;63;115;160;189;207;209;207;209;209;207;202;205;200;200;205;207;205;202;205;209;205;198;202;209;202;202;207;202;200;205;205;202;202;205;207;207;205;200;205;202;200;202;202;205;207;202;200;202;202;205;202;200;205;202;200;205;207;205;202;202;205;205;202;200;202;200;202;205;202;202;205;205;202;202;205;202;200;198;202;205;202;202;202;202;202;205;207;202;196;198;202;202;205;207;207;207;207;207;56;110;166;234;284;304;313;318;315;313;306;304;304;304;306;306;306;306;306;308;304;302;308;318;313;302;304;306;304;306;306;304;308;308;304;304;306;306;306;306;306;306;304;306;308;306;304;306;306;306;304;306;306;304;304;304;306;306;306;311;308;304;306;306;306;304;306;306;306;306;308;306;304;304;308;306;304;304;306;306;308;311;308;306;304;304;302;302;308;308;306;308;308;308;306;304;306;302;311;311;</t>
  </si>
  <si>
    <t>38;63;76;105;144;173;194;220;224;216;224;224;224;224;220;220;224;224;224;228;224;220;228;224;220;220;224;224;220;216;216;216;216;216;220;216;216;211;211;207;207;211;211;216;216;211;211;211;216;203;203;220;220;211;207;207;211;211;216;207;207;211;207;207;207;211;207;203;207;211;207;199;199;203;199;203;207;207;199;203;207;207;207;203;207;211;216;207;207;207;207;211;207;211;211;203;194;177;224;224;42;80;114;144;177;207;220;228;237;232;232;232;228;228;224;220;232;237;237;232;237;237;232;232;232;237;228;220;228;237;237;237;237;232;232;232;232;232;237;237;237;237;232;237;232;228;232;237;237;237;237;232;232;237;237;241;245;241;241;241;237;237;237;241;241;241;237;237;241;237;237;237;237;237;232;232;237;232;237;237;241;241;232;232;241;245;241;232;237;237;228;232;245;241;241;237;237;232;245;245;</t>
  </si>
  <si>
    <t>9;18;54;106;146;173;193;202;209;207;205;207;207;205;207;205;202;202;202;207;207;205;200;200;202;202;205;205;202;205;207;207;205;205;207;205;202;202;205;205;202;205;205;205;205;202;198;198;205;209;207;202;205;205;202;202;205;205;205;202;202;202;200;202;205;202;202;205;205;202;202;205;202;202;205;202;202;205;202;202;205;205;205;200;200;207;209;202;200;205;205;202;205;205;202;198;200;187;207;207;47;99;157;221;266;297;311;313;311;308;308;308;306;311;308;304;304;306;306;302;306;306;306;306;306;304;304;306;308;306;304;306;308;306;302;302;304;304;304;306;306;304;308;308;302;302;306;308;306;302;304;304;304;308;308;306;304;308;308;306;308;306;311;308;304;308;306;302;304;306;306;304;306;306;302;304;306;311;308;304;306;306;306;306;304;302;304;308;308;304;304;306;306;308;308;306;304;302;306;306;</t>
  </si>
  <si>
    <t>38;63;88;122;160;207;241;262;279;288;288;288;292;292;288;288;288;288;288;283;279;283;283;279;279;279;275;271;271;275;275;275;271;271;271;271;266;254;254;271;271;271;266;266;258;262;271;271;271;271;258;249;262;271;266;266;266;271;271;266;266;266;262;266;271;266;266;266;266;262;266;266;262;262;275;271;266;271;271;275;271;262;266;266;266;266;271;271;271;271;271;266;266;266;266;271;271;271;266;266;38;84;131;177;207;232;262;275;283;292;300;300;292;292;292;292;288;288;292;283;283;296;292;296;292;288;292;296;292;292;292;292;292;292;292;296;296;292;292;292;296;296;296;300;296;296;292;296;296;300;296;296;296;296;300;296;296;296;292;292;292;292;292;296;292;288;292;296;292;288;292;288;288;296;296;292;292;288;296;296;288;288;288;288;288;288;283;288;288;283;283;279;279;283;292;292;288;292;292;292;</t>
  </si>
  <si>
    <t>9;22;54;108;148;175;196;202;209;205;198;200;205;207;207;207;202;200;202;200;200;205;207;205;202;205;202;202;202;202;205;205;205;205;202;202;205;205;202;200;205;205;202;205;207;202;200;202;207;205;202;205;205;200;198;196;200;205;205;202;200;202;205;200;200;205;205;198;198;202;202;205;205;205;205;200;200;202;196;198;205;205;200;200;205;205;202;202;205;202;202;202;202;200;200;207;198;209;189;189;40;87;144;202;250;277;290;295;293;290;288;286;290;288;284;286;281;286;286;286;288;284;286;286;284;284;284;284;286;284;286;286;281;284;286;284;281;284;286;286;284;284;286;284;281;286;284;284;284;284;281;281;288;288;286;279;284;290;284;284;293;286;284;288;286;281;284;288;288;284;284;284;286;286;286;290;286;284;288;290;286;284;290;286;279;286;284;284;284;284;286;286;284;286;288;284;284;290;286;279;288;288;284;284;288;290;286;281;288;288;284;284;286;284;281;284;284;290;288;284;284;284;286;284;284;</t>
  </si>
  <si>
    <t>42;63;84;122;165;203;237;262;275;275;279;283;283;283;279;279;279;279;283;283;275;279;283;283;283;279;279;271;271;275;275;275;271;271;271;271;266;266;266;262;262;266;262;266;262;258;258;262;262;245;245;266;266;271;271;266;258;258;262;262;258;262;266;262;258;266;266;258;262;262;262;262;266;266;266;262;262;266;262;262;266;271;266;262;262;262;262;262;262;262;262;266;271;266;266;271;271;275;271;271;55;84;114;156;194;228;254;262;271;275;279;279;279;275;275;271;271;279;279;279;288;283;275;283;283;279;283;283;279;283;279;275;279;279;279;283;283;279;279;283;283;283;279;279;279;283;279;279;283;283;288;288;279;279;283;275;279;283;283;283;283;292;292;283;283;279;288;288;279;279;275;283;288;283;283;283;283;283;283;288;283;279;279;279;279;283;283;283;283;283;279;279;279;283;283;283;275;275;279;279;279;275;271;279;279;279;283;279;279;279;283;279;279;279;275;275;275;279;279;275;275;275;275;283;283;</t>
  </si>
  <si>
    <t>11;22;56;108;148;175;196;205;207;207;205;205;205;205;202;202;205;200;200;202;205;205;205;205;202;202;205;205;205;205;202;205;200;200;209;209;202;202;205;202;205;207;202;202;205;207;205;202;202;205;205;202;202;205;205;205;202;200;202;200;200;202;200;202;202;200;202;205;207;205;202;205;202;200;205;202;200;200;202;205;202;205;205;205;200;200;207;202;200;205;205;205;205;205;202;200;202;202;207;207;27;56;101;166;214;239;254;261;259;254;252;254;254;254;257;250;250;254;257;257;254;254;257;252;250;254;254;250;257;259;254;250;252;257;254;252;254;254;254;254;261;261;252;252;257;254;252;254;254;254;254;254;252;254;257;257;257;254;257;257;252;254;257;254;254;254;252;250;252;257;252;250;254;254;257;254;252;257;257;254;254;254;252;252;254;254;254;257;257;257;254;257;257;257;254;252;254;254;254;259;257;257;257;257;252;252;257;254;254;254;254;254;254;254;257;257;252;254;254;252;257;259;254;250;250;259;259;254;254;254;252;252;250;257;257;</t>
  </si>
  <si>
    <t>55;76;88;118;165;211;237;258;271;275;279;275;279;283;283;283;288;279;275;283;283;279;279;279;275;271;275;279;275;275;271;275;275;271;271;275;275;271;275;271;266;262;262;271;271;266;262;266;271;271;271;271;266;271;262;262;262;262;266;266;266;262;262;266;266;262;262;266;271;271;262;266;266;262;266;266;266;279;288;279;271;271;271;266;262;262;266;271;275;271;271;266;266;266;266;266;266;271;258;258;50;76;101;131;169;207;232;254;271;271;275;279;271;271;275;275;271;271;275;279;283;275;275;275;275;279;279;275;279;279;279;275;279;279;279;279;275;275;275;279;279;279;279;279;279;279;279;279;275;275;279;279;279;275;279;283;279;283;283;279;279;279;279;279;275;279;275;275;275;275;275;279;283;279;279;283;279;279;275;271;275;279;279;275;279;279;279;283;283;283;283;279;279;283;283;279;279;275;275;279;275;271;275;279;275;275;279;275;275;279;275;283;283;275;279;279;275;275;275;279;275;275;271;266;271;279;275;279;279;271;279;279;296;271;271;</t>
  </si>
  <si>
    <t>6;20;54;108;155;184;200;205;207;207;205;205;205;202;200;205;205;202;202;202;198;200;207;207;205;202;202;205;202;200;205;202;200;205;205;205;202;205;205;202;202;205;205;202;202;205;202;202;205;205;202;202;205;205;202;202;205;202;202;209;207;200;200;200;202;202;200;202;202;200;205;205;205;202;200;205;202;202;205;202;205;207;205;202;200;205;205;205;205;205;200;200;205;205;202;202;205;212;205;205;24;54;101;160;202;232;245;250;250;245;250;248;245;245;245;243;241;243;245;245;245;245;248;245;243;250;248;243;243;243;243;236;234;239;239;245;250;248;245;245;243;243;243;245;245;245;245;248;245;241;243;248;245;241;241;241;241;243;248;248;245;243;245;245;241;243;243;243;245;243;245;243;243;245;241;241;245;243;243;245;245;245;243;243;245;245;243;245;248;243;243;245;245;241;243;250;245;245;248;245;248;245;245;245;243;241;245;245;243;243;245;241;243;245;243;243;250;252;248;243;241;241;243;245;245;248;245;243;245;243;236;241;230;252;252;</t>
  </si>
  <si>
    <t>42;63;88;127;165;199;228;245;258;266;262;262;266;271;271;266;266;271;275;275;271;266;271;275;275;275;271;279;275;271;275;275;271;271;275;275;271;271;271;271;279;279;271;271;266;266;266;266;266;266;262;258;266;266;262;266;266;266;266;258;258;262;262;258;262;262;262;262;262;262;262;262;262;262;262;262;266;266;266;266;266;266;271;266;271;266;271;271;262;266;266;258;262;266;262;266;266;266;271;271;38;72;105;139;173;203;232;254;266;271;271;275;275;271;275;275;275;275;275;279;279;279;279;279;279;275;279;275;271;275;283;283;275;275;279;279;279;279;283;279;279;279;275;279;283;283;279;279;279;275;279;279;275;279;279;275;279;283;283;275;279;279;279;283;279;275;279;275;275;279;275;275;275;279;283;279;279;283;283;283;279;279;275;271;275;275;275;275;283;279;275;283;279;279;279;271;271;275;275;275;275;275;271;271;275;271;275;275;266;271;275;271;271;275;275;271;275;275;271;271;266;266;271;271;266;271;271;271;271;271;266;266;271;266;266;</t>
  </si>
  <si>
    <t>13;24;51;101;142;180;200;207;212;212;209;205;202;207;205;200;202;202;202;202;207;209;205;202;202;200;200;202;207;205;209;207;202;200;200;207;205;198;202;205;205;202;202;200;200;202;202;202;205;205;207;205;200;200;202;207;207;205;205;205;202;202;198;198;205;209;207;200;200;205;205;202;207;198;196;207;207;202;202;202;202;202;202;205;202;202;202;205;207;202;202;205;205;202;205;207;200;202;200;200;101;187;257;327;378;403;414;419;417;417;405;401;408;412;408;408;410;410;408;414;414;408;405;405;410;405;405;410;405;405;405;412;410;405;410;410;410;412;408;408;408;408;412;410;412;410;410;403;417;417;</t>
  </si>
  <si>
    <t>33;67;97;131;173;207;237;258;271;279;279;279;283;288;283;279;275;275;279;279;283;283;288;283;279;283;283;283;279;279;283;279;275;279;279;279;279;279;283;283;283;283;283;283;279;279;279;279;271;271;279;283;283;275;275;279;279;279;275;275;275;279;283;283;283;283;283;279;279;283;279;279;283;275;279;283;279;275;279;279;279;279;283;283;283;283;283;283;279;279;279;283;283;283;283;279;275;275;279;279;59;110;160;207;254;288;309;326;334;334;338;343;343;347;347;334;330;343;347;343;338;334;334;334;338;338;334;334;338;338;334;334;334;330;334;334;334;334;334;334;334;330;326;330;321;317;326;326;330;330;</t>
  </si>
  <si>
    <t>4;15;49;85;124;160;182;193;193;200;209;205;205;207;207;205;205;207;202;202;207;205;205;207;209;205;202;205;205;207;207;205;205;205;205;205;207;207;205;205;205;205;212;207;205;205;205;205;202;205;205;202;198;200;207;205;205;205;205;202;202;205;202;202;205;205;205;205;202;205;207;202;202;202;198;200;205;200;200;202;202;205;202;205;205;202;202;205;200;202;207;205;202;202;202;205;202;205;200;200;261;442;550;645;701;728;742;735;721;717;719;721;717;717;714;714;719;714;714;714;717;721;719;717;710;710;721;717;717;717;712;717;717;721;719;719;726;712;742;742;</t>
  </si>
  <si>
    <t>46;72;101;152;203;249;296;330;347;355;368;377;372;372;377;377;372;372;368;364;364;364;364;360;360;355;360;360;364;360;355;351;351;351;351;351;351;355;351;347;355;351;351;360;360;351;343;347;343;338;343;343;338;343;338;334;343;343;343;343;343;343;347;338;334;338;343;338;338;334;334;338;338;338;338;343;343;338;338;334;338;343;343;343;338;338;343;347;343;343;343;343;343;343;334;330;334;343;343;343;88;177;266;338;393;432;453;465;470;470;470;465;470;470;461;457;457;457;457;461;453;449;449;444;449;449;449;449;444;436;436;432;432;432;427;423;423;427;419;419;</t>
  </si>
  <si>
    <t>4;15;51;96;133;166;189;196;198;205;207;207;205;205;205;205;205;205;205;202;205;207;207;202;202;205;198;198;207;205;200;205;209;202;200;205;207;200;202;207;205;202;202;207;205;202;205;205;202;202;202;205;202;205;205;202;196;205;209;200;200;207;205;202;202;205;202;200;205;205;200;202;205;205;205;205;202;198;198;205;205;202;205;207;202;202;205;205;202;196;200;207;202;200;200;202;202;202;202;202;205;354;455;539;595;617;622;627;629;627;613;608;611;613;620;620;613;615;611;615;617;611;615;615;620;617;613;617;613;617;620;613;611;613;622;620;608;617;599;599;</t>
  </si>
  <si>
    <t>42;63;97;144;194;241;279;305;317;334;338;338;338;343;338;334;338;330;330;334;330;330;330;338;338;330;330;330;338;334;330;334;334;326;330;330;326;326;334;334;330;330;330;330;330;326;321;326;326;326;321;321;317;321;330;330;326;330;326;321;326;326;326;326;326;326;321;321;326;326;326;326;326;326;330;330;330;326;326;330;330;330;326;326;334;330;330;334;330;317;317;326;326;326;330;330;326;326;330;330;72;156;232;292;347;385;410;427;436;436;432;432;436;436;436;436;436;432;427;427;427;427;423;423;419;415;415;410;406;410;410;402;393;393;393;393;398;398;398;398;</t>
  </si>
  <si>
    <t>6;18;49;96;137;166;187;198;205;207;205;205;205;209;207;200;202;205;200;200;202;205;202;198;202;205;202;202;202;202;202;205;207;207;207;209;207;205;202;205;205;202;205;205;205;200;205;205;200;202;207;209;202;202;205;202;200;202;200;200;202;207;205;202;202;202;205;205;205;205;202;202;202;205;202;202;202;198;198;202;205;205;205;207;205;200;205;205;202;205;207;205;202;202;207;205;200;200;200;200;239;399;505;595;645;678;690;683;674;665;674;665;656;665;663;665;667;665;665;660;669;672;665;665;663;669;665;660;667;667;669;667;665;669;663;665;669;665;660;660;669;667;676;665;665;</t>
  </si>
  <si>
    <t>50;76;101;135;186;232;271;292;309;321;326;330;334;334;334;326;326;326;326;326;330;338;334;330;330;326;326;334;330;326;330;330;326;330;330;326;321;321;321;326;321;321;321;321;321;321;321;326;326;326;326;317;313;321;321;317;321;321;321;317;321;326;326;321;321;326;326;321;321;317;321;321;321;321;321;321;326;326;326;330;326;321;321;321;321;321;321;326;326;321;321;321;317;321;321;326;326;330;326;326;76;156;232;300;351;385;410;423;423;423;427;423;419;419;423;423;423;419;415;406;415;419;415;415;415;415;406;402;406;406;406;410;402;402;398;393;398;393;393;393;393;393;398;389;389;</t>
  </si>
  <si>
    <t>2;9;31;74;119;155;178;198;212;212;209;212;214;212;209;207;209;209;209;207;207;205;205;205;205;207;207;207;207;202;205;205;205;207;202;200;200;205;207;202;202;205;205;205;205;207;202;200;202;200;202;202;202;205;202;202;205;202;200;202;205;202;200;205;207;202;202;207;205;200;202;205;205;202;202;202;202;205;207;202;205;205;207;205;202;202;202;202;202;200;200;200;205;207;205;202;205;205;207;207;106;191;261;333;367;403;442;448;444;442;442;442;439;437;444;442;437;439;439;439;442;442;442;442;442;</t>
  </si>
  <si>
    <t>50;84;114;165;228;283;326;360;381;385;385;385;381;377;372;364;360;360;355;347;343;338;334;330;330;330;326;321;317;313;313;309;305;300;300;305;300;300;305;309;313;309;305;305;309;309;300;305;305;300;300;296;292;296;300;296;292;292;292;300;305;300;296;300;305;305;305;305;300;296;300;300;296;296;300;296;296;300;296;296;300;300;300;305;300;296;300;292;296;300;296;292;296;300;296;296;296;300;296;296;63;127;182;232;296;347;381;406;423;423;432;436;432;432;436;436;432;432;432;427;427;432;436;432;432;</t>
  </si>
  <si>
    <t>2;2;31;74;115;148;178;196;200;212;221;216;212;209;212;209;207;209;207;212;216;212;205;205;207;207;207;202;205;207;205;207;207;207;207;205;209;207;202;205;202;202;205;207;205;205;207;205;200;202;205;205;205;200;200;202;202;202;205;200;198;205;207;202;205;205;202;202;202;207;205;200;202;205;202;200;202;202;202;200;200;205;205;202;205;205;205;205;207;200;200;207;207;202;200;205;202;205;200;200;47;96;148;207;254;284;295;304;306;304;306;306;306;308;306;306;308;306;304;304;306;308;304;306;308;304;299;304;306;304;306;308;306;304;304;306;306;306;308;308;</t>
  </si>
  <si>
    <t>46;80;122;173;232;292;338;372;389;398;406;410;406;398;389;381;381;381;377;368;364;360;347;343;343;343;343;338;334;330;326;321;321;321;317;313;313;313;309;309;309;309;313;313;305;309;313;305;300;309;309;305;305;305;300;309;309;305;305;309;305;300;309;305;300;305;309;309;309;313;309;300;305;309;309;309;309;305;305;305;305;305;305;305;305;305;305;305;305;305;305;305;300;300;300;300;300;300;300;300;50;93;135;182;232;279;309;334;355;364;368;372;372;377;385;385;385;385;381;377;377;377;377;377;377;377;377;377;377;372;377;377;381;381;377;377;377;381;381;381;</t>
  </si>
  <si>
    <t>0;4;27;69;112;148;171;191;205;209;212;209;216;216;212;207;212;214;207;209;209;207;209;209;209;207;207;212;207;205;209;207;202;202;207;205;202;200;202;205;202;202;207;207;205;205;205;202;202;205;207;205;205;207;205;200;202;200;198;202;205;207;207;205;205;198;198;205;207;205;202;200;202;205;207;207;205;202;205;205;202;202;207;205;202;205;207;205;200;202;202;202;205;205;205;205;205;207;209;209;65;126;184;254;304;333;349;356;356;354;356;363;356;354;358;356;354;356;360;363;354;354;356;356;356;358;356;351;358;363;360;360;356;360;360;354;358;354;369;369;</t>
  </si>
  <si>
    <t>55;101;139;190;254;309;360;393;415;432;440;440;436;432;427;419;410;406;402;398;398;389;372;377;368;364;364;360;355;347;347;347;343;343;338;330;330;326;321;326;326;321;321;321;321;326;326;321;317;317;317;317;321;321;317;317;317;317;317;317;317;317;321;321;317;317;321;317;321;321;321;321;321;326;321;330;330;321;317;321;321;313;313;313;317;317;317;317;313;317;317;317;317;317;317;317;317;321;313;313;50;105;152;203;258;313;347;372;389;393;402;406;406;406;406;406;410;410;410;410;415;415;415;410;410;415;415;419;419;415;415;415;410;406;406;406;402;402;385;385;</t>
  </si>
  <si>
    <t>2;0;22;60;101;137;169;187;202;214;212;214;214;214;212;214;216;212;212;212;214;212;209;207;209;209;209;209;207;205;209;212;205;205;207;205;205;205;205;207;205;202;205;205;202;200;205;205;202;202;202;202;202;205;205;202;205;207;205;202;202;205;202;202;205;202;202;202;209;205;200;205;205;202;202;202;207;205;202;207;207;202;200;205;205;205;207;205;205;205;205;212;209;202;207;205;202;196;207;207;54;106;162;223;270;304;318;322;324;327;327;324;329;333;329;324;327;327;324;327;327;324;324;329;329;327;327;327;327;324;327;329;329;324;324;327;324;324;329;327;327;327;329;327;322;329;327;336;322;322;</t>
  </si>
  <si>
    <t>55;105;152;211;275;330;385;427;449;461;474;478;474;461;457;449;440;436;427;419;410;398;393;389;377;368;364;360;351;343;343;343;338;334;334;330;330;326;326;326;326;326;321;321;326;326;326;330;330;326;326;321;321;321;321;321;317;326;326;321;326;321;317;321;321;321;321;326;321;321;321;317;317;321;317;317;326;321;317;321;321;317;313;317;321;317;321;321;317;317;317;321;321;317;317;317;309;317;309;309;50;101;148;199;249;300;334;351;368;385;393;398;402;402;402;402;402;402;402;406;406;406;410;410;406;406;410;402;402;402;406;406;406;402;402;406;406;402;402;402;402;398;398;402;402;402;398;402;398;398;</t>
  </si>
  <si>
    <t>1mm + 1mm/ Sin tratar</t>
  </si>
  <si>
    <t>1mm + 1mm + 1mm / Sin tratar</t>
  </si>
  <si>
    <t>1mm + 1mm + 1mm + 1mm / Sin tratar</t>
  </si>
  <si>
    <t>0,8mm + 1,2mm + 1mm/ Sin tratar</t>
  </si>
  <si>
    <t>2;6;36;78;126;164;187;200;216;221;209;205;207;205;202;205;205;200;196;200;205;205;202;202;207;205;202;205;202;202;202;205;202;200;200;202;202;205;205;205;202;202;207;202;198;200;202;200;200;202;205;202;202;202;200;200;205;207;202;200;207;207;202;200;202;202;200;202;205;205;202;200;202;205;205;205;205;202;202;205;200;205;209;205;205;205;205;205;202;205;207;205;202;202;207;205;200;198;202;202;263;446;572;656;712;739;737;735;726;723;723;717;710;712;721;719;714;721;717;712;712;717;721;719;719;717;714;714;714;721;719;712;721;717;714;703;703;</t>
  </si>
  <si>
    <t>42;80;122;169;224;275;309;334;351;360;364;360;360;347;347;364;364;364;364;364;372;377;377;372;381;381;368;368;372;377;377;372;377;377;372;377;381;381;385;385;385;385;385;381;385;385;389;393;393;398;398;398;398;393;398;402;402;402;402;402;402;406;406;393;402;406;402;402;398;398;398;398;398;398;398;398;398;393;393;398;398;393;393;393;398;389;385;389;389;389;389;389;385;385;385;385;385;385;389;389;76;169;258;321;368;398;415;427;427;423;427;423;419;419;419;423;419;415;419;415;415;419;410;406;406;402;402;406;406;402;398;398;398;398;393;402;402;</t>
  </si>
  <si>
    <t>187;320;426;534;608;640;665;678;683;681;681;687;681;674;674;672;674;669;667;672;669;672;667;667;669;665;672;669;669;667;665;674;669;665;667;669;669;</t>
  </si>
  <si>
    <t>105;220;330;423;512;580;635;669;682;682;677;669;656;643;635;626;618;614;605;597;597;593;593;580;576;580;571;571;567;559;559;554;550;550;546;546;546;</t>
  </si>
  <si>
    <t>267;460;589;709;810;884;930;920;920;902;893;884;865;874;874;874;874;865;856;865;874;884;874;865;856;874;874;893;893;893;</t>
  </si>
  <si>
    <t>127;279;415;533;635;698;737;745;737;728;707;694;677;660;652;648;643;643;631;631;631;622;622;618;618;622;614;618;597;597;</t>
  </si>
  <si>
    <t>267;469;598;709;764;828;911;939;920;902;902;893;884;884;884;884;874;865;865;884;874;856;865;865;865;</t>
  </si>
  <si>
    <t>131;283;419;525;635;715;745;758;758;749;732;703;686;673;648;643;639;626;626;618;618;618;635;601;601;</t>
  </si>
  <si>
    <t>200;331;433;597;735;780;814;829;829;820;802;800;780;807;807;</t>
  </si>
  <si>
    <t>139;292;419;533;631;703;737;737;720;698;673;643;665;618;618;</t>
  </si>
  <si>
    <t>189;308;408;548;674;719;739;769;773;766;757;744;757;726;726;</t>
  </si>
  <si>
    <t>131;275;402;504;601;669;707;724;720;698;673;648;656;631;631;</t>
  </si>
  <si>
    <t>239;405;598;773;884;948;985;976;1022;1022;</t>
  </si>
  <si>
    <t>139;309;474;601;703;762;779;792;787;787;</t>
  </si>
  <si>
    <t>202;478;460;598;598;</t>
  </si>
  <si>
    <t>152;317;279;444;444;</t>
  </si>
  <si>
    <t>11;31;83;160;239;299;329;336;333;331;327;322;320;313;313;318;313;313;313;311;311;311;311;306;308;308;311;311;304;308;308;304;306;308;311;311;311;</t>
  </si>
  <si>
    <t>84;156;224;288;351;393;423;436;436;432;415;402;393;385;377;360;347;343;338;334;326;317;317;317;309;305;309;305;300;296;292;296;292;288;292;296;296;</t>
  </si>
  <si>
    <t>2;9;49;117;189;250;286;299;295;288;284;275;272;272;270;268;268;270;270;270;270;270;266;266;270;270;266;266;266;270;268;266;270;263;263;254;254;</t>
  </si>
  <si>
    <t>88;156;211;266;330;385;406;415;415;406;393;385;372;360;351;347;351;347;338;338;330;330;326;313;313;313;305;300;296;296;292;292;288;288;288;283;283;</t>
  </si>
  <si>
    <t>67;137;234;306;396;493;514;514;518;509;500;496;489;491;480;475;480;478;480;480;</t>
  </si>
  <si>
    <t>105;216;309;381;436;478;504;508;499;482;453;432;410;393;381;364;355;351;351;351;</t>
  </si>
  <si>
    <t>1,6mm +2mm/Sin tratar</t>
  </si>
  <si>
    <t>1,2 mm + 1,2mm/ Sin tratar</t>
  </si>
  <si>
    <t>0,55mm +0,55mm</t>
  </si>
  <si>
    <t>230;396;534;598;727;911;939;911;920;902;893;893;884;893;874;856;856;893;865;865;</t>
  </si>
  <si>
    <t>148;338;512;656;787;872;923;944;936;923;902;876;859;838;830;817;804;804;796;796;</t>
  </si>
  <si>
    <t>99;180;277;383;446;507;557;577;590;590;590;584;588;590;581;581;577;575;575;570;572;570;577;563;563;</t>
  </si>
  <si>
    <t>127;258;372;487;597;682;749;792;813;813;804;796;775;758;745;728;711;690;677;669;652;643;643;635;635;</t>
  </si>
  <si>
    <t>85;162;252;351;412;453;496;516;534;539;532;530;525;527;525;521;525;516;521;525;516;516;502;530;530;</t>
  </si>
  <si>
    <t>114;237;338;436;533;622;682;715;741;749;749;741;724;715;703;690;682;669;656;643;635;631;635;622;622;</t>
  </si>
  <si>
    <t>151;263;329;444;575;638;678;694;705;708;703;701;692;690;683;692;692;</t>
  </si>
  <si>
    <t>144;288;427;546;660;754;817;851;855;851;834;809;792;766;745;732;732;</t>
  </si>
  <si>
    <t>151;218;336;496;575;636;683;708;717;701;726;726;</t>
  </si>
  <si>
    <t>144;292;432;559;669;754;813;843;851;838;847;847;</t>
  </si>
  <si>
    <t>87;162;214;340;484;541;579;599;602;606;608;599;593;586;584;586;586;</t>
  </si>
  <si>
    <t>135;279;406;512;610;703;771;792;792;779;762;732;694;673;652;665;665;</t>
  </si>
  <si>
    <t>164;275;385;505;570;651;728;757;769;753;748;742;735;733;726;735;735;726;728;726;733;730;742;723;723;</t>
  </si>
  <si>
    <t>152;321;482;622;754;864;940;978;991;991;982;970;953;931;915;902;889;872;859;847;834;826;826;821;821;</t>
  </si>
  <si>
    <t>151;254;358;464;523;597;672;705;712;705;703;692;692;685;676;678;674;676;674;669;676;667;683;658;658;</t>
  </si>
  <si>
    <t>135;288;432;559;686;787;859;898;906;906;893;872;855;838;821;809;796;779;771;762;749;745;737;749;749;</t>
  </si>
  <si>
    <t>193;327;401;523;676;753;809;825;816;811;798;796;789;782;784;780;780;</t>
  </si>
  <si>
    <t>148;321;482;631;766;864;919;948;953;936;915;893;872;851;834;838;838;</t>
  </si>
  <si>
    <t>184;277;399;568;674;757;805;823;827;811;825;825;</t>
  </si>
  <si>
    <t>156;330;499;648;779;872;923;948;948;931;936;936;</t>
  </si>
  <si>
    <t>142;248;369;489;545;622;712;751;769;775;773;762;762;757;753;744;735;739;735;733;733;726;744;714;714;</t>
  </si>
  <si>
    <t>165;347;512;665;804;923;1012;1063;1084;1076;1059;1029;991;961;923;893;868;843;821;800;783;771;779;762;762;</t>
  </si>
  <si>
    <t>106;184;286;405;491;552;588;599;636;656;658;658;649;651;642;636;636;629;631;624;624;629;624;627;624;622;624;620;624;620;617;620;622;624;624;</t>
  </si>
  <si>
    <t>148;309;457;584;707;817;893;948;974;987;978;961;940;910;881;855;834;813;792;775;762;745;732;728;715;707;698;686;677;677;665;656;665;656;656;</t>
  </si>
  <si>
    <t>142;252;376;493;572;642;721;757;766;771;766;769;760;746;742;737;737;739;730;730;710;710;</t>
  </si>
  <si>
    <t>160;347;512;656;787;906;987;1033;1046;1037;1016;982;948;915;881;859;834;809;796;779;792;792;</t>
  </si>
  <si>
    <t>106;189;299;428;532;590;611;645;681;692;692;687;685;678;681;674;672;669;665;667;663;663;663;658;660;660;660;654;649;660;647;647;</t>
  </si>
  <si>
    <t>152;313;465;601;724;838;919;965;987;987;974;944;915;889;855;830;800;771;745;724;707;686;665;652;635;626;614;601;588;576;584;584;</t>
  </si>
  <si>
    <t>115;196;293;414;507;568;606;624;649;654;649;656;647;645;640;642;645;633;633;631;629;631;624;624;624;622;627;620;636;604;604;</t>
  </si>
  <si>
    <t>139;300;449;571;686;787;855;902;927;923;906;885;864;838;817;787;762;737;715;686;669;660;648;635;622;601;593;588;588;584;584;</t>
  </si>
  <si>
    <t>151;254;378;507;575;658;733;762;771;771;775;766;762;751;742;751;744;742;735;726;737;730;755;710;710;</t>
  </si>
  <si>
    <t>156;330;499;639;754;859;940;974;978;965;948;915;872;834;800;766;741;720;698;669;652;639;643;626;626;</t>
  </si>
  <si>
    <t>151;245;333;491;631;694;744;760;773;775;760;762;739;771;771;</t>
  </si>
  <si>
    <t>152;334;499;639;766;872;931;957;957;944;915;881;898;851;851;</t>
  </si>
  <si>
    <t>1,2mm +1,6 mm +1,6 mm</t>
  </si>
  <si>
    <t>1,6 mm +1 mm +0,55mm</t>
  </si>
  <si>
    <t>0,55mm + 0,9 mm + 0,55mm</t>
  </si>
  <si>
    <t>1,6 mm +1 mm +1 mm +0,55 mm</t>
  </si>
  <si>
    <t>0,55 mm +1.6 mm +1 mm +0,55 mm</t>
  </si>
  <si>
    <t>0,9 mm +0,55 mm +0,9 mm+ 0,55 mm</t>
  </si>
  <si>
    <t>Prog =   8</t>
  </si>
  <si>
    <t>198;331;426;500;543;597;663;692;710;714;714;708;692;690;683;676;678;676;676;674;676;676;678;674;674;</t>
  </si>
  <si>
    <t>97;216;334;449;559;652;720;762;771;762;741;715;690;665;648;631;614;601;584;571;563;550;550;546;546;</t>
  </si>
  <si>
    <t>230;381;457;518;552;611;692;719;714;708;701;699;690;674;672;672;674;672;669;672;667;674;658;683;683;</t>
  </si>
  <si>
    <t>67;165;283;398;495;567;614;639;631;614;597;571;550;529;504;491;482;478;474;465;461;453;453;444;444;</t>
  </si>
  <si>
    <t>236;383;457;521;559;627;690;708;714;708;703;699;685;676;669;676;672;669;669;667;672;669;685;669;669;</t>
  </si>
  <si>
    <t>76;169;279;389;487;563;614;631;626;618;601;567;546;529;508;491;478;474;465;461;461;453;457;449;449;</t>
  </si>
  <si>
    <t>234;385;462;525;561;613;687;714;717;717;703;694;685;678;681;672;672;669;672;669;660;667;654;685;685;</t>
  </si>
  <si>
    <t>80;173;279;393;491;563;614;635;635;618;593;571;550;525;504;495;482;470;465;457;449;444;449;444;444;</t>
  </si>
  <si>
    <t>Prog =  12</t>
  </si>
  <si>
    <t>212;349;435;496;525;595;660;683;696;690;692;685;683;687;681;681;678;676;676;672;678;676;685;674;674;</t>
  </si>
  <si>
    <t>88;199;317;436;550;643;711;754;783;792;779;766;758;745;728;711;698;690;673;660;652;643;639;648;648;</t>
  </si>
  <si>
    <t>218;356;442;505;532;595;665;692;696;696;696;683;685;683;681;681;669;676;678;674;676;672;687;651;651;</t>
  </si>
  <si>
    <t>88;186;313;427;529;631;698;737;754;758;745;737;720;703;694;677;660;648;635;626;614;610;614;605;605;</t>
  </si>
  <si>
    <t>Prog =  13</t>
  </si>
  <si>
    <t>250;401;489;570;620;694;773;784;789;787;782;778;773;784;782;778;784;778;782;780;782;782;782;784;784;</t>
  </si>
  <si>
    <t>101;237;377;512;639;741;817;868;893;906;910;906;902;889;876;868;851;834;830;826;813;800;809;783;783;</t>
  </si>
  <si>
    <t>252;403;496;577;622;692;787;805;798;796;784;789;787;773;775;778;782;784;780;782;773;778;760;791;791;</t>
  </si>
  <si>
    <t>105;232;372;512;639;732;800;843;859;864;855;851;847;834;817;809;796;783;771;758;754;737;749;728;728;</t>
  </si>
  <si>
    <t>182;304;417;550;629;710;805;823;820;816;809;809;793;787;789;784;789;780;780;782;778;782;766;789;789;</t>
  </si>
  <si>
    <t>156;334;504;656;792;898;974;1012;1012;999;982;957;931;902;876;855;834;821;804;787;783;775;783;771;771;</t>
  </si>
  <si>
    <t>182;306;421;554;633;708;798;820;820;823;807;802;796;796;793;778;787;782;782;782;773;778;755;791;791;</t>
  </si>
  <si>
    <t>156;330;499;660;796;902;974;1012;1020;1012;991;957;936;910;885;864;851;834;813;796;787;783;792;775;775;</t>
  </si>
  <si>
    <t>252;410;507;586;617;674;753;787;789;789;784;780;782;780;787;789;782;787;782;784;780;771;782;757;757;</t>
  </si>
  <si>
    <t>105;232;372;525;656;758;838;893;927;940;944;936;923;919;906;893;876;859;843;830;817;804;809;804;804;</t>
  </si>
  <si>
    <t>252;403;505;590;633;703;773;800;805;800;793;780;787;789;780;775;773;784;780;775;778;773;791;755;755;</t>
  </si>
  <si>
    <t>105;241;385;521;652;745;813;851;872;876;868;855;834;821;804;792;779;762;754;741;732;728;737;720;720;</t>
  </si>
  <si>
    <t>207;345;435;511;550;597;642;667;685;676;681;685;687;687;676;683;683;681;685;676;676;676;687;672;672;</t>
  </si>
  <si>
    <t>88;199;313;427;542;639;711;758;792;804;804;800;787;771;749;741;728;711;694;682;669;656;656;648;648;</t>
  </si>
  <si>
    <t>205;349;439;511;548;593;663;690;699;701;694;692;685;676;683;681;678;674;672;676;669;669;647;676;676;</t>
  </si>
  <si>
    <t>88;199;313;423;533;622;682;720;741;737;728;715;698;682;665;648;639;631;622;610;601;593;597;593;593;</t>
  </si>
  <si>
    <t>166;290;405;500;541;611;701;723;721;721;714;705;699;687;683;676;674;681;674;672;672;674;678;672;672;</t>
  </si>
  <si>
    <t>122;249;368;478;580;656;711;732;728;711;682;652;618;593;571;550;538;525;512;499;487;474;482;474;474;</t>
  </si>
  <si>
    <t>180;302;414;514;552;611;696;728;728;728;712;699;696;683;681;676;672;674;667;672;672;674;672;672;672;</t>
  </si>
  <si>
    <t>114;237;351;461;567;639;682;703;703;677;648;614;580;559;538;525;508;495;487;482;474;461;470;461;461;</t>
  </si>
  <si>
    <t>178;308;417;516;566;624;701;721;726;728;714;703;692;681;678;672;676;674;669;669;669;672;658;678;678;</t>
  </si>
  <si>
    <t>114;241;360;461;559;639;682;698;690;669;643;610;576;550;533;521;504;495;482;474;465;457;457;457;457;</t>
  </si>
  <si>
    <t>180;308;419;509;548;615;703;728;726;726;714;701;696;681;676;672;672;674;669;672;672;674;678;665;665;</t>
  </si>
  <si>
    <t>110;228;351;461;563;639;690;711;698;677;643;610;588;563;533;516;504;495;487;474;470;465;470;465;465;</t>
  </si>
  <si>
    <t>166;284;381;478;534;584;647;669;685;690;694;701;694;699;694;690;692;685;687;685;681;683;676;694;694;</t>
  </si>
  <si>
    <t>122;258;393;512;631;732;813;868;898;906;902;893;876;859;834;809;787;766;745;724;703;686;690;673;673;</t>
  </si>
  <si>
    <t>178;302;394;491;550;602;656;681;701;701;696;694;687;690;685;683;681;674;681;678;676;674;678;683;683;</t>
  </si>
  <si>
    <t>114;245;368;482;601;694;762;800;817;821;809;796;775;754;737;715;698;690;682;665;648;643;648;639;639;</t>
  </si>
  <si>
    <t>178;302;399;493;543;611;674;692;701;699;699;692;685;687;678;681;683;676;674;667;681;681;692;669;669;</t>
  </si>
  <si>
    <t>118;245;368;478;588;690;749;779;796;796;787;771;745;724;703;690;677;665;652;639;631;622;626;618;618;</t>
  </si>
  <si>
    <t>178;304;399;491;543;604;678;699;701;701;692;692;687;685;681;676;681;676;676;674;672;676;663;685;685;</t>
  </si>
  <si>
    <t>110;241;368;482;593;677;741;779;792;792;779;762;741;724;703;686;673;665;652;635;622;618;622;618;618;</t>
  </si>
  <si>
    <t>169;295;396;482;518;568;642;672;681;699;701;696;701;694;692;687;685;685;678;683;678;676;672;678;678;</t>
  </si>
  <si>
    <t>118;237;360;478;597;707;792;847;868;876;893;881;855;830;809;787;762;741;720;703;698;682;690;669;669;</t>
  </si>
  <si>
    <t>182;306;410;500;545;599;651;690;699;696;701;694;694;687;683;683;672;674;678;674;672;665;678;649;649;</t>
  </si>
  <si>
    <t>105;228;351;465;580;673;737;779;800;804;787;771;754;728;711;698;677;665;652;643;639;631;643;626;626;</t>
  </si>
  <si>
    <t>182;313;408;500;550;597;660;685;694;699;690;694;692;685;683;676;681;678;674;674;669;674;654;683;683;</t>
  </si>
  <si>
    <t>114;228;351;461;571;665;732;775;787;783;775;762;749;728;703;690;682;665;652;648;639;622;622;622;622;</t>
  </si>
  <si>
    <t>178;313;412;498;536;590;672;701;701;705;696;690;687;678;681;678;678;672;667;676;676;678;660;687;687;</t>
  </si>
  <si>
    <t>110;237;355;461;567;660;720;758;775;775;762;745;724;707;686;673;660;652;643;635;626;618;622;605;605;</t>
  </si>
  <si>
    <t>173;290;387;482;534;581;642;663;678;690;694;701;696;703;696;683;685;681;685;681;678;683;676;687;687;</t>
  </si>
  <si>
    <t>114;241;372;487;601;707;792;847;872;889;889;872;855;838;809;783;762;745;728;707;690;677;686;660;660;</t>
  </si>
  <si>
    <t>180;306;410;498;541;599;649;676;692;692;703;701;699;692;681;685;678;676;681;674;676;669;685;660;660;</t>
  </si>
  <si>
    <t>110;228;351;465;580;673;745;787;809;813;804;787;766;745;724;707;690;669;660;652;648;635;639;618;618;</t>
  </si>
  <si>
    <t>180;304;403;498;543;604;660;683;694;692;699;690;687;687;678;681;678;678;678;672;678;672;690;654;654;</t>
  </si>
  <si>
    <t>114;237;355;465;576;673;741;775;792;796;787;771;749;732;715;703;686;669;660;652;643;639;635;635;635;</t>
  </si>
  <si>
    <t>ITP_CELDA_YASKAWA_02</t>
  </si>
  <si>
    <t>80;80;310;310;554;554;764;764;802;802;802;802;786;786;782;782;775;775;775;775;782;782;786;786;766;</t>
  </si>
  <si>
    <t>21;21;25;25;21;21;25;25;21;21;21;21;21;21;29;29;29;29;25;25;29;29;33;33;25;</t>
  </si>
  <si>
    <t>89;89;330;330;592;592;755;755;806;806;802;802;788;788;770;770;773;773;775;775;779;779;791;791;762;</t>
  </si>
  <si>
    <t>12;12;25;25;25;25;33;33;29;29;25;25;29;29;25;25;33;33;25;25;29;29;29;29;42;</t>
  </si>
  <si>
    <t>84;84;328;328;576;576;759;759;808;808;802;802;788;788;777;777;773;773;773;773;775;775;786;786;773;</t>
  </si>
  <si>
    <t>21;21;21;21;25;25;25;25;25;25;21;21;25;25;33;33;29;29;29;29;21;21;25;25;25;</t>
  </si>
  <si>
    <t>80;80;324;324;585;585;764;764;822;822;811;811;788;788;775;775;768;768;777;777;779;779;782;782;748;</t>
  </si>
  <si>
    <t>21;21;21;21;21;21;25;25;25;25;25;25;29;29;21;21;25;25;25;25;25;25;25;25;25;</t>
  </si>
  <si>
    <t>113;113;368;368;594;594;706;706;766;766;786;786;784;784;782;782;775;775;782;782;782;782;791;791;759;</t>
  </si>
  <si>
    <t>25;25;21;21;25;25;33;33;25;25;25;25;29;29;25;25;21;21;25;25;25;25;33;33;21;</t>
  </si>
  <si>
    <t>116;116;382;382;607;607;728;728;784;784;791;791;788;788;777;777;777;777;775;775;766;766;755;755;793;</t>
  </si>
  <si>
    <t>25;25;21;21;25;25;25;25;25;25;29;29;29;29;29;29;29;29;29;29;25;25;29;29;29;</t>
  </si>
  <si>
    <t>113;113;386;386;630;630;724;724;779;779;795;795;779;779;779;779;775;775;777;777;777;777;775;775;782;</t>
  </si>
  <si>
    <t>21;21;25;25;25;25;25;25;16;16;21;21;25;25;38;38;33;33;25;25;25;25;25;25;12;</t>
  </si>
  <si>
    <t>113;113;384;384;598;598;730;730;779;779;795;795;793;793;777;777;775;775;775;775;775;775;775;775;775;</t>
  </si>
  <si>
    <t>29;29;21;21;25;25;25;25;29;29;25;25;25;25;29;29;25;25;29;29;25;25;29;29;25;</t>
  </si>
  <si>
    <t>91;91;324;324;592;592;724;724;797;797;799;799;782;782;775;775;777;777;779;779;784;784;779;779;777;777;791;</t>
  </si>
  <si>
    <t>16;16;25;25;25;25;29;29;21;21;25;25;25;25;25;25;25;25;25;25;25;25;21;21;29;29;29;</t>
  </si>
  <si>
    <t>107;107;359;359;614;614;719;719;786;786;791;791;786;786;782;782;770;770;775;775;777;777;782;782;782;782;770;</t>
  </si>
  <si>
    <t>21;21;25;25;21;21;25;25;29;29;25;25;25;25;25;25;25;25;29;29;25;25;25;25;25;25;25;</t>
  </si>
  <si>
    <t>107;107;364;364;623;623;721;721;788;788;795;795;782;782;775;775;768;768;777;777;782;782;775;775;775;775;779;</t>
  </si>
  <si>
    <t>21;21;21;21;25;25;25;25;21;21;25;25;12;12;25;25;21;21;25;25;25;25;33;33;33;33;38;</t>
  </si>
  <si>
    <t>107;107;370;370;623;623;715;715;788;788;804;804;793;793;773;773;777;777;770;770;782;782;773;773;775;775;793;</t>
  </si>
  <si>
    <t>16;16;21;21;29;29;25;25;29;29;29;29;21;21;25;25;25;25;21;21;25;25;25;25;29;29;38;</t>
  </si>
  <si>
    <t>84;84;308;308;607;607;822;822;871;871;860;860;840;840;833;833;835;835;837;837;824;824;815;815;846;</t>
  </si>
  <si>
    <t>29;29;25;25;29;29;25;25;16;16;25;25;16;16;16;16;25;25;25;25;29;29;25;25;29;</t>
  </si>
  <si>
    <t>82;82;328;328;621;621;835;835;882;882;864;864;840;840;820;820;831;831;829;829;831;831;844;844;826;</t>
  </si>
  <si>
    <t>25;25;21;21;25;25;16;16;25;25;33;33;25;25;29;29;25;25;21;21;12;12;33;33;21;</t>
  </si>
  <si>
    <t>89;89;332;332;614;614;829;829;875;875;862;862;844;844;826;826;820;820;833;833;826;826;842;842;806;</t>
  </si>
  <si>
    <t>21;21;25;25;25;25;25;25;25;25;21;21;21;21;21;21;21;21;16;16;25;25;25;25;21;</t>
  </si>
  <si>
    <t>91;91;335;335;607;607;844;844;884;884;867;867;840;840;831;831;829;829;822;822;826;826;813;813;840;</t>
  </si>
  <si>
    <t>21;21;29;29;25;25;25;25;25;25;29;29;21;21;25;25;21;21;29;29;29;29;33;33;29;</t>
  </si>
  <si>
    <t>109;109;364;364;620;620;812;812;875;875;885;885;866;866;866;866;848;848;857;857;857;857;857;857;866;</t>
  </si>
  <si>
    <t>21;21;16;16;16;16;16;16;12;12;21;21;12;12;12;12;12;12;16;16;25;25;16;16;8;</t>
  </si>
  <si>
    <t>118;118;392;392;629;629;802;802;866;866;875;875;875;875;866;866;848;848;875;875;866;866;866;866;821;</t>
  </si>
  <si>
    <t>25;25;16;16;12;12;21;21;16;16;12;12;21;21;16;16;12;12;16;16;8;8;21;21;21;</t>
  </si>
  <si>
    <t>118;118;392;392;656;656;775;775;866;866;875;875;866;866;848;848;875;875;866;866;866;866;885;885;875;</t>
  </si>
  <si>
    <t>25;25;25;25;21;21;16;16;12;12;8;8;12;12;8;8;8;8;16;16;12;12;16;16;16;</t>
  </si>
  <si>
    <t>127;127;410;410;611;611;812;812;875;875;875;875;875;875;857;857;848;848;857;857;866;866;866;866;830;</t>
  </si>
  <si>
    <t>16;16;25;25;21;21;21;21;8;8;12;12;12;12;8;8;12;12;8;8;12;12;12;12;25;</t>
  </si>
  <si>
    <t>82;82;321;321;627;627;791;791;867;867;853;853;829;829;817;817;811;811;822;822;820;820;829;829;846;846;</t>
  </si>
  <si>
    <t>21;21;21;21;21;21;25;25;25;25;21;21;21;21;21;21;25;25;25;25;21;21;25;25;25;25;</t>
  </si>
  <si>
    <t>89;89;339;339;645;645;797;797;855;855;851;851;826;826;820;820;815;815;813;813;824;824;822;822;831;831;</t>
  </si>
  <si>
    <t>25;25;16;16;25;25;25;25;21;21;25;25;21;21;33;33;25;25;25;25;25;25;25;25;21;21;</t>
  </si>
  <si>
    <t>89;89;339;339;654;654;799;799;867;867;837;837;820;820;808;808;813;813;824;824;815;815;824;824;808;808;</t>
  </si>
  <si>
    <t>21;21;25;25;29;29;29;29;25;25;21;21;21;21;25;25;25;25;25;25;25;25;21;21;21;21;</t>
  </si>
  <si>
    <t>84;84;344;344;656;656;802;802;862;862;855;855;829;829;820;820;815;815;804;804;824;824;817;817;826;826;</t>
  </si>
  <si>
    <t>21;21;21;21;21;21;25;25;25;25;25;25;25;25;25;25;25;25;25;25;21;21;25;25;33;33;</t>
  </si>
  <si>
    <t>85;85;326;326;596;596;749;749;792;792;783;783;778;778;771;771;776;776;783;783;778;778;789;789;780;</t>
  </si>
  <si>
    <t>21;21;21;21;25;25;29;29;21;21;25;25;21;21;33;33;29;29;29;29;21;21;12;12;25;</t>
  </si>
  <si>
    <t>92;92;346;346;605;605;753;753;785;785;796;796;778;778;780;780;767;767;780;780;778;778;783;783;756;</t>
  </si>
  <si>
    <t>25;25;25;25;16;16;29;29;29;29;29;29;29;29;29;29;25;25;29;29;25;25;25;25;25;</t>
  </si>
  <si>
    <t>90;90;344;344;612;612;762;762;785;785;778;778;787;787;771;771;780;780;771;771;776;776;760;760;792;</t>
  </si>
  <si>
    <t>21;21;25;25;21;21;21;21;25;25;33;33;25;25;33;33;25;25;29;29;29;29;46;46;33;</t>
  </si>
  <si>
    <t>94;94;344;344;605;605;756;756;796;796;798;798;783;783;780;780;769;769;776;776;780;780;787;787;756;</t>
  </si>
  <si>
    <t>21;21;25;25;29;29;21;21;25;25;21;21;29;29;25;25;21;21;25;25;16;16;29;29;25;</t>
  </si>
  <si>
    <t>91;91;376;376;597;597;808;808;873;873;863;863;882;882;863;863;863;863;854;854;873;873;937;937;937;</t>
  </si>
  <si>
    <t>21;21;16;16;21;21;12;12;8;8;12;12;8;8;21;21;16;16;16;16;12;12;16;16;8;</t>
  </si>
  <si>
    <t>119;119;376;376;689;689;817;817;863;863;882;882;873;873;854;854;854;854;863;863;854;854;882;882;845;</t>
  </si>
  <si>
    <t>16;16;25;25;16;16;16;16;16;16;8;8;29;29;12;12;16;16;16;16;12;12;4;4;21;</t>
  </si>
  <si>
    <t>110;110;395;395;652;652;836;836;873;873;882;882;863;863;854;854;845;845;863;863;863;863;863;863;827;</t>
  </si>
  <si>
    <t>25;25;21;21;21;21;12;12;8;8;16;16;16;16;25;25;12;12;12;12;16;16;21;21;8;</t>
  </si>
  <si>
    <t>110;110;422;422;643;643;836;836;873;873;891;891;873;873;854;854;845;845;845;845;854;854;854;854;854;</t>
  </si>
  <si>
    <t>16;16;21;21;16;16;12;12;16;16;12;12;16;16;21;21;16;16;12;12;12;12;4;4;16;</t>
  </si>
  <si>
    <t>94;94;342;342;634;634;762;762;830;830;825;825;814;814;807;807;805;805;816;816;814;814;814;814;837;837;</t>
  </si>
  <si>
    <t>21;21;25;25;25;25;29;29;21;21;16;16;25;25;21;21;21;21;25;25;25;25;25;25;25;25;</t>
  </si>
  <si>
    <t>108;108;366;366;639;639;762;762;825;825;834;834;816;816;810;810;810;810;801;801;810;810;807;807;812;812;</t>
  </si>
  <si>
    <t>25;25;25;25;21;21;29;29;25;25;25;25;21;21;29;29;29;29;21;21;25;25;25;25;29;29;</t>
  </si>
  <si>
    <t>103;103;364;364;648;648;762;762;837;837;830;830;816;816;798;798;803;803;812;812;810;810;812;812;825;825;</t>
  </si>
  <si>
    <t>21;21;29;29;21;21;29;29;25;25;25;25;29;29;21;21;25;25;21;21;25;25;29;29;33;33;</t>
  </si>
  <si>
    <t>110;110;380;380;650;650;765;765;828;828;830;830;816;816;812;812;803;803;803;803;805;805;805;805;812;812;</t>
  </si>
  <si>
    <t>25;25;29;29;29;29;29;29;29;29;29;29;25;25;25;25;25;25;25;25;25;25;25;25;29;29;</t>
  </si>
  <si>
    <t>73;73;294;294;606;606;854;854;909;909;900;900;882;882;863;863;854;854;854;854;863;863;873;873;863;</t>
  </si>
  <si>
    <t>29;29;16;16;21;21;12;12;12;12;8;8;12;12;12;12;12;12;12;12;12;12;12;12;21;</t>
  </si>
  <si>
    <t>73;73;294;294;606;606;863;863;909;909;900;900;882;882;873;873;873;873;854;854;854;854;854;854;854;</t>
  </si>
  <si>
    <t>21;21;16;16;12;12;21;21;16;16;16;16;8;8;16;16;16;16;12;12;16;16;12;12;8;</t>
  </si>
  <si>
    <t>73;73;312;312;606;606;854;854;891;891;900;900;891;891;882;882;854;854;863;863;863;863;863;863;827;</t>
  </si>
  <si>
    <t>16;16;25;25;8;8;16;16;12;12;12;12;12;12;12;12;16;16;12;12;12;12;8;8;0;</t>
  </si>
  <si>
    <t>55;55;330;330;578;578;882;882;909;909;891;891;873;873;882;882;863;863;854;854;854;854;863;863;854;</t>
  </si>
  <si>
    <t>25;25;16;16;16;16;21;21;16;16;12;12;16;16;16;16;12;12;16;16;16;16;21;21;12;</t>
  </si>
  <si>
    <t>73;73;294;294;606;606;845;845;918;918;891;891;882;882;854;854;854;854;854;854;854;854;873;873;845;</t>
  </si>
  <si>
    <t>25;25;12;12;21;21;16;16;21;21;16;16;12;12;12;12;16;16;16;16;12;12;16;16;12;</t>
  </si>
  <si>
    <t>55;55;294;294;597;597;882;882;928;928;891;891;891;891;863;863;863;863;863;863;854;854;836;836;882;</t>
  </si>
  <si>
    <t>21;21;25;25;21;21;8;8;16;16;12;12;8;8;12;12;12;12;21;21;8;8;21;21;16;</t>
  </si>
  <si>
    <t>73;73;321;321;588;588;873;873;891;891;891;891;891;891;863;863;863;863;854;854;845;845;827;827;863;</t>
  </si>
  <si>
    <t>21;21;25;25;16;16;12;12;12;12;16;16;16;16;16;16;16;16;12;12;21;21;33;33;8;</t>
  </si>
  <si>
    <t>45;45;303;303;643;643;873;873;909;909;900;900;873;873;863;863;873;873;863;863;863;863;900;900;863;</t>
  </si>
  <si>
    <t>21;21;16;16;21;21;12;12;12;12;12;12;12;12;4;4;12;12;16;16;21;21;21;21;21;</t>
  </si>
  <si>
    <t>55;55;266;266;588;588;863;863;918;918;909;909;882;882;863;863;854;854;863;863;854;854;873;873;854;</t>
  </si>
  <si>
    <t>25;25;21;21;21;21;12;12;16;16;21;21;16;16;12;12;16;16;8;8;12;12;25;25;8;</t>
  </si>
  <si>
    <t>45;45;266;266;569;569;863;863;909;909;900;900;882;882;882;882;873;873;845;845;854;854;845;845;827;</t>
  </si>
  <si>
    <t>21;21;25;25;21;21;16;16;16;16;16;16;25;25;12;12;12;12;16;16;12;12;12;12;12;</t>
  </si>
  <si>
    <t>82;82;312;312;615;615;845;845;891;891;900;900;873;873;863;863;854;854;863;863;863;863;873;873;836;</t>
  </si>
  <si>
    <t>16;16;21;21;16;16;16;16;16;16;16;16;16;16;12;12;25;25;12;12;8;8;12;12;16;</t>
  </si>
  <si>
    <t>64;64;303;303;606;606;863;863;891;891;909;909;882;882;873;873;863;863;845;845;854;854;863;863;854;</t>
  </si>
  <si>
    <t>21;21;21;21;16;16;16;16;12;12;16;16;16;16;16;16;8;8;16;16;8;8;8;8;16;</t>
  </si>
  <si>
    <t>64;64;303;303;588;588;863;863;900;900;891;891;873;873;854;854;863;863;845;845;845;845;827;827;873;</t>
  </si>
  <si>
    <t>21;21;25;25;16;16;16;16;12;12;16;16;16;16;8;8;8;8;16;16;12;12;8;8;12;</t>
  </si>
  <si>
    <t>64;64;284;284;606;606;882;882;918;918;891;891;882;882;873;873;863;863;845;845;854;854;836;836;873;</t>
  </si>
  <si>
    <t>12;12;25;25;16;16;12;12;16;16;12;12;16;16;12;12;12;12;16;16;16;16;16;16;21;</t>
  </si>
  <si>
    <t>82;82;312;312;588;588;845;845;928;928;900;900;891;891;863;863;854;854;854;854;863;863;882;882;827;</t>
  </si>
  <si>
    <t>21;21;16;16;21;21;16;16;16;16;16;16;16;16;12;12;12;12;12;12;0;0;12;12;16;</t>
  </si>
  <si>
    <t>82;82;330;330;578;578;854;854;918;918;918;918;891;891;863;863;854;854;836;836;854;854;845;845;882;</t>
  </si>
  <si>
    <t>25;25;25;25;16;16;12;12;16;16;16;16;16;16;16;16;12;12;4;4;16;16;21;21;21;</t>
  </si>
  <si>
    <t>64;64;275;275;588;588;873;873;928;928;891;891;882;882;863;863;863;863;854;854;845;845;854;854;882;</t>
  </si>
  <si>
    <t>21;21;25;25;16;16;16;16;16;16;12;12;12;12;16;16;16;16;12;12;25;25;12;12;21;</t>
  </si>
  <si>
    <t>45;45;266;266;597;597;854;854;918;918;900;900;882;882;863;863;863;863;863;863;836;836;836;836;854;</t>
  </si>
  <si>
    <t>16;16;25;25;21;21;25;25;21;21;8;8;21;21;12;12;12;12;16;16;16;16;21;21;12;</t>
  </si>
  <si>
    <t>82;82;303;303;615;615;836;836;909;909;909;909;873;873;863;863;863;863;854;854;854;854;827;827;863;</t>
  </si>
  <si>
    <t>21;21;25;25;16;16;16;16;16;16;12;12;21;21;12;12;16;16;12;12;12;12;12;12;21;</t>
  </si>
  <si>
    <t>64;64;303;303;578;578;863;863;918;918;900;900;891;891;863;863;873;873;863;863;845;845;863;863;845;</t>
  </si>
  <si>
    <t>21;21;21;21;21;21;12;12;21;21;12;12;21;21;12;12;16;16;12;12;12;12;12;12;25;</t>
  </si>
  <si>
    <t>82;82;303;303;588;588;836;836;900;900;900;900;882;882;882;882;854;854;854;854;845;845;863;863;854;</t>
  </si>
  <si>
    <t>25;25;25;25;16;16;16;16;12;12;8;8;21;21;4;4;12;12;8;8;25;25;16;16;12;</t>
  </si>
  <si>
    <t>73;73;284;284;588;588;891;891;918;918;900;900;873;873;873;873;863;863;854;854;854;854;863;863;854;</t>
  </si>
  <si>
    <t>21;21;21;21;16;16;16;16;12;12;16;16;8;8;12;12;16;16;12;12;12;12;8;8;42;</t>
  </si>
  <si>
    <t>64;64;303;303;606;606;863;863;909;909;891;891;882;882;845;845;854;854;845;845;845;845;863;863;817;</t>
  </si>
  <si>
    <t>16;16;21;21;16;16;16;16;16;16;12;12;21;21;12;12;16;16;12;12;12;12;8;8;38;</t>
  </si>
  <si>
    <t>73;73;312;312;615;615;873;873;918;918;909;909;863;863;873;873;854;854;854;854;854;854;863;863;845;</t>
  </si>
  <si>
    <t>25;25;21;21;21;21;12;12;16;16;8;8;12;12;16;16;12;12;21;21;12;12;16;16;8;</t>
  </si>
  <si>
    <t>55;55;303;303;615;615;863;863;900;900;891;891;882;882;873;873;863;863;854;854;845;845;836;836;854;</t>
  </si>
  <si>
    <t>16;16;21;21;21;21;16;16;16;16;12;12;12;12;8;8;12;12;25;25;16;16;25;25;16;</t>
  </si>
  <si>
    <t>73;73;284;284;606;606;854;854;900;900;891;891;891;891;873;873;863;863;854;854;845;845;836;836;845;</t>
  </si>
  <si>
    <t>21;21;21;21;16;16;21;21;16;16;12;12;16;16;16;16;8;8;8;8;12;12;16;16;8;</t>
  </si>
  <si>
    <t>73;73;321;321;597;597;845;845;909;909;882;882;882;882;854;854;882;882;854;854;854;854;854;854;882;</t>
  </si>
  <si>
    <t>16;16;21;21;16;16;12;12;21;21;12;12;12;12;16;16;12;12;16;16;16;16;25;25;25;</t>
  </si>
  <si>
    <t>82;82;321;321;615;615;863;863;918;918;900;900;873;873;873;873;854;854;854;854;845;845;827;827;882;</t>
  </si>
  <si>
    <t>25;25;16;16;16;16;21;21;8;8;8;8;12;12;12;12;8;8;21;21;12;12;12;12;16;</t>
  </si>
  <si>
    <t>73;73;312;312;551;551;873;873;900;900;900;900;882;882;863;863;873;873;854;854;854;854;863;863;854;</t>
  </si>
  <si>
    <t>21;21;25;25;21;21;16;16;12;12;12;12;16;16;21;21;16;16;16;16;12;12;8;8;16;</t>
  </si>
  <si>
    <t>73;73;303;303;597;597;873;873;909;909;900;900;854;854;873;873;863;863;854;854;845;845;827;827;873;</t>
  </si>
  <si>
    <t>21;21;21;21;16;16;16;16;16;16;16;16;8;8;12;12;16;16;12;12;12;12;16;16;16;</t>
  </si>
  <si>
    <t>73;73;330;330;578;578;845;845;891;891;882;882;882;882;873;873;863;863;863;863;845;845;836;836;836;</t>
  </si>
  <si>
    <t>21;21;16;16;21;21;16;16;12;12;8;8;12;12;8;8;12;12;16;16;12;12;16;16;21;</t>
  </si>
  <si>
    <t>101;101;330;330;606;606;854;854;909;909;900;900;882;882;863;863;845;845;845;845;854;854;845;845;827;</t>
  </si>
  <si>
    <t>25;25;16;16;21;21;16;16;16;16;16;16;16;16;16;16;8;8;12;12;16;16;21;21;21;</t>
  </si>
  <si>
    <t>55;55;284;284;606;606;873;873;900;900;900;900;873;873;882;882;863;863;854;854;827;827;836;836;863;</t>
  </si>
  <si>
    <t>21;21;21;21;16;16;16;16;12;12;8;8;12;12;8;8;12;12;16;16;21;21;29;29;12;</t>
  </si>
  <si>
    <t>64;64;294;294;588;588;882;882;900;900;909;909;882;882;863;863;863;863;854;854;854;854;863;863;854;</t>
  </si>
  <si>
    <t>25;25;25;25;16;16;16;16;12;12;4;4;8;8;16;16;21;21;16;16;21;21;21;21;16;</t>
  </si>
  <si>
    <t>73;73;321;321;634;634;845;845;891;891;891;891;873;873;863;863;863;863;863;863;854;854;845;845;873;</t>
  </si>
  <si>
    <t>25;25;21;21;16;16;16;16;12;12;8;8;16;16;12;12;12;12;16;16;16;16;25;25;12;</t>
  </si>
  <si>
    <t>64;64;321;321;624;624;845;845;900;900;891;891;873;873;882;882;863;863;854;854;854;854;836;836;882;</t>
  </si>
  <si>
    <t>21;21;21;21;21;21;16;16;16;16;12;12;4;4;16;16;16;16;16;16;21;21;12;12;12;</t>
  </si>
  <si>
    <t>82;82;312;312;606;606;845;845;909;909;900;900;882;882;863;863;863;863;854;854;863;863;873;873;882;</t>
  </si>
  <si>
    <t>12;12;25;25;16;16;12;12;21;21;12;12;25;25;8;8;21;21;16;16;16;16;16;16;16;</t>
  </si>
  <si>
    <t>73;73;303;303;606;606;900;900;909;909;882;882;873;873;854;854;854;854;845;845;854;854;873;873;836;</t>
  </si>
  <si>
    <t>12;12;21;21;21;21;16;16;16;16;12;12;12;12;8;8;12;12;12;12;8;8;8;8;12;</t>
  </si>
  <si>
    <t>73;73;312;312;615;615;873;873;909;909;882;882;873;873;863;863;854;854;863;863;863;863;909;909;863;</t>
  </si>
  <si>
    <t>21;21;25;25;16;16;16;16;16;16;12;12;21;21;8;8;12;12;16;16;21;21;16;16;25;</t>
  </si>
  <si>
    <t>73;73;294;294;615;615;873;873;918;918;891;891;873;873;863;863;845;845;863;863;854;854;863;863;882;</t>
  </si>
  <si>
    <t>25;25;16;16;16;16;12;12;12;12;21;21;4;4;16;16;12;12;16;16;16;16;16;16;12;</t>
  </si>
  <si>
    <t>73;73;303;303;551;551;891;891;909;909;900;900;882;882;873;873;854;854;863;863;863;863;863;863;827;</t>
  </si>
  <si>
    <t>21;21;25;25;21;21;21;21;16;16;12;12;12;12;16;16;12;12;16;16;12;12;21;21;12;</t>
  </si>
  <si>
    <t>64;64;312;312;615;615;863;863;900;900;900;900;873;873;873;873;863;863;845;845;854;854;863;863;863;</t>
  </si>
  <si>
    <t>16;16;21;21;16;16;16;16;16;16;16;16;8;8;8;8;12;12;12;12;16;16;12;12;12;</t>
  </si>
  <si>
    <t>82;82;349;349;588;588;854;854;882;882;891;891;882;882;882;882;863;863;854;854;854;854;845;845;918;</t>
  </si>
  <si>
    <t>16;16;21;21;16;16;21;21;12;12;12;12;16;16;16;16;12;12;4;4;12;12;0;0;16;</t>
  </si>
  <si>
    <t>82;82;321;321;615;615;863;863;918;918;900;900;854;854;873;873;873;873;854;854;836;836;827;827;873;</t>
  </si>
  <si>
    <t>21;21;25;25;16;16;16;16;12;12;25;25;12;12;8;8;16;16;12;12;25;25;12;12;16;</t>
  </si>
  <si>
    <t>91;91;340;340;588;588;863;863;900;900;882;882;863;863;863;863;863;863;863;863;854;854;836;836;845;</t>
  </si>
  <si>
    <t>21;21;16;16;16;16;12;12;16;16;16;16;16;16;25;25;16;16;12;12;12;12;21;21;16;</t>
  </si>
  <si>
    <t>73;73;303;303;606;606;854;854;918;918;900;900;882;882;863;863;854;854;863;863;854;854;863;863;863;</t>
  </si>
  <si>
    <t>16;16;16;16;16;16;16;16;12;12;12;12;12;12;21;21;21;21;8;8;16;16;12;12;8;</t>
  </si>
  <si>
    <t>82;82;321;321;624;624;854;854;900;900;900;900;873;873;854;854;854;854;836;836;873;873;891;891;873;</t>
  </si>
  <si>
    <t>25;25;25;25;16;16;16;16;12;12;21;21;16;16;12;12;12;12;12;12;8;8;16;16;16;</t>
  </si>
  <si>
    <t>82;82;312;312;624;624;873;873;918;918;882;882;873;873;863;863;863;863;845;845;854;854;882;882;845;</t>
  </si>
  <si>
    <t>21;21;25;25;21;21;16;16;16;16;12;12;12;12;16;16;16;16;12;12;12;12;16;16;16;</t>
  </si>
  <si>
    <t>119;119;404;404;661;661;799;799;863;863;863;863;854;854;882;882;863;863;863;863;863;863;918;918;928;</t>
  </si>
  <si>
    <t>21;21;21;21;16;16;16;16;12;12;12;12;12;12;25;25;21;21;16;16;21;21;21;21;16;</t>
  </si>
  <si>
    <t>128;128;413;413;634;634;817;817;854;854;873;873;854;854;863;863;863;863;854;854;854;854;882;882;882;</t>
  </si>
  <si>
    <t>25;25;16;16;21;21;25;25;16;16;12;12;12;12;25;25;12;12;12;12;4;4;16;16;16;</t>
  </si>
  <si>
    <t>119;119;413;413;643;643;836;836;863;863;873;873;863;863;863;863;863;863;845;845;863;863;845;845;882;</t>
  </si>
  <si>
    <t>21;21;21;21;16;16;21;21;12;12;12;12;16;16;16;16;16;16;8;8;16;16;16;16;16;</t>
  </si>
  <si>
    <t>91;91;358;358;624;624;854;854;900;900;891;891;873;873;854;854;845;845;863;863;854;854;845;845;827;</t>
  </si>
  <si>
    <t>21;21;16;16;21;21;12;12;12;12;12;12;12;12;12;12;16;16;12;12;12;12;16;16;12;</t>
  </si>
  <si>
    <t>Indicaciones en macroinspeccion</t>
  </si>
  <si>
    <t>TAMANO CAVIDAD (Nimonic 75)</t>
  </si>
  <si>
    <t>0;0;62;62;383;383;505;505;523;523;512;512;507;507;477;</t>
  </si>
  <si>
    <t>84;84;271;271;563;563;732;732;745;745;690;690;665;665;626;</t>
  </si>
  <si>
    <t>64;64;282;282;576;576;695;695;725;725;707;707;693;693;686;686;682;682;688;688;691;691;691;691;693;693;695;695;691;691;684;684;691;691;695;695;688;</t>
  </si>
  <si>
    <t>93;93;326;326;648;648;868;868;927;927;893;893;872;872;851;851;847;847;843;843;838;838;838;838;821;821;821;821;809;809;796;796;792;792;783;783;783;</t>
  </si>
  <si>
    <t>65;65;262;262;806;806;965;965;918;918;900;900;881;881;909;</t>
  </si>
  <si>
    <t>131;131;453;453;889;889;1092;1092;1088;1088;1033;1033;1020;1020;987;</t>
  </si>
  <si>
    <t>78;78;264;264;762;762;891;891;863;863;835;835;812;812;840;</t>
  </si>
  <si>
    <t>118;118;427;427;830;830;1025;1025;1020;1020;970;970;948;948;953;</t>
  </si>
  <si>
    <t>93;93;328;328;825;825;1003;1003;965;965;965;965;</t>
  </si>
  <si>
    <t>139;139;487;487;919;919;1152;1152;1156;1156;1148;1148;</t>
  </si>
  <si>
    <t>93;93;365;365;815;815;994;994;1031;1031;975;</t>
  </si>
  <si>
    <t>148;148;499;499;931;931;1164;1164;1207;1207;1190;</t>
  </si>
  <si>
    <t>39;39;222;222;539;539;679;679;714;714;693;693;665;665;665;665;668;668;665;665;663;663;668;668;672;672;672;672;668;668;670;670;668;668;675;675;668;668;670;670;665;665;</t>
  </si>
  <si>
    <t>110;110;368;368;749;749;999;999;1059;1059;1042;1042;999;999;995;995;991;991;987;987;982;982;978;978;978;978;965;965;961;961;953;953;940;940;931;931;923;923;919;919;931;931;</t>
  </si>
  <si>
    <t>34;34;206;206;493;493;613;613;640;640;636;636;626;626;617;617;613;613;613;613;615;615;615;615;617;617;613;613;620;620;617;617;620;620;620;620;613;613;622;622;617;617;</t>
  </si>
  <si>
    <t>88;88;313;313;660;660;889;889;965;965;961;961;927;927;906;906;898;898;889;889;885;885;889;889;881;881;885;885;881;881;868;868;864;864;855;855;855;855;847;847;826;826;</t>
  </si>
  <si>
    <t>84;84;281;281;750;750;928;928;918;918;890;890;890;890;890;</t>
  </si>
  <si>
    <t>131;131;449;449;898;898;1164;1164;1190;1190;1139;1139;1131;1131;1105;</t>
  </si>
  <si>
    <t>84;84;318;318;740;740;909;909;937;937;918;918;</t>
  </si>
  <si>
    <t>127;127;453;453;902;902;1143;1143;1186;1186;1169;1169;</t>
  </si>
  <si>
    <t>20;20;174;174;450;450;622;622;643;643;640;640;631;631;631;631;626;626;633;633;624;624;638;638;622;</t>
  </si>
  <si>
    <t>97;97;334;334;703;703;957;957;1050;1050;1050;1050;1016;1016;982;982;948;948;919;919;893;893;889;889;864;</t>
  </si>
  <si>
    <t>27;27;190;190;452;452;585;585;613;613;617;617;608;608;606;606;606;606;613;613;601;601;615;615;603;</t>
  </si>
  <si>
    <t>93;93;313;313;648;648;881;881;974;974;991;991;961;961;936;936;906;906;885;885;864;864;855;855;847;</t>
  </si>
  <si>
    <t>39;39;225;225;500;500;679;679;695;695;691;691;688;688;684;684;682;682;670;670;</t>
  </si>
  <si>
    <t>105;105;364;364;732;732;987;987;1059;1059;1037;1037;1012;1012;974;974;936;936;936;936;</t>
  </si>
  <si>
    <t>55;55;259;259;590;590;732;732;767;767;748;748;725;725;716;716;718;718;723;723;716;716;721;721;718;718;727;727;723;723;723;723;718;718;716;716;721;721;723;723;721;721;</t>
  </si>
  <si>
    <t>105;105;381;381;758;758;1004;1004;1071;1071;1042;1042;999;999;978;978;970;970;970;970;957;957;957;957;944;944;936;936;931;931;923;923;910;910;902;902;893;893;889;889;893;893;</t>
  </si>
  <si>
    <t>84;84;365;365;731;731;890;890;937;937;900;900;862;862;881;881;862;862;881;881;872;872;881;881;872;872;872;872;853;853;</t>
  </si>
  <si>
    <t>127;127;449;449;864;864;1122;1122;1177;1177;1126;1126;1080;1080;1054;1054;1033;1033;1033;1033;1025;1025;1020;1020;1008;1008;991;991;982;982;</t>
  </si>
  <si>
    <t>75;75;346;346;647;647;928;928;947;947;918;918;881;881;862;862;862;862;834;834;881;881;890;890;872;</t>
  </si>
  <si>
    <t>127;127;453;453;885;885;1177;1177;1215;1215;1148;1148;1080;1080;1046;1046;1033;1033;1033;1033;1029;1029;1020;1020;1025;</t>
  </si>
  <si>
    <t>25;25;188;188;470;470;631;631;633;633;631;631;629;629;636;636;629;629;626;626;626;626;610;610;643;</t>
  </si>
  <si>
    <t>88;88;321;321;673;673;910;910;978;978;982;982;957;957;936;936;902;902;876;876;855;855;847;847;851;</t>
  </si>
  <si>
    <t>45;45;243;243;516;516;670;670;695;695;693;693;686;686;679;679;677;677;677;677;679;679;682;682;659;</t>
  </si>
  <si>
    <t>105;105;351;351;698;698;940;940;1016;1016;1012;1012;982;982;944;944;919;919;885;885;864;864;864;864;855;</t>
  </si>
  <si>
    <t>11;11;158;158;415;415;608;608;624;624;594;594;587;587;574;574;574;574;576;576;576;576;578;578;569;</t>
  </si>
  <si>
    <t>88;88;313;313;643;643;843;843;881;881;821;821;766;766;728;728;694;694;673;673;652;652;643;643;631;</t>
  </si>
  <si>
    <t>6;6;119;119;374;374;562;562;567;567;541;541;535;535;521;521;525;525;521;521;523;523;528;528;521;</t>
  </si>
  <si>
    <t>84;84;309;309;626;626;821;821;847;847;796;796;745;745;703;703;673;673;652;652;635;635;631;631;622;</t>
  </si>
  <si>
    <t>13;13;82;82;479;479;613;613;610;610;597;597;585;585;576;576;592;</t>
  </si>
  <si>
    <t>97;97;321;321;669;669;872;872;885;885;830;830;787;787;737;737;745;</t>
  </si>
  <si>
    <t>22;22;144;144;484;484;610;610;601;601;603;603;</t>
  </si>
  <si>
    <t>88;88;296;296;622;622;800;800;813;813;804;804;</t>
  </si>
  <si>
    <t>34;34;156;156;567;567;686;686;700;700;695;695;686;686;682;682;663;</t>
  </si>
  <si>
    <t>110;110;377;377;754;754;999;999;1059;1059;1025;1025;987;987;953;953;953;</t>
  </si>
  <si>
    <t>0;0;34;34;165;165;360;360;388;388;378;378;367;367;378;378;367;367;369;369;367;367;374;374;369;</t>
  </si>
  <si>
    <t>72;72;211;211;474;474;703;703;783;783;783;783;754;754;732;732;703;703;690;690;673;673;677;677;652;</t>
  </si>
  <si>
    <t>36;36;169;169;585;585;684;684;688;688;688;688;675;675;698;</t>
  </si>
  <si>
    <t>101;101;364;364;737;737;961;961;1016;1016;999;999;982;982;974;</t>
  </si>
  <si>
    <t>39;39;195;195;567;567;684;684;700;700;688;688;</t>
  </si>
  <si>
    <t>105;105;372;372;741;741;961;961;1012;1012;995;995;</t>
  </si>
  <si>
    <t>1.6</t>
  </si>
  <si>
    <t>0.55</t>
  </si>
  <si>
    <t>1.2</t>
  </si>
  <si>
    <t>0.9</t>
  </si>
  <si>
    <t>69;139;230;349;424;464;498;507;516;511;500;496;491;487;482;480;475;471;475;478;475;475;471;478;478;</t>
  </si>
  <si>
    <t>105;211;300;372;432;474;499;508;499;487;461;432;415;393;385;372;360;351;343;338;334;326;330;321;321;</t>
  </si>
  <si>
    <t>Prog =  32</t>
  </si>
  <si>
    <t>20;40;83;146;196;232;259;270;277;279;275;272;272;272;272;270;268;270;272;275;275;277;279;277;277;279;279;275;277;279;279;277;272;275;279;279;281;277;275;277;279;279;275;277;277;275;277;277;275;275;277;279;277;277;284;279;272;275;279;279;277;279;277;279;277;279;272;270;277;281;281;281;275;279;277;279;279;275;277;277;279;281;275;277;279;277;275;275;284;281;275;277;275;275;272;277;277;272;275;277;272;277;277;277;277;275;277;275;272;275;279;277;272;277;275;275;277;277;277;277;277;279;279;284;284;</t>
  </si>
  <si>
    <t>50;101;152;211;283;347;393;423;440;453;465;474;478;482;482;491;495;499;504;512;512;508;516;512;512;516;512;508;508;508;504;499;499;499;499;495;495;495;491;491;491;482;482;482;482;478;478;474;474;474;474;470;470;470;465;465;461;457;453;449;453;449;444;440;436;436;436;444;440;436;436;436;432;423;419;423;419;419;415;410;410;410;410;410;406;406;402;402;398;398;398;393;393;393;389;385;389;389;389;385;385;385;385;385;381;381;381;381;377;377;377;372;372;372;368;364;364;368;368;368;368;360;372;364;364;</t>
  </si>
  <si>
    <t>2.7</t>
  </si>
  <si>
    <t>20;47;94;151;200;236;263;277;277;279;279;275;272;275;270;268;270;275;272;270;275;275;275;272;275;279;275;275;277;281;279;270;275;277;275;277;277;277;277;277;277;275;277;279;275;275;275;277;275;275;279;277;275;275;277;279;277;277;277;277;279;279;281;277;275;281;277;272;277;275;275;272;277;279;277;277;277;275;275;277;281;277;277;279;277;275;275;281;279;275;279;279;277;275;275;277;272;275;279;277;277;277;277;270;270;279;277;275;275;279;279;270;272;279;275;275;275;277;275;272;277;275;279;268;268;</t>
  </si>
  <si>
    <t>55;101;152;207;271;330;372;398;415;427;440;444;444;444;453;461;461;465;465;465;465;474;478;478;482;482;482;482;478;482;478;470;474;474;474;474;474;470;465;465;465;461;461;465;457;449;453;457;449;444;453;453;453;444;453;449;444;444;444;453;449;440;440;440;440;436;436;436;432;432;427;427;432;427;432;432;423;423;427;427;423;419;419;432;427;415;410;415;415;415;410;406;406;402;402;402;398;398;398;398;393;389;389;393;393;389;385;389;389;385;381;385;389;385;385;385;385;385;385;377;381;385;393;381;381;</t>
  </si>
  <si>
    <t>2;11;42;96;151;202;245;277;290;288;290;290;284;284;281;284;281;275;277;279;279;277;281;281;277;277;277;279;279;281;284;277;275;279;277;279;279;279;277;275;279;281;279;275;277;279;279;277;277;277;277;277;277;275;275;279;279;277;272;277;281;277;275;277;277;277;275;279;279;275;277;277;275;277;277;279;275;272;275;275;277;279;281;279;277;277;277;277;277;272;272;270;270;279;279;277;279;279;277;277;279;275;275;275;277;279;275;275;277;275;275;277;277;277;275;277;277;275;277;277;277;277;279;275;275;</t>
  </si>
  <si>
    <t>76;148;211;300;393;478;542;584;610;618;618;618;618;614;610;601;597;588;584;584;584;580;571;567;563;559;559;559;550;538;538;542;529;525;525;521;521;516;516;512;508;508;504;499;499;499;499;495;487;487;487;482;482;478;478;482;482;474;470;470;465;461;461;457;449;449;449;444;449;449;444;440;440;440;440;440;436;436;432;423;427;432;427;423;419;423;423;415;415;410;406;410;406;410;402;398;406;402;398;398;393;393;389;393;389;389;385;385;385;381;381;385;385;381;381;381;377;368;372;377;377;372;377;372;372;</t>
  </si>
  <si>
    <t>2;13;47;101;155;205;243;268;286;290;286;288;286;281;279;284;281;277;277;279;281;279;279;284;277;275;279;279;279;279;281;279;277;279;281;279;277;275;279;277;277;279;277;279;279;279;277;275;279;279;277;275;275;279;275;277;279;275;277;277;279;277;272;281;279;275;277;277;277;275;277;279;275;281;284;277;275;275;277;275;272;277;277;277;277;277;279;275;277;277;279;279;275;279;277;277;279;275;277;279;281;277;277;277;279;277;275;277;279;275;275;277;277;275;272;277;275;277;277;272;275;275;275;284;284;</t>
  </si>
  <si>
    <t>72;139;207;292;385;470;533;588;618;622;626;622;614;605;605;601;593;584;576;576;576;567;563;559;554;550;546;542;538;533;533;533;529;521;516;516;512;508;516;508;499;499;499;499;495;495;491;487;487;487;482;478;478;478;474;474;474;470;465;461;470;470;461;461;461;457;453;453;453;453;449;449;449;444;444;444;444;436;427;427;427;427;432;427;432;432;427;419;415;410;410;419;427;423;410;410;410;415;406;402;402;406;406;398;398;406;398;393;398;398;393;393;393;389;389;389;389;385;385;389;381;377;389;381;381;</t>
  </si>
  <si>
    <t>0;11;45;103;162;212;250;272;281;288;281;277;279;277;277;275;281;281;279;284;284;288;284;281;281;279;279;281;281;279;272;277;277;277;281;281;279;279;279;279;270;272;281;279;277;277;279;279;277;279;277;277;277;279;279;275;277;279;279;279;277;277;279;277;279;279;277;277;279;279;277;281;281;275;277;277;277;277;277;279;277;275;277;277;277;275;277;277;275;275;277;277;272;275;279;277;275;277;279;277;275;279;279;277;279;279;277;277;279;279;275;275;277;277;277;277;279;270;270;279;279;277;270;277;277;</t>
  </si>
  <si>
    <t>72;148;216;300;389;465;529;567;593;605;614;614;618;618;618;614;614;610;605;605;597;597;593;584;584;576;567;567;559;554;542;538;538;533;533;529;529;521;516;516;516;512;508;508;504;499;495;499;487;482;482;482;482;478;474;465;465;465;461;461;457;449;449;453;444;440;444;440;436;440;432;427;427;423;423;423;419;419;415;415;415;406;406;410;410;406;406;406;398;398;402;398;398;398;393;389;389;389;389;389;389;385;385;385;381;381;377;372;377;372;372;372;368;372;372;372;368;368;364;364;377;372;372;364;364;</t>
  </si>
  <si>
    <t>4;13;49;106;155;200;243;270;279;284;288;286;284;281;284;281;279;281;281;279;279;281;281;277;281;284;284;281;277;272;275;281;284;279;279;279;279;281;277;281;281;275;275;275;277;277;277;279;275;277;277;277;277;277;279;275;277;279;277;277;275;277;279;277;275;275;277;277;277;279;277;275;277;277;277;275;279;277;272;277;279;279;275;275;279;281;279;277;275;275;272;277;279;275;277;277;275;277;275;277;275;275;279;277;275;277;281;281;272;270;277;277;270;272;279;277;272;275;272;275;277;279;277;281;281;</t>
  </si>
  <si>
    <t>84;135;199;288;377;457;525;567;593;610;618;618;614;605;601;597;593;588;584;576;571;571;559;559;554;554;546;542;542;538;529;525;525;521;516;512;508;508;504;495;491;495;491;495;495;487;482;482;482;478;478;478;474;470;474;474;474;470;465;461;457;457;457;457;449;449;457;453;449;453;453;449;440;440;436;440;444;440;436;427;423;419;423;427;423;419;419;423;419;419;415;410;410;410;406;410;410;406;402;402;402;393;398;398;398;398;393;398;393;389;385;389;389;389;389;385;385;385;377;372;385;385;393;381;381;</t>
  </si>
  <si>
    <t>4;18;56;110;160;207;241;263;277;286;290;288;286;288;286;284;281;284;281;275;277;277;275;279;279;279;281;281;281;284;279;275;277;275;275;279;279;275;277;279;277;277;277;279;279;275;275;277;277;277;279;277;275;279;275;275;277;277;277;275;279;279;277;275;275;279;277;277;279;279;279;275;277;277;272;279;281;281;279;277;277;275;275;277;277;275;275;277;275;275;279;277;275;277;277;279;277;275;277;275;275;275;277;277;275;277;277;275;275;275;277;277;277;279;277;277;279;275;275;272;275;275;284;270;270;</t>
  </si>
  <si>
    <t>67;135;203;283;372;453;521;563;593;614;614;614;610;601;597;588;584;580;571;559;546;546;550;542;542;542;533;538;533;525;516;512;512;504;504;504;499;499;495;495;491;482;482;487;478;478;478;478;478;474;474;470;474;474;470;470;465;461;461;457;457;457;457;453;449;449;444;444;444;440;436;436;436;432;432;436;432;427;432;423;423;427;423;419;419;415;415;415;415;415;415;415;410;415;410;410;410;402;402;406;406;402;398;398;398;393;385;385;393;393;389;389;389;389;389;385;385;385;385;385;381;381;385;385;385;</t>
  </si>
  <si>
    <t>11;27;65;126;184;225;252;266;270;272;272;277;277;275;277;279;279;279;279;279;275;275;281;279;281;279;279;281;279;277;277;281;279;275;277;279;279;279;275;275;277;279;277;275;279;279;277;279;279;279;277;277;279;275;277;277;279;279;277;277;279;277;277;279;277;272;277;277;272;272;277;277;275;272;275;275;275;279;279;275;275;277;279;275;275;277;277;275;275;279;277;272;275;275;275;275;279;279;275;272;275;277;277;277;279;277;275;279;279;275;272;277;275;272;277;279;277;275;275;277;277;277;275;277;277;</t>
  </si>
  <si>
    <t>67;122;182;249;326;398;453;495;529;542;546;559;559;563;571;567;567;563;559;567;559;563;559;554;559;554;550;546;542;538;533;533;525;521;521;516;512;508;508;512;499;491;495;482;478;487;491;487;482;482;478;474;474;474;474;470;470;465;461;453;449;453;453;453;449;453;449;449;449;444;440;436;436;440;436;432;427;427;427;423;423;427;427;423;423;419;419;419;419;415;415;406;415;415;406;406;406;406;402;402;406;402;402;398;393;398;393;393;393;389;389;389;389;389;389;389;385;381;385;385;385;385;389;385;385;</t>
  </si>
  <si>
    <t>15;27;69;130;180;225;254;261;263;270;270;270;270;272;277;277;275;277;281;275;275;284;279;281;281;284;284;277;281;286;281;277;277;279;277;277;279;275;277;279;277;275;277;284;281;275;277;279;279;277;279;275;272;279;277;277;275;275;277;277;277;277;277;277;275;277;277;275;279;277;272;275;277;277;275;275;277;275;275;277;277;277;275;279;277;275;275;277;279;275;275;281;277;275;275;277;277;275;279;277;275;277;279;279;272;275;277;275;272;275;277;277;279;281;275;270;272;272;275;277;277;275;279;272;272;</t>
  </si>
  <si>
    <t>63;122;182;245;317;381;444;491;516;542;554;563;576;580;584;584;580;580;571;571;580;576;567;567;567;563;550;546;542;538;533;529;525;521;516;516;512;508;512;508;499;499;495;495;495;495;491;487;487;487;487;478;474;478;478;474;474;470;465;465;457;461;457;457;457;453;453;449;449;449;453;453;449;444;436;436;436;436;440;432;432;432;427;432;432;427;423;423;423;423;419;415;410;410;419;419;410;410;410;410;406;406;406;402;402;398;398;398;393;393;393;393;393;389;393;389;389;389;385;389;389;389;389;389;389;</t>
  </si>
  <si>
    <t>6;24;67;126;180;223;250;259;266;275;272;270;277;277;277;279;279;281;277;277;281;279;277;279;281;281;277;277;277;275;277;281;281;277;275;277;277;279;279;279;275;270;281;279;277;279;277;277;277;277;279;277;275;275;279;279;277;277;275;275;277;277;275;272;277;279;277;279;279;277;275;275;277;275;275;275;277;275;275;279;275;275;277;277;277;277;277;277;272;277;279;281;277;272;277;275;272;281;281;277;275;275;277;275;281;284;275;275;277;279;275;275;277;277;277;275;277;277;272;275;279;277;279;272;272;</t>
  </si>
  <si>
    <t>76;139;186;249;330;406;461;508;538;554;563;571;580;584;584;584;584;580;580;576;571;571;563;559;554;554;542;538;538;538;538;529;521;516;516;516;512;508;504;504;499;495;495;495;491;487;487;482;482;482;482;482;478;474;470;474;470;465;465;465;461;470;465;461;461;453;453;453;453;453;449;449;449;444;444;440;440;436;432;436;427;427;427;432;427;423;423;423;419;423;427;423;415;415;415;410;410;415;415;415;406;402;402;402;402;398;402;398;393;389;389;393;393;393;389;389;389;389;385;385;393;393;389;393;393;</t>
  </si>
  <si>
    <t>2;13;49;106;155;202;239;266;281;288;286;284;284;284;281;275;279;279;277;281;279;279;281;281;284;281;279;281;279;277;277;284;281;277;279;281;277;277;279;277;275;279;281;279;279;277;277;277;275;277;277;277;279;279;277;275;279;279;277;279;279;279;272;275;281;279;277;277;277;277;275;277;279;277;277;277;279;279;279;277;272;275;279;281;279;272;279;277;275;277;279;279;275;275;279;275;270;275;277;275;279;284;277;275;275;272;275;279;279;279;272;272;279;277;277;275;275;275;275;281;279;277;268;279;279;</t>
  </si>
  <si>
    <t>67;131;199;271;360;449;512;567;597;605;614;610;605;605;605;597;593;593;588;588;580;571;571;563;559;554;550;550;546;538;538;538;538;529;525;521;508;508;508;504;504;499;495;491;482;487;487;482;491;491;482;478;474;465;461;465;465;465;465;453;444;449;449;449;444;444;444;440;440;436;432;436;432;432;427;423;423;423;419;419;415;419;410;410;415;402;402;406;406;406;402;398;398;398;402;398;393;393;393;389;385;389;389;389;385;385;381;381;377;377;377;377;372;372;368;368;368;372;372;368;364;364;368;368;368;</t>
  </si>
  <si>
    <t>2;11;51;108;160;212;241;261;281;286;284;281;284;281;277;277;279;281;284;279;279;277;277;281;281;284;279;277;279;281;281;281;277;270;275;281;277;275;277;279;277;275;277;277;277;279;279;279;277;277;277;272;275;279;277;275;277;281;277;275;279;277;275;279;281;275;272;277;277;277;279;279;279;277;275;279;279;281;277;277;279;275;277;279;277;277;277;279;277;275;279;275;275;277;279;279;275;277;277;275;277;275;275;275;277;279;275;275;277;275;275;275;279;277;275;277;275;275;275;277;279;275;277;270;270;</t>
  </si>
  <si>
    <t>67;131;190;262;351;432;504;542;567;584;593;597;597;593;580;584;580;571;571;571;567;559;546;550;554;542;542;538;533;533;533;525;516;512;512;504;504;504;504;499;495;491;491;491;487;478;482;487;482;478;474;470;465;465;465;461;461;461;457;457;457;457;453;449;444;444;449;444;440;440;440;440;440;436;436;432;432;432;427;427;427;423;423;423;415;415;419;419;415;415;410;410;410;406;406;406;402;393;393;398;398;398;393;393;393;393;393;385;385;385;393;389;385;385;381;381;381;377;377;377;377;377;381;377;377;</t>
  </si>
  <si>
    <t>2;9;40;101;157;207;248;270;279;284;286;286;279;279;279;277;279;281;281;281;279;284;281;281;284;281;281;279;281;286;284;284;284;279;279;279;281;279;277;279;277;277;277;279;279;277;279;281;281;277;277;279;277;277;279;279;279;277;279;277;275;279;279;277;279;284;284;277;277;281;279;277;275;277;277;275;279;275;272;272;272;272;275;279;284;279;277;279;279;272;272;277;275;277;279;277;277;272;275;277;275;275;275;277;275;272;277;277;275;277;279;277;272;275;279;277;277;277;275;272;275;279;277;279;279;</t>
  </si>
  <si>
    <t>63;148;220;300;389;470;533;576;605;618;622;626;626;618;610;614;618;610;605;605;605;597;588;588;580;571;567;563;554;554;546;542;538;533;533;529;525;525;516;512;508;508;504;499;499;495;491;491;487;482;478;478;474;470;474;470;461;457;457;457;449;449;449;444;444;440;436;436;432;432;427;423;427;432;427;419;415;410;410;410;406;410;415;406;402;406;398;402;402;398;393;385;385;389;393;393;385;381;385;389;385;377;377;372;368;372;377;377;372;368;368;368;364;364;368;372;368;360;360;364;364;360;364;360;360;</t>
  </si>
  <si>
    <t>2;11;45;99;148;193;236;263;279;286;286;286;286;288;288;284;281;281;284;281;277;281;281;281;279;277;279;281;279;284;279;277;279;279;277;277;281;279;277;279;277;279;279;279;279;277;277;277;277;272;270;279;277;277;279;279;277;272;277;277;272;275;277;279;277;277;279;277;279;284;277;277;275;279;279;275;279;281;275;277;277;279;275;275;279;277;277;279;284;279;272;277;281;277;277;277;275;275;277;277;275;275;275;277;275;275;277;275;275;277;279;279;275;275;277;275;275;277;272;272;277;279;275;284;284;</t>
  </si>
  <si>
    <t>76;139;207;292;381;474;542;593;622;635;648;648;643;639;631;626;614;605;601;588;584;584;576;571;567;563;559;554;550;542;538;533;529;525;521;516;516;516;508;504;504;499;495;499;495;491;491;487;487;482;478;478;478;474;478;478;470;465;470;465;465;461;457;461;457;453;453;453;449;444;444;449;440;440;440;440;436;436;432;432;423;423;423;423;423;427;427;415;415;419;415;415;415;410;406;406;406;402;398;393;398;393;393;398;393;402;406;406;398;398;393;393;393;393;389;389;389;389;385;385;385;393;385;389;389;</t>
  </si>
  <si>
    <t>6;15;56;115;164;205;236;261;277;284;286;288;288;284;281;286;284;279;281;281;281;277;279;279;277;279;281;277;277;279;281;281;279;279;279;279;277;279;279;277;281;281;275;275;275;279;279;277;279;275;275;277;277;275;272;277;277;277;277;279;279;275;275;279;277;277;279;277;277;275;277;277;272;279;281;275;275;277;279;275;275;279;279;277;275;272;272;275;277;277;277;275;277;279;279;277;279;275;272;275;279;270;268;277;277;277;279;275;275;277;277;277;275;275;284;284;275;272;275;281;281;277;279;277;277;</t>
  </si>
  <si>
    <t>63;127;194;266;355;436;499;554;584;601;610;605;605;601;597;593;580;576;567;567;563;554;550;542;538;538;533;529;529;525;521;516;512;508;504;504;499;495;499;491;487;487;482;478;478;474;474;470;470;470;461;457;465;465;457;457;457;453;453;453;453;453;449;453;444;436;436;444;440;436;436;432;432;432;432;427;427;427;427;423;427;427;419;415;415;410;410;415;415;410;406;406;410;402;402;402;402;402;398;393;393;402;398;393;393;389;389;385;389;385;385;393;393;389;389;385;385;385;381;385;385;372;381;372;372;</t>
  </si>
  <si>
    <t>9;27;72;130;182;221;248;261;263;266;275;270;270;277;281;277;277;281;277;277;279;281;281;279;279;281;279;279;279;279;279;279;284;279;277;277;279;281;277;284;281;275;279;277;277;277;279;284;277;272;275;279;277;275;277;277;275;277;275;275;275;277;277;275;275;277;279;277;275;279;277;275;279;279;277;277;277;277;275;275;279;275;275;277;279;279;275;279;277;272;275;275;277;275;277;279;277;279;279;277;277;275;277;277;277;277;277;275;275;277;270;268;277;279;279;277;277;281;275;272;275;277;279;281;281;</t>
  </si>
  <si>
    <t>63;114;177;237;309;385;440;491;525;542;554;563;571;580;588;584;580;576;571;580;576;567;567;563;550;542;546;538;538;542;538;533;525;521;516;512;512;504;504;508;499;495;491;478;478;482;487;482;474;470;470;474;474;470;465;457;457;465;461;457;449;453;453;444;444;440;440;440;440;436;436;432;432;432;427;427;423;427;423;419;423;423;419;415;415;410;410;410;406;402;398;402;406;406;402;402;398;398;393;393;398;393;393;393;393;389;389;389;385;381;381;381;381;381;377;381;377;377;381;372;372;372;372;368;368;</t>
  </si>
  <si>
    <t>6;24;69;128;178;216;243;259;268;270;272;275;281;277;277;279;277;277;277;281;281;281;281;281;286;284;277;279;277;275;277;281;281;279;281;281;277;281;277;275;275;275;277;275;275;279;277;277;279;284;279;279;281;277;277;277;275;277;277;277;272;272;279;279;279;279;277;279;277;277;277;277;279;275;277;279;275;275;277;277;277;275;284;279;272;275;277;277;277;277;279;272;277;281;275;277;277;277;275;275;277;275;275;277;279;279;272;275;277;275;275;277;277;275;270;275;277;272;272;279;279;275;277;270;270;</t>
  </si>
  <si>
    <t>63;127;182;249;326;398;461;508;542;563;567;584;593;593;597;593;593;593;588;584;580;576;571;567;559;550;550;546;542;538;533;525;521;521;521;516;512;508;499;499;495;495;491;487;482;482;482;478;478;478;478;474;470;465;470;461;461;457;457;457;457;453;453;453;453;444;444;440;440;440;432;427;436;432;427;427;427;427;423;423;419;419;419;419;415;410;410;406;406;406;402;402;402;402;398;398;398;402;402;398;398;393;393;393;393;393;385;381;385;381;377;381;385;381;381;381;377;377;377;377;372;381;372;393;393;</t>
  </si>
  <si>
    <t>6;22;65;124;175;214;243;263;270;270;272;281;281;275;277;277;277;284;284;279;279;279;284;279;277;279;279;279;279;277;277;281;281;277;275;277;281;281;277;277;279;279;279;277;277;275;275;279;277;277;275;277;281;279;277;277;277;275;275;279;277;275;277;279;277;277;279;277;272;275;281;279;275;277;277;275;275;277;277;277;277;281;277;272;281;279;275;277;277;279;275;275;277;275;270;272;279;277;275;277;277;277;277;279;279;275;275;277;275;279;279;272;270;272;279;277;275;277;277;277;272;275;275;279;279;</t>
  </si>
  <si>
    <t>59;122;182;254;338;410;465;512;546;563;576;580;584;584;584;588;580;580;576;571;571;567;571;567;559;554;546;542;538;533;533;525;521;521;512;508;512;508;499;495;495;495;495;491;487;482;482;482;482;478;478;474;470;465;465;465;461;461;461;457;449;444;449;449;444;444;449;444;440;436;440;440;432;436;432;427;427;423;427;423;423;423;419;419;419;415;419;415;410;406;406;406;402;402;402;402;406;402;406;406;402;393;393;389;385;381;393;393;389;389;393;385;377;381;385;377;372;372;372;372;377;377;381;372;372;</t>
  </si>
  <si>
    <t>2;13;49;101;155;202;245;272;281;288;290;286;281;279;279;279;279;281;279;279;279;284;281;277;279;281;279;279;279;279;277;281;284;277;272;277;281;277;277;277;277;279;279;279;279;277;277;281;279;275;275;279;279;277;279;277;275;277;277;281;279;277;275;270;275;277;279;277;277;279;275;277;281;277;275;277;281;279;281;279;277;279;277;275;277;275;277;279;275;275;275;281;281;275;277;279;277;279;279;277;272;277;279;275;275;275;277;277;275;277;275;272;277;277;277;275;275;277;275;275;277;277;275;277;277;</t>
  </si>
  <si>
    <t>76;135;211;292;372;457;521;567;593;601;610;610;610;601;597;597;597;588;584;580;576;571;571;563;554;550;550;546;538;533;529;529;521;521;512;508;508;508;504;499;499;495;491;487;482;482;482;482;482;478;470;465;465;470;465;465;461;457;457;453;449;449;449;449;449;444;440;440;440;436;432;436;432;427;427;423;419;423;419;415;415;415;415;410;402;406;410;410;402;398;398;402;402;393;393;393;389;389;389;389;389;381;381;381;381;385;381;381;372;372;372;372;377;372;368;368;368;368;364;360;360;360;360;360;360;</t>
  </si>
  <si>
    <t>9;20;56;112;162;207;243;266;281;286;284;286;281;281;284;279;281;277;277;281;281;281;279;279;279;277;279;277;277;281;279;279;277;277;279;277;279;277;281;281;275;279;279;277;277;277;281;275;275;279;277;277;277;277;275;275;279;277;277;279;277;277;277;275;277;275;277;277;279;279;272;275;279;277;275;275;277;277;277;277;275;275;277;277;275;272;279;281;275;277;279;277;275;277;275;275;275;277;279;275;272;277;277;275;275;279;277;277;277;277;275;279;281;277;272;272;277;277;277;277;275;275;270;281;281;</t>
  </si>
  <si>
    <t>67;131;194;275;360;436;499;546;571;584;593;593;593;588;584;580;580;576;563;563;563;559;550;550;546;538;533;533;533;521;516;512;508;508;504;504;504;499;499;504;487;482;487;482;482;478;478;478;474;465;465;470;470;470;470;461;457;457;461;457;453;453;453;449;449;444;440;444;440;436;436;432;432;432;432;432;432;427;419;419;419;419;419;415;415;410;406;410;410;406;410;410;406;406;406;402;402;402;402;389;389;393;398;398;389;389;385;389;393;389;381;381;381;381;381;377;377;377;377;372;372;372;385;368;368;</t>
  </si>
  <si>
    <t>2;13;51;112;171;218;252;268;279;279;277;279;277;275;275;279;277;275;277;281;284;279;281;284;281;281;281;281;281;281;284;281;277;279;281;279;279;279;279;277;275;279;286;284;277;279;277;277;281;277;277;279;279;279;275;277;279;277;277;277;279;279;279;281;277;275;275;277;284;279;277;279;275;275;277;277;275;275;279;279;277;279;279;275;272;277;277;275;277;277;277;275;275;275;272;275;277;279;277;275;277;277;272;275;279;272;270;275;279;277;275;275;277;277;275;279;279;277;277;277;277;277;279;279;279;</t>
  </si>
  <si>
    <t>72;139;203;275;360;432;495;538;567;588;593;593;601;601;601;597;605;614;605;601;593;584;580;576;576;567;559;554;550;550;542;538;538;533;525;521;521;525;516;512;508;508;508;499;495;491;487;482;482;482;478;474;474;465;461;465;461;457;453;449;449;449;440;436;444;444;436;432;436;427;423;427;427;423;419;415;410;415;415;402;406;406;406;406;406;410;406;398;393;398;398;398;393;389;389;393;393;385;385;385;389;385;381;381;377;381;377;377;381;377;368;368;368;372;368;364;368;368;364;368;368;364;364;360;360;</t>
  </si>
  <si>
    <t>4;15;49;106;166;218;252;272;279;281;281;281;281;279;279;277;281;279;272;277;281;281;279;281;284;275;277;284;279;272;275;284;284;275;279;277;275;275;275;281;281;277;279;277;277;277;279;277;272;275;277;277;279;277;277;275;277;279;275;277;279;279;279;272;277;279;279;281;277;277;277;277;277;275;275;277;281;279;275;281;279;277;277;272;272;275;279;279;272;275;279;277;270;272;275;275;275;279;277;270;270;279;277;275;279;281;277;275;277;279;277;275;275;272;272;275;275;275;275;279;284;281;275;279;279;</t>
  </si>
  <si>
    <t>67;135;194;275;355;432;495;538;567;580;588;593;588;593;588;576;576;576;571;567;563;563;559;554;554;546;538;538;533;529;529;525;521;516;516;512;508;504;504;499;495;495;491;491;491;491;487;487;478;474;478;478;478;478;470;470;465;461;457;457;457;457;457;453;453;457;449;449;453;444;440;436;440;440;436;436;432;432;436;423;419;427;423;423;419;423;423;419;415;410;410;410;410;410;406;406;402;402;402;398;398;398;398;398;402;402;398;393;393;393;393;389;389;389;381;385;389;385;389;389;389;385;385;389;389;</t>
  </si>
  <si>
    <t>6;20;60;119;169;214;245;263;275;279;286;284;281;284;275;275;281;279;281;275;275;281;279;277;277;279;279;279;284;284;284;277;279;279;275;279;279;277;279;279;279;277;277;279;275;275;279;279;279;275;275;277;272;277;279;275;275;277;279;277;275;279;277;277;275;281;284;279;279;279;277;277;277;277;277;277;277;277;277;275;277;277;275;277;277;277;277;277;275;272;275;277;272;270;272;281;281;275;277;272;272;275;277;277;275;277;279;277;277;277;277;277;277;279;275;272;275;279;277;275;279;279;284;275;275;</t>
  </si>
  <si>
    <t>67;131;190;258;338;419;482;525;554;571;580;584;580;576;576;576;571;563;563;563;554;550;550;546;542;538;533;533;529;525;521;521;516;512;508;508;504;508;504;495;495;495;495;491;487;482;482;482;478;474;474;474;470;474;474;470;470;465;465;461;457;457;457;457;453;449;453;453;453;449;444;444;444;436;436;436;436;436;427;423;427;427;427;423;423;419;419;419;423;423;419;415;410;410;415;415;410;410;406;406;406;402;406;398;398;402;393;393;389;389;393;402;402;393;393;389;389;389;389;389;393;389;385;389;389;</t>
  </si>
  <si>
    <t>9;24;67;130;182;221;248;261;268;270;272;272;275;272;275;277;272;277;279;275;277;284;286;281;284;284;279;281;277;272;272;277;281;275;270;272;279;279;277;277;279;277;279;279;279;279;277;279;277;272;275;279;281;277;279;281;277;277;279;279;275;272;279;279;277;275;277;279;279;277;277;275;275;277;277;275;275;279;277;275;279;279;277;277;277;277;275;277;279;279;275;277;279;277;275;281;284;272;270;277;279;277;279;281;279;277;277;277;275;277;279;277;279;277;281;277;270;275;279;275;272;277;272;279;279;</t>
  </si>
  <si>
    <t>67;122;186;249;321;389;449;491;521;546;563;571;571;571;576;576;576;580;580;576;571;567;567;563;559;550;546;542;533;533;529;521;521;516;508;508;508;508;504;504;499;495;491;491;487;487;487;482;478;478;478;474;474;474;470;470;470;465;457;457;457;457;453;453;453;449;444;444;440;440;436;436;432;432;432;427;432;432;427;427;423;423;423;419;419;419;419;415;415;415;415;415;406;410;415;410;406;406;406;398;398;402;398;398;402;398;393;389;389;393;393;389;393;389;385;385;385;381;377;381;381;381;381;385;385;</t>
  </si>
  <si>
    <t>9;27;69;124;178;223;250;263;272;279;277;277;279;277;275;270;272;279;275;279;284;279;279;279;279;277;279;281;284;279;277;281;279;277;279;277;277;279;279;279;277;275;279;277;275;275;272;272;277;279;277;277;279;279;279;275;275;277;277;277;277;281;281;275;277;275;272;277;281;279;275;277;279;277;277;277;279;279;277;279;275;275;277;277;277;272;275;272;272;277;277;277;277;277;277;275;279;284;275;275;272;275;277;275;281;279;275;275;277;281;277;272;275;275;277;277;277;279;275;279;277;275;268;277;277;</t>
  </si>
  <si>
    <t>63;127;190;258;326;398;457;504;533;550;563;567;567;571;571;576;576;567;567;567;567;567;559;559;550;550;542;538;533;529;529;521;516;512;512;512;508;499;495;495;491;491;487;491;478;474;478;478;482;482;478;478;478;470;470;465;465;465;465;465;465;461;457;453;453;453;453;444;449;449;440;436;436;436;436;432;436;427;427;432;427;423;423;423;423;415;415;415;419;419;415;410;402;406;415;410;406;406;402;398;398;402;402;398;402;398;402;402;398;393;389;389;389;389;389;389;385;385;381;381;385;381;385;385;385;</t>
  </si>
  <si>
    <t>2;18;67;126;173;218;252;268;272;279;277;277;277;277;277;275;279;279;277;281;279;281;281;284;284;277;279;281;284;286;279;279;281;277;277;277;279;277;279;279;277;277;277;277;270;268;277;279;279;277;279;277;275;277;279;275;277;277;279;279;277;279;277;277;277;277;275;272;277;279;272;275;277;279;279;275;277;277;275;279;275;277;277;279;279;275;279;281;277;277;275;277;275;275;277;275;279;277;277;277;270;277;279;277;277;277;279;275;275;277;275;279;279;277;277;275;277;277;277;277;277;281;277;277;277;</t>
  </si>
  <si>
    <t>63;127;186;258;334;410;470;508;533;559;571;571;576;576;576;580;580;580;571;567;567;563;559;554;546;546;538;538;533;529;525;516;512;512;512;512;504;504;499;495;499;495;491;487;482;478;482;491;487;478;478;470;465;465;470;470;465;465;465;461;457;457;453;449;444;444;449;444;444;444;440;440;440;440;436;436;432;432;432;427;427;427;427;427;427;419;423;423;415;415;419;410;406;410;406;406;402;402;406;406;398;398;402;402;398;393;393;393;393;389;385;385;385;389;389;385;385;389;385;385;381;381;385;389;389;</t>
  </si>
  <si>
    <t>2;13;47;101;157;202;243;275;284;286;288;286;288;284;281;284;281;279;277;281;284;279;279;286;286;279;279;281;277;275;277;281;279;277;284;279;275;281;279;277;277;277;279;279;279;279;277;275;275;277;277;277;279;275;277;279;277;279;277;279;281;275;275;279;281;281;277;279;279;279;279;277;275;272;277;279;275;277;277;281;277;272;279;275;275;279;279;277;275;275;279;277;277;277;277;277;275;279;277;277;279;275;277;277;277;277;275;275;277;277;275;275;277;275;275;277;277;277;277;281;281;270;275;272;272;</t>
  </si>
  <si>
    <t>72;144;207;292;385;470;542;584;614;631;635;635;626;622;614;614;610;601;597;593;584;576;576;571;567;559;554;550;550;542;538;538;525;521;521;521;516;516;512;508;504;504;504;499;495;491;491;487;482;482;482;478;474;474;474;474;474;470;470;470;470;461;457;457;457;457;449;444;444;440;436;436;432;427;432;432;423;423;427;423;423;419;419;415;410;410;410;410;406;402;406;402;398;398;398;393;393;393;393;389;385;389;385;385;381;372;368;377;381;381;377;372;372;368;368;372;372;368;368;372;368;364;377;360;360;</t>
  </si>
  <si>
    <t>2;13;47;101;157;207;248;270;286;290;286;288;284;281;284;279;284;279;277;281;279;281;277;279;281;277;281;281;281;281;281;284;279;279;281;277;277;277;277;279;277;279;279;277;277;279;279;277;277;279;277;277;277;279;277;275;279;277;277;277;279;279;275;277;279;277;277;275;277;277;277;281;279;275;275;277;279;272;275;279;277;277;277;277;277;275;279;272;272;279;277;277;275;277;279;272;275;279;275;272;275;279;277;275;277;277;277;277;275;272;272;279;281;277;275;275;279;275;275;286;284;275;261;275;275;</t>
  </si>
  <si>
    <t>72;144;207;288;381;465;533;584;614;626;635;635;622;618;610;605;605;601;593;584;576;571;567;571;567;559;554;546;533;529;533;529;525;525;521;516;516;512;512;512;504;499;495;495;495;495;491;491;491;482;487;482;470;474;482;474;474;474;465;461;461;461;461;457;457;457;453;449;449;444;440;440;440;440;436;436;436;432;427;423;423;427;427;427;423;419;419;419;423;415;415;415;410;406;406;402;402;402;402;398;398;398;398;398;398;389;393;389;385;389;389;389;385;385;389;389;377;372;381;385;381;381;385;393;393;</t>
  </si>
  <si>
    <t>2;9;40;96;160;216;252;272;281;281;281;281;281;279;277;279;279;279;279;279;286;286;281;281;279;281;279;281;279;275;279;284;281;275;279;281;275;275;279;277;279;279;279;277;277;281;279;279;281;277;281;279;277;277;272;275;277;279;279;275;279;279;277;277;279;279;275;277;279;277;277;281;279;275;275;277;275;275;279;279;277;275;277;279;277;279;279;279;275;275;281;279;277;277;275;270;272;277;277;275;275;277;275;275;277;277;275;270;272;277;277;275;277;272;270;279;277;275;275;277;279;277;281;272;272;</t>
  </si>
  <si>
    <t>80;156;232;317;406;487;542;580;610;626;639;639;635;635;631;631;631;631;618;614;610;601;593;588;580;576;571;563;559;563;559;550;546;542;533;533;533;533;529;521;521;516;512;512;508;504;495;491;491;491;487;482;478;474;470;470;470;465;461;457;457;457;449;440;436;444;444;440;436;427;423;432;423;423;423;423;423;415;415;415;415;415;415;415;406;406;410;406;406;406;402;393;393;393;393;389;393;393;389;389;385;385;381;381;385;381;381;377;377;377;372;377;377;377;377;372;372;368;364;364;368;368;368;368;368;</t>
  </si>
  <si>
    <t>2;15;49;101;155;209;245;266;279;286;290;288;286;286;284;279;279;284;281;281;284;281;279;279;284;284;279;279;281;284;281;277;277;277;279;281;279;277;277;279;277;272;277;275;272;279;281;281;275;275;279;279;277;277;277;272;270;279;279;275;277;284;281;272;277;277;272;277;279;279;277;277;277;275;275;279;277;279;277;275;277;272;275;279;275;272;275;279;277;277;281;277;281;279;275;277;275;277;277;277;277;272;277;275;272;279;279;275;275;275;277;275;279;284;279;275;275;277;275;272;277;275;281;272;272;</t>
  </si>
  <si>
    <t>76;148;216;296;385;470;542;584;610;626;631;631;631;626;622;614;610;605;601;593;588;588;580;567;563;559;550;542;542;538;533;533;529;525;521;521;521;516;512;508;504;491;491;491;491;491;491;487;482;487;482;478;478;474;470;465;457;457;461;461;457;457;457;453;449;449;444;444;440;444;440;436;432;427;432;432;427;419;419;423;419;415;415;415;419;415;410;410;410;410;410;406;402;402;402;402;398;398;398;398;398;393;393;393;389;389;389;385;381;385;385;381;381;381;381;381;381;372;368;368;372;377;377;381;381;</t>
  </si>
  <si>
    <t>6;15;54;110;166;212;245;270;279;281;286;286;286;288;284;284;281;281;281;279;277;281;281;281;279;281;279;279;281;281;281;277;281;279;275;277;279;279;277;277;281;277;277;279;275;275;275;279;281;279;275;275;277;277;277;277;275;279;281;275;275;277;277;277;277;279;277;277;270;272;277;275;277;281;275;272;277;277;277;275;277;277;275;279;281;279;275;277;277;272;272;275;277;275;277;279;272;270;279;277;277;279;279;277;272;275;279;279;277;277;279;275;275;279;277;277;272;275;277;275;277;277;281;277;277;</t>
  </si>
  <si>
    <t>80;148;203;283;372;457;525;567;597;614;622;622;618;618;614;601;593;584;580;576;567;563;554;546;542;542;538;538;529;533;529;521;512;508;508;504;504;499;495;491;495;495;487;482;482;482;478;478;474;470;465;470;465;461;461;461;461;457;453;457;453;440;444;444;449;453;449;444;440;440;440;436;432;436;436;432;427;427;423;423;423;423;423;419;419;415;410;410;410;410;410;410;415;410;402;406;415;410;402;402;402;406;406;398;398;398;402;402;393;393;393;389;389;393;389;389;393;389;385;385;385;381;381;381;381;</t>
  </si>
  <si>
    <t>6;24;69;128;178;218;248;261;266;272;277;277;275;275;279;281;277;279;275;279;284;284;284;281;281;281;281;281;277;275;277;284;279;277;281;279;279;281;279;279;277;277;279;275;275;277;277;277;277;279;281;279;279;284;284;277;277;277;275;275;281;281;275;272;279;263;261;279;279;279;275;277;281;275;275;279;279;277;277;281;279;275;277;277;277;277;277;277;277;277;279;277;272;275;277;275;275;277;277;279;275;275;275;272;277;279;279;277;277;277;275;277;279;275;270;275;279;275;272;279;279;275;275;277;277;</t>
  </si>
  <si>
    <t>63;122;182;254;330;406;470;516;550;576;588;593;597;605;605;605;605;601;593;588;588;584;576;571;567;563;559;554;542;529;533;533;529;525;521;525;516;512;516;512;508;499;499;495;491;491;487;487;482;478;482;474;474;470;470;465;457;457;461;457;457;449;449;444;449;444;440;440;440;436;436;436;436;432;423;427;427;423;423;419;419;423;423;419;415;410;410;406;410;406;406;402;402;402;402;398;402;398;393;393;393;393;389;389;385;385;389;385;389;389;385;381;381;381;377;372;381;385;377;372;372;377;372;372;372;</t>
  </si>
  <si>
    <t>6;22;67;128;180;214;243;261;266;272;275;277;277;275;279;281;284;281;279;281;281;284;284;279;279;281;281;279;277;275;275;279;279;284;284;275;277;279;277;279;281;279;275;275;279;277;275;277;277;277;277;279;279;277;277;277;277;277;277;279;277;275;277;279;277;277;284;284;275;277;279;277;272;275;279;277;275;277;277;272;275;279;279;275;275;277;275;277;279;279;275;275;279;275;275;279;281;279;272;277;277;275;277;279;277;275;275;275;279;279;277;277;275;272;277;277;275;277;277;277;275;275;272;279;279;</t>
  </si>
  <si>
    <t>63;127;186;254;330;402;465;516;550;576;588;601;605;605;605;601;601;597;593;593;584;580;576;563;559;559;554;546;546;538;533;533;525;516;516;516;512;508;504;499;499;499;495;491;487;482;482;482;478;482;482;478;478;474;470;470;465;461;461;461;457;453;457;453;449;444;449;444;440;436;440;432;432;432;432;427;427;427;427;427;423;423;423;423;415;415;415;415;415;406;406;410;406;406;402;406;406;402;402;398;402;402;398;398;398;393;402;402;393;389;389;389;389;389;385;385;381;381;385;389;385;377;381;368;368;</t>
  </si>
  <si>
    <t>2;20;63;119;171;214;245;263;275;279;275;279;281;281;284;279;279;279;277;279;279;281;281;279;286;284;279;277;277;279;277;277;277;272;277;279;281;281;277;277;277;275;277;277;279;275;277;277;275;277;279;277;272;275;281;277;279;281;275;277;275;281;279;275;277;277;275;277;279;277;275;277;284;279;275;275;279;279;275;277;279;275;272;275;277;272;275;279;277;277;277;281;279;275;279;275;275;275;277;277;272;275;279;277;277;281;279;275;275;279;277;277;277;277;275;272;277;277;277;277;277;277;272;279;279;</t>
  </si>
  <si>
    <t>80;144;194;271;355;432;495;542;571;593;605;597;597;601;601;601;597;593;588;584;576;571;563;554;554;554;550;542;538;542;533;529;529;521;516;516;516;516;508;504;499;499;499;495;491;491;491;487;478;478;482;482;478;478;474;470;465;461;465;470;465;457;465;457;449;453;453;449;444;449;444;444;440;436;436;432;432;432;423;427;423;423;427;423;419;419;419;419;410;410;406;406;415;410;406;406;402;402;402;406;402;398;402;398;393;398;398;389;389;393;389;389;389;389;385;381;381;381;385;389;385;377;377;377;377;</t>
  </si>
  <si>
    <t>2;13;47;106;162;207;241;270;281;284;288;286;284;279;279;281;279;279;281;284;284;281;284;279;277;279;279;279;279;281;279;277;281;277;277;277;277;279;277;279;284;281;277;275;277;279;277;277;275;275;275;277;279;277;277;279;277;279;277;277;277;275;279;279;275;277;279;279;275;275;279;281;279;275;277;272;272;279;272;272;279;281;279;272;275;277;277;277;275;275;277;277;277;275;275;281;279;275;272;277;279;279;275;272;277;277;279;284;275;268;272;277;277;275;279;284;279;277;277;275;277;279;279;279;279;</t>
  </si>
  <si>
    <t>76;144;211;292;381;465;533;580;605;626;631;626;631;626;618;618;610;610;605;597;593;588;584;576;563;559;563;559;554;550;546;542;542;533;529;529;525;525;521;521;516;512;508;504;499;499;499;495;495;482;482;482;482;482;478;478;474;470;470;470;465;461;461;461;449;444;444;440;444;444;444;436;432;432;432;427;423;423;427;423;419;419;423;415;410;415;419;415;406;402;402;402;402;402;398;393;398;398;393;398;393;389;389;385;385;385;385;385;381;377;377;381;377;377;372;377;381;377;372;368;368;372;368;377;377;</t>
  </si>
  <si>
    <t>6;15;49;101;146;196;241;272;286;288;288;281;281;286;284;281;281;284;281;277;281;281;281;284;279;284;281;279;281;279;281;279;284;284;275;277;279;279;277;277;279;277;279;281;272;275;279;279;277;275;281;277;277;279;275;275;277;279;279;272;277;279;281;281;275;277;277;277;279;275;277;277;279;281;272;272;284;281;279;277;275;277;277;279;270;272;279;281;279;272;275;279;277;277;275;277;277;277;279;275;275;277;279;277;270;275;277;275;275;277;275;275;279;279;275;270;275;279;277;272;272;277;275;272;272;</t>
  </si>
  <si>
    <t>72;139;207;292;381;465;533;593;622;639;648;652;643;639;635;631;622;614;610;605;597;588;588;580;576;571;563;559;559;554;546;546;546;533;529;529;525;525;521;521;516;508;508;512;508;504;499;495;495;499;499;491;487;482;482;478;474;474;474;470;470;465;461;461;461;457;453;449;453;453;449;444;444;444;440;436;440;440;444;440;432;432;427;427;427;419;419;423;423;419;419;415;410;415;410;415;410;402;406;406;402;402;402;402;393;393;393;393;393;393;393;389;389;389;389;385;385;385;385;385;381;381;377;385;385;</t>
  </si>
  <si>
    <t>2;9;49;110;164;214;250;268;277;277;279;277;275;275;277;279;279;281;281;279;284;288;286;284;281;281;277;279;281;281;281;277;281;279;275;281;277;279;281;279;284;279;279;284;279;277;277;279;281;279;277;277;279;277;277;284;279;279;284;281;277;277;277;277;277;279;279;275;277;279;277;275;277;277;277;277;277;275;272;277;281;279;277;279;279;277;275;279;281;277;277;279;277;275;277;279;277;275;279;279;275;275;277;275;272;277;277;279;279;279;275;272;275;277;279;281;277;277;275;270;275;277;281;270;270;</t>
  </si>
  <si>
    <t>80;152;220;300;385;465;529;576;605;626;639;639;643;648;652;648;639;635;631;626;622;618;610;601;593;588;580;571;567;563;563;554;550;542;538;538;538;529;525;525;525;516;512;512;512;508;504;504;499;491;495;495;487;482;474;474;478;474;470;465;461;461;457;453;453;449;444;440;440;440;436;432;432;432;432;427;423;427;423;423;423;423;419;410;415;410;406;406;402;402;402;402;402;402;402;398;393;393;393;398;389;389;385;385;385;385;385;381;381;381;381;377;377;377;377;377;377;372;368;368;377;372;372;372;372;</t>
  </si>
  <si>
    <t>0;15;54;108;160;207;245;266;279;277;279;284;281;284;286;279;279;284;288;286;281;281;281;279;279;281;281;279;281;284;281;277;277;281;279;279;279;279;277;275;277;275;275;279;277;277;275;277;279;277;275;279;279;279;275;275;277;277;277;275;277;277;277;277;275;279;281;277;275;275;279;279;275;277;279;277;277;279;279;277;275;275;275;277;279;279;277;275;279;275;275;277;279;279;275;279;281;277;275;277;275;272;275;281;277;272;275;275;275;272;277;277;275;279;279;275;279;281;281;275;272;275;277;279;279;</t>
  </si>
  <si>
    <t>67;139;207;292;385;474;538;580;614;639;643;643;643;643;639;631;622;618;618;614;601;597;588;580;567;567;563;554;554;554;546;542;538;529;529;525;521;516;512;512;508;512;512;508;504;495;495;499;495;487;487;487;482;487;482;478;487;478;470;474;474;461;461;461;461;461;457;457;453;453;453;453;449;444;444;440;440;427;423;427;432;432;427;423;427;432;423;423;423;423;419;419;415;415;419;415;415;410;410;406;406;406;402;406;402;406;406;389;393;402;402;402;393;389;398;402;402;393;389;389;389;389;389;393;393;</t>
  </si>
  <si>
    <t>2;15;56;112;169;212;243;266;279;286;290;293;288;281;281;281;281;279;277;284;281;277;281;281;279;281;281;284;279;272;275;275;275;279;284;281;277;279;277;277;277;281;281;275;275;277;279;279;279;279;277;275;277;277;279;279;279;281;277;275;277;275;277;277;277;275;272;277;275;275;279;279;279;281;284;277;275;279;281;277;275;275;277;279;277;277;277;275;275;277;277;275;277;279;277;275;277;277;275;275;277;277;277;275;277;275;272;272;272;275;277;279;279;277;279;279;275;275;275;275;275;275;277;275;275;</t>
  </si>
  <si>
    <t>67;144;211;288;377;453;521;567;601;618;618;622;622;618;614;601;597;593;593;588;580;571;567;563;563;554;554;550;533;529;533;533;529;529;529;525;521;508;504;504;499;504;499;495;491;487;491;487;491;487;482;482;478;478;478;470;470;470;470;470;461;457;457;461;461;465;453;444;444;444;444;440;444;444;440;440;436;436;436;432;432;432;427;423;423;423;423;423;423;423;427;419;419;423;419;419;415;410;410;410;415;410;402;402;402;402;393;389;398;398;402;406;398;393;398;393;393;398;398;393;393;389;393;389;389;</t>
  </si>
  <si>
    <t>4;15;56;117;175;221;252;266;270;279;279;275;272;272;277;277;279;279;279;279;281;284;284;281;284;286;281;277;281;286;279;277;277;277;279;279;277;275;279;281;279;277;277;279;277;275;277;279;279;277;277;279;279;279;279;279;275;277;279;279;277;281;277;275;277;277;279;279;284;281;275;272;277;284;279;275;277;279;279;275;275;277;277;281;279;272;275;277;277;272;275;279;277;279;281;279;277;272;277;277;277;279;279;279;275;275;281;277;275;277;277;275;272;279;279;275;275;277;277;275;277;277;275;279;279;</t>
  </si>
  <si>
    <t>76;148;207;283;368;436;495;542;567;588;597;605;614;614;614;610;610;614;610;605;593;593;593;584;584;580;571;563;554;550;546;546;542;533;533;533;529;525;521;521;516;512;512;508;499;495;499;499;495;495;491;487;482;478;478;478;478;474;470;470;470;465;461;461;461;453;453;453;453;449;449;444;440;440;440;436;432;432;432;427;432;432;427;427;423;423;419;423;419;410;415;415;415;415;410;410;410;406;406;406;402;402;402;402;398;398;402;398;393;398;398;393;393;389;389;389;389;385;389;389;385;385;389;389;389;</t>
  </si>
  <si>
    <t>4;18;54;115;173;218;250;270;272;277;279;277;279;277;277;281;279;279;277;281;279;277;281;284;281;281;279;281;279;272;275;279;281;279;281;279;277;279;279;279;277;279;279;275;275;279;277;277;275;275;284;281;279;277;275;277;279;277;275;275;277;277;277;277;277;277;277;279;277;277;279;279;281;277;277;277;275;275;275;277;277;279;281;277;277;275;284;279;268;275;275;270;272;275;275;275;277;279;275;275;277;277;275;272;277;272;270;279;279;279;275;275;277;272;277;279;277;277;275;277;275;272;270;277;277;</t>
  </si>
  <si>
    <t>72;135;207;279;364;444;499;546;571;593;605;610;614;614;614;610;610;610;601;593;597;588;584;584;576;571;567;559;554;550;542;538;538;533;525;525;525;521;516;512;508;508;504;508;504;499;495;495;491;491;495;487;478;478;478;474;474;474;474;465;465;474;465;461;461;457;457;453;453;449;444;444;444;449;440;432;436;432;432;432;427;432;436;432;423;427;427;419;415;419;415;415;415;415;410;410;415;406;410;415;410;406;402;393;393;398;398;398;402;402;398;393;393;389;393;393;389;385;385;385;385;385;377;381;381;</t>
  </si>
  <si>
    <t>6;13;51;117;173;216;245;270;279;277;281;281;279;277;277;284;279;279;284;281;281;279;281;284;279;281;281;279;279;281;284;279;277;279;277;279;277;279;277;277;281;279;277;279;279;279;279;277;279;275;272;277;279;277;275;277;277;275;277;277;277;275;277;279;279;279;277;277;275;277;284;277;272;275;277;277;275;279;279;272;275;277;277;275;275;279;275;270;272;277;275;272;277;277;275;277;277;277;275;277;281;277;275;277;277;275;275;281;277;275;277;277;277;275;277;277;275;275;279;275;275;275;279;272;272;</t>
  </si>
  <si>
    <t>72;135;199;271;355;440;499;550;580;593;601;610;610;614;614;610;610;605;593;593;597;588;580;576;567;563;559;554;542;533;542;538;533;533;529;525;516;512;516;516;512;512;504;504;508;499;495;495;495;495;491;487;482;482;478;470;474;474;470;474;470;470;465;465;465;461;457;457;457;453;449;444;444;444;449;440;436;436;440;440;436;436;436;432;427;427;427;427;423;427;427;423;423;427;423;423;419;419;419;419;410;402;406;406;406;406;398;398;402;402;398;398;398;398;398;398;393;389;385;389;385;381;385;389;389;</t>
  </si>
  <si>
    <t>0;9;42;87;139;193;241;266;279;284;284;288;284;281;279;279;284;284;281;277;279;284;279;281;281;279;281;279;281;286;284;279;272;277;281;281;281;275;275;277;277;279;279;279;277;275;284;279;275;279;279;284;279;277;281;277;277;281;281;275;275;277;275;275;277;279;279;277;279;279;277;277;277;279;279;277;279;275;272;277;279;277;275;277;279;277;277;277;277;279;279;277;275;279;279;277;277;272;277;275;275;277;277;275;275;279;279;275;279;279;275;272;272;279;281;277;277;277;270;270;279;279;281;277;277;</t>
  </si>
  <si>
    <t>76;144;216;296;389;478;546;593;631;648;652;656;656;648;643;643;631;626;626;618;614;605;601;593;584;580;571;567;567;563;559;554;550;546;538;538;538;529;525;525;521;516;516;512;512;508;508;504;504;504;495;491;491;482;487;482;478;482;478;470;465;465;470;461;457;457;457;457;453;457;453;449;449;444;440;440;440;440;432;427;427;427;423;423;427;419;415;415;415;410;410;410;410;406;406;402;398;398;393;393;393;398;393;385;385;389;389;385;393;385;377;377;381;381;377;372;372;377;372;372;377;385;385;377;377;</t>
  </si>
  <si>
    <t>2;13;45;94;146;198;239;261;279;281;281;288;286;286;284;284;286;281;281;284;284;281;277;288;286;279;281;281;284;284;281;279;279;279;279;277;277;277;279;277;277;281;279;284;284;277;279;277;277;279;277;277;277;277;277;277;277;277;281;281;279;275;272;277;277;277;279;275;275;277;279;279;275;275;277;279;279;275;281;277;275;275;277;281;279;275;277;275;277;284;277;272;272;279;279;275;275;270;272;277;277;277;275;277;277;277;275;272;279;279;275;277;277;279;277;279;277;272;277;279;277;275;272;281;281;</t>
  </si>
  <si>
    <t>76;139;203;288;385;474;542;593;622;643;648;648;652;648;643;639;635;626;614;610;605;597;593;584;580;571;571;563;559;554;550;554;550;533;529;538;525;521;525;521;516;516;512;508;504;504;508;504;499;495;495;491;487;487;487;482;482;487;482;474;474;470;470;470;465;465;465;461;449;449;457;457;453;453;453;449;440;436;440;440;436;436;432;436;436;432;423;419;423;423;419;419;415;415;419;419;415;410;415;415;410;410;406;406;406;402;402;402;406;410;393;393;398;398;389;389;393;393;389;385;381;381;385;393;393;</t>
  </si>
  <si>
    <t>2;6;42;99;153;200;239;268;279;279;281;277;277;279;281;281;277;284;286;286;286;284;284;281;281;284;281;281;281;279;277;279;284;281;279;279;279;281;279;279;279;277;277;279;279;277;277;279;279;277;279;281;277;275;277;279;279;277;277;279;279;279;279;277;277;279;279;277;272;281;281;275;275;279;279;277;281;281;272;275;279;279;277;275;281;281;277;277;275;275;275;279;279;275;279;279;275;275;272;275;275;275;277;279;277;275;279;279;275;272;277;277;275;275;277;277;275;277;275;277;277;275;275;277;277;</t>
  </si>
  <si>
    <t>80;156;232;313;393;478;546;597;626;648;660;665;669;669;669;665;660;656;648;639;639;631;618;610;601;593;588;576;571;571;567;559;550;550;546;538;533;533;529;529;529;525;516;512;512;508;499;495;491;491;487;482;482;478;470;470;470;470;470;453;449;453;453;453;449;444;449;444;436;432;432;427;427;427;423;419;419;419;419;410;406;410;406;410;410;402;402;410;410;406;406;402;402;398;393;393;393;389;381;385;385;381;381;385;385;381;381;381;381;385;381;377;372;372;368;368;368;368;368;368;368;368;372;368;368;</t>
  </si>
  <si>
    <t>2;13;45;94;148;198;236;266;279;281;284;284;286;286;279;284;286;284;284;284;286;281;284;286;281;284;281;284;284;279;281;277;275;277;277;279;275;277;279;277;277;277;279;277;277;277;275;279;281;277;277;275;281;281;275;275;275;275;277;277;277;272;275;279;279;279;277;281;281;275;277;277;275;275;279;279;275;277;279;275;275;277;277;275;277;279;277;277;277;279;277;272;277;279;279;277;275;277;272;275;279;277;275;275;279;272;268;279;279;277;277;277;277;275;277;277;275;272;272;277;277;275;277;272;272;</t>
  </si>
  <si>
    <t>76;144;211;296;389;478;542;593;631;648;652;665;665;652;643;643;635;626;618;610;605;601;593;588;580;571;567;554;550;546;542;538;533;529;525;525;516;512;516;512;508;504;499;499;499;495;491;487;487;487;487;478;478;478;474;470;474;470;465;465;461;461;461;457;457;457;453;453;449;449;444;444;444;440;440;444;440;436;436;432;427;427;427;427;427;423;419;419;415;419;419;419;415;419;419;410;410;406;402;406;402;402;402;398;398;398;398;402;402;398;393;393;393;389;389;389;389;385;385;385;385;381;381;385;385;</t>
  </si>
  <si>
    <t>2;15;47;101;157;202;239;263;272;281;288;286;284;284;286;281;281;286;281;281;281;281;284;284;284;279;279;284;279;272;277;281;279;277;281;279;284;284;277;272;272;284;284;275;277;279;277;275;275;279;281;279;277;277;277;277;275;277;277;281;279;275;275;277;279;275;275;277;277;272;272;279;277;275;277;279;277;275;277;277;275;277;279;277;275;275;279;275;272;277;279;281;279;277;279;277;277;279;275;275;275;279;275;272;277;275;275;277;275;277;272;275;281;277;277;277;277;277;279;279;275;275;266;277;277;</t>
  </si>
  <si>
    <t>76;139;203;279;372;461;525;571;610;631;639;643;643;635;631;626;622;618;601;597;593;584;584;576;567;567;571;563;550;542;542;538;533;529;525;521;508;504;512;512;508;504;504;499;495;499;495;487;487;491;491;482;482;478;478;478;478;474;470;470;474;482;470;461;461;457;457;453;453;449;449;449;444;436;440;440;436;432;440;440;432;427;432;432;432;423;423;427;427;423;423;423;423;423;419;415;415;410;406;402;406;406;406;402;402;402;398;402;406;406;398;393;393;393;393;389;389;389;389;389;385;381;381;385;385;</t>
  </si>
  <si>
    <t>4;15;56;115;166;207;241;261;266;270;277;281;281;279;281;279;281;281;281;284;281;284;281;281;284;281;284;281;281;284;279;279;279;279;277;277;279;279;279;279;279;277;275;277;279;275;277;277;279;277;277;279;277;277;279;279;277;275;277;277;275;277;277;277;275;279;284;279;275;275;275;275;272;279;277;275;279;279;277;277;277;279;275;275;279;279;277;272;275;272;268;270;279;279;277;277;279;277;277;281;279;277;272;277;277;272;277;279;279;275;277;279;275;277;279;275;277;277;277;277;272;277;272;284;284;</t>
  </si>
  <si>
    <t>72;144;203;271;355;436;508;554;593;618;631;643;652;648;639;643;643;635;631;622;614;610;601;593;588;584;571;563;567;563;554;550;546;542;538;538;533;529;521;512;512;512;508;508;508;504;499;499;495;491;487;487;482;478;478;478;474;470;470;470;461;457;465;461;453;453;453;453;449;444;449;444;440;444;436;432;436;436;427;423;432;432;427;432;427;423;423;415;415;415;415;419;419;410;406;410;415;410;406;406;402;398;393;389;393;393;398;398;393;393;393;389;389;389;389;389;385;385;389;393;389;385;381;398;398;</t>
  </si>
  <si>
    <t>2;13;54;108;160;207;241;261;275;281;284;279;279;284;279;277;279;281;281;279;284;286;284;281;279;281;281;281;281;281;281;279;279;281;275;277;279;277;279;277;279;279;277;279;277;277;279;277;277;277;281;279;279;281;277;275;277;279;277;275;279;281;277;272;279;284;275;275;277;277;275;275;279;279;275;279;279;275;275;277;277;277;275;279;279;275;275;275;277;277;277;277;275;275;275;275;275;275;277;272;272;279;277;275;275;277;277;275;277;277;275;275;279;279;275;275;272;272;277;277;279;277;284;279;279;</t>
  </si>
  <si>
    <t>72;139;203;279;372;457;525;576;610;635;639;648;648;643;635;631;631;622;618;614;605;597;593;584;576;571;567;563;559;550;546;542;542;542;533;529;529;529;525;521;516;508;512;512;508;504;499;499;499;495;495;487;487;487;482;482;478;478;474;470;470;465;465;461;457;457;457;453;453;453;453;453;449;440;440;440;440;444;436;432;436;436;436;436;427;423;423;423;423;419;415;419;415;415;415;410;410;415;410;410;410;402;398;406;402;398;402;398;402;406;393;393;393;393;398;393;389;393;393;389;389;389;389;393;393;</t>
  </si>
  <si>
    <t>0;13;51;106;155;200;236;263;279;284;286;281;281;284;284;284;281;286;284;279;284;281;279;281;281;281;275;279;284;284;281;277;279;279;279;281;277;277;277;275;275;275;277;279;277;279;277;281;279;277;279;275;277;279;279;279;275;277;279;279;279;277;277;277;277;281;277;275;277;277;277;275;279;279;275;277;281;279;275;277;279;275;272;277;277;277;275;277;277;272;279;279;275;275;277;279;275;275;279;277;277;275;277;277;275;277;275;272;275;279;277;272;277;279;275;275;272;272;275;275;279;277;286;268;268;</t>
  </si>
  <si>
    <t>67;135;207;288;381;461;529;576;605;631;643;643;643;639;635;626;622;614;610;605;597;601;588;580;576;571;567;559;554;550;542;542;538;533;533;529;525;525;525;521;516;512;508;508;512;512;508;508;499;491;491;487;482;487;482;482;478;478;474;470;474;474;470;470;465;461;461;461;457;453;453;453;449;453;444;444;449;444;440;444;444;436;436;436;432;436;432;427;427;423;432;427;423;419;419;415;415;415;415;406;410;415;410;410;410;410;406;402;402;406;402;402;402;402;398;393;393;393;393;398;398;398;402;393;393;</t>
  </si>
  <si>
    <t>2;13;56;112;160;207;243;263;275;279;277;277;279;279;281;279;281;284;284;284;284;281;281;286;284;281;279;279;284;284;279;279;275;275;279;281;281;277;281;281;277;279;279;279;277;277;281;279;277;279;279;279;275;277;281;279;277;279;277;277;275;281;279;275;279;279;277;277;279;279;277;279;277;277;277;277;277;275;275;279;279;272;272;279;277;275;277;277;277;277;279;277;272;277;279;279;275;270;277;277;277;279;277;277;277;277;277;275;277;277;275;277;275;277;275;275;279;275;272;277;279;277;281;281;281;</t>
  </si>
  <si>
    <t>67;139;207;288;377;453;516;563;597;618;635;639;648;648;639;639;639;635;622;618;614;601;593;588;584;576;571;567;563;554;550;546;542;538;533;529;525;521;521;516;512;512;508;504;499;495;499;487;487;487;487;482;478;482;478;470;470;465;461;461;453;453;453;453;444;444;444;440;440;444;436;436;436;432;432;432;427;427;423;419;415;419;419;410;410;410;406;410;406;406;406;398;393;402;402;398;389;385;393;393;393;385;385;385;385;385;385;385;385;381;377;377;377;372;372;372;372;368;364;368;372;372;372;351;351;</t>
  </si>
  <si>
    <t>4;13;51;112;164;205;239;266;268;275;281;284;281;279;281;279;281;281;284;284;279;286;286;279;279;281;281;277;279;284;281;279;279;279;279;275;277;279;277;277;279;279;275;277;277;275;277;277;277;277;277;277;277;275;275;277;277;277;279;279;277;277;277;277;279;279;279;277;275;277;277;275;272;275;277;277;281;279;277;275;277;281;277;275;277;277;279;275;277;277;275;277;277;275;275;275;279;279;275;275;275;275;277;277;277;277;279;275;275;275;275;277;275;275;275;277;277;277;281;275;270;279;275;284;284;</t>
  </si>
  <si>
    <t>67;139;194;275;372;449;516;567;593;614;626;631;631;622;618;622;618;614;605;597;588;584;580;571;563;554;550;546;542;542;538;529;529;525;521;516;516;512;512;504;504;504;504;504;499;495;495;495;499;495;487;482;482;478;474;474;478;474;474;474;474;470;470;465;457;453;457;453;453;449;444;449;449;444;444;436;440;444;440;432;432;432;432;427;427;427;427;427;423;419;419;419;419;419;415;419;415;415;415;410;406;402;406;406;402;402;398;402;398;398;402;406;402;398;389;389;393;389;389;389;385;389;389;389;389;</t>
  </si>
  <si>
    <t>6;20;56;112;157;198;241;261;272;281;281;284;281;284;286;281;284;284;281;281;279;284;281;281;286;284;279;277;279;281;279;279;281;281;279;275;277;277;277;281;277;275;277;279;277;275;275;279;277;275;275;279;277;277;275;275;277;275;281;279;272;275;277;277;275;275;279;279;277;275;277;279;277;277;275;275;279;277;277;279;279;279;277;277;279;275;275;277;279;275;272;279;277;272;275;277;277;272;277;281;277;275;275;277;275;272;275;279;277;275;277;279;277;277;277;272;275;277;277;277;275;277;275;286;286;</t>
  </si>
  <si>
    <t>67;131;194;279;372;444;512;576;605;631;639;635;635;631;626;618;610;601;597;588;580;576;571;563;559;550;546;542;546;550;542;533;529;525;516;512;512;512;504;504;504;499;504;499;495;495;491;491;495;482;478;482;482;482;482;482;478;470;470;474;474;470;465;470;470;457;457;457;457;457;457;453;453;449;449;449;444;444;440;444;449;440;436;436;432;436;436;432;427;427;427;423;423;423;427;423;419;419;415;419;419;419;410;406;402;402;406;410;406;406;406;402;402;402;402;398;393;402;398;389;389;389;393;393;393;</t>
  </si>
  <si>
    <t>2;6;40;92;148;202;245;266;272;275;279;277;275;277;279;281;281;284;281;284;288;286;284;281;284;284;279;281;281;281;281;281;279;277;281;281;277;277;277;281;284;277;279;279;277;275;275;279;279;279;281;277;279;279;279;275;270;277;281;281;281;281;279;277;275;279;277;277;277;279;277;275;277;279;279;279;279;277;277;277;279;277;275;275;277;277;275;275;277;277;277;277;277;275;277;279;277;277;277;277;275;272;279;277;272;272;275;279;277;279;279;275;275;277;279;277;272;277;277;275;275;272;275;268;268;</t>
  </si>
  <si>
    <t>88;165;232;313;410;495;563;610;643;660;669;677;682;690;694;682;677;673;660;652;652;648;639;626;622;618;614;605;597;597;593;584;580;576;571;571;563;559;554;550;546;542;538;533;525;525;525;521;512;512;512;508;504;499;495;495;491;487;487;482;478;474;470;470;470;465;461;461;457;449;449;449;444;444;444;436;432;436;440;432;427;432;427;427;427;423;419;419;419;415;415;415;406;398;406;410;406;402;402;402;398;398;398;393;393;393;398;398;393;393;393;385;389;393;393;389;385;385;381;377;377;377;377;372;372;</t>
  </si>
  <si>
    <t>4;18;56;108;157;200;236;266;277;281;281;281;277;281;286;281;286;286;284;281;281;284;281;281;284;279;279;279;279;281;279;279;279;277;277;279;281;279;277;279;277;277;277;275;272;275;279;277;277;277;277;277;275;279;281;275;277;277;281;281;277;279;277;275;279;279;277;275;275;277;275;277;277;277;277;277;279;277;275;286;281;272;275;277;279;275;277;277;275;275;277;277;275;275;277;275;275;272;275;277;275;277;279;275;275;277;277;272;275;275;275;277;279;279;272;272;281;281;275;275;272;275;275;277;277;</t>
  </si>
  <si>
    <t>67;135;203;283;377;461;529;580;610;631;643;652;656;652;648;643;635;631;622;610;601;593;588;580;576;576;563;559;554;546;542;538;533;529;525;525;525;521;512;504;512;512;508;499;495;499;504;499;491;487;491;491;487;482;482;482;478;478;482;478;474;470;465;461;461;465;461;457;457;453;453;453;449;444;449;444;444;444;440;436;436;436;432;427;432;427;427;427;423;423;419;410;415;415;415;419;415;406;406;406;406;415;410;406;406;410;410;402;402;402;402;398;402;402;393;393;398;398;393;389;389;393;389;393;393;</t>
  </si>
  <si>
    <t>2;18;49;96;155;207;241;266;279;277;275;277;284;284;281;279;279;284;284;286;286;281;281;284;284;281;281;284;279;275;277;279;279;281;281;281;277;279;277;275;277;277;281;281;277;277;277;277;279;281;279;277;279;277;275;277;284;281;275;279;279;277;277;277;279;275;275;279;277;275;277;277;277;272;277;277;275;277;277;279;277;275;277;272;275;277;272;275;277;281;281;272;275;279;279;277;275;284;281;275;275;275;277;275;277;277;277;279;275;275;275;277;277;275;275;277;277;277;275;281;275;268;266;272;272;</t>
  </si>
  <si>
    <t>72;139;207;296;385;470;538;588;622;635;643;652;656;660;656;648;643;639;635;626;618;610;605;601;593;580;576;576;567;559;554;554;546;542;538;538;533;529;529;516;516;521;512;508;508;508;508;508;508;504;499;495;487;482;478;478;478;474;474;474;474;474;470;465;465;461;457;453;449;449;440;444;453;444;432;436;440;436;432;436;436;432;432;427;427;427;423;419;419;419;419;419;419;415;410;410;410;410;406;402;406;402;402;398;402;406;398;398;393;393;389;389;393;393;389;389;389;385;389;389;385;385;381;385;385;</t>
  </si>
  <si>
    <t>4;15;49;103;160;202;234;259;277;277;279;281;284;281;277;279;284;284;281;281;286;284;284;284;284;284;281;281;281;277;277;279;279;279;279;277;275;279;279;277;279;279;281;279;277;281;277;275;277;277;279;279;279;279;275;277;279;277;275;275;281;277;275;277;275;277;279;279;279;275;279;281;277;275;272;275;277;275;279;277;272;272;279;279;275;275;275;281;279;275;275;275;277;277;272;272;277;284;279;275;277;275;275;277;275;275;270;277;284;275;275;277;277;275;270;275;275;275;277;277;277;275;279;279;279;</t>
  </si>
  <si>
    <t>72;144;211;288;377;470;538;584;618;643;652;656;660;660;656;648;643;635;631;626;618;610;597;588;584;584;571;563;554;546;542;538;546;542;538;538;529;525;521;516;521;516;516;512;508;499;499;504;495;495;495;491;491;495;491;487;487;487;482;478;482;482;474;474;470;470;470;461;461;461;457;457;453;457;453;444;444;449;449;449;440;432;436;436;440;436;432;432;427;427;427;423;423;423;423;423;419;419;419;419;419;415;410;410;406;406;406;402;402;406;406;398;398;402;393;385;389;398;393;385;377;381;389;389;389;</t>
  </si>
  <si>
    <t>2;15;51;108;162;212;243;261;272;281;281;279;281;279;281;281;284;286;281;286;286;284;284;281;281;277;277;284;279;266;270;284;284;279;279;279;277;279;279;279;277;279;281;281;281;277;277;277;275;277;279;279;279;277;279;277;277;279;277;279;277;275;277;277;279;277;275;277;277;277;275;275;279;277;277;277;277;277;277;281;279;275;277;277;275;275;277;281;277;275;277;279;277;277;277;275;275;277;277;277;277;279;277;275;275;275;277;277;277;277;275;275;277;275;275;275;277;279;272;275;275;275;272;275;275;</t>
  </si>
  <si>
    <t>84;152;207;283;381;465;533;580;610;626;639;643;648;648;643;639;635;626;622;618;610;601;593;584;580;580;576;559;554;550;554;550;542;538;533;529;525;516;512;512;516;512;508;508;504;504;495;487;482;482;482;482;478;474;470;465;465;461;453;457;453;457;457;449;444;449;440;436;444;444;436;436;436;432;427;427;427;427;423;419;419;415;415;410;410;410;406;415;415;402;402;402;393;393;398;398;393;398;398;393;389;389;393;385;381;385;381;377;381;385;381;377;377;377;377;377;372;377;377;372;372;368;372;372;372;</t>
  </si>
  <si>
    <t>4;20;58;117;164;205;241;263;275;279;281;284;284;281;281;281;284;281;281;284;281;281;284;281;279;281;281;279;279;279;277;277;277;279;272;272;281;279;279;277;277;279;275;277;281;277;275;275;277;275;275;279;279;275;275;277;277;275;275;279;272;275;279;277;277;275;279;277;275;277;284;281;272;275;275;277;277;277;275;275;277;281;279;275;279;277;275;272;277;275;277;281;277;277;277;277;279;275;277;277;275;277;275;279;279;272;272;275;277;281;279;277;275;275;275;275;277;277;277;275;275;279;275;286;286;</t>
  </si>
  <si>
    <t>67;135;203;283;368;453;516;563;593;614;626;626;626;622;610;605;605;601;593;588;584;580;576;567;554;546;546;546;538;529;525;525;525;521;508;504;508;508;504;504;504;499;495;504;499;487;487;487;482;478;478;478;474;470;470;470;465;470;465;461;453;453;461;457;457;449;449;449;444;440;444;436;432;436;440;440;432;427;427;423;423;423;419;427;427;423;419;415;415;410;410;415;415;410;406;402;402;402;398;398;398;398;398;398;393;389;389;389;389;389;385;385;385;385;385;377;381;385;381;385;385;381;372;389;389;</t>
  </si>
  <si>
    <t>4;18;56;112;155;198;239;263;275;279;286;284;288;288;286;284;279;284;281;281;286;281;281;279;281;284;281;281;281;277;279;279;279;277;275;279;279;277;275;275;279;277;277;279;277;277;277;277;277;275;279;279;279;277;279;279;275;277;279;277;277;281;281;275;275;275;277;279;277;277;275;268;275;279;275;272;272;277;277;277;279;275;277;279;281;279;275;275;277;275;277;277;275;275;277;277;275;277;279;277;277;275;277;277;275;275;275;277;275;277;281;277;275;277;277;279;277;277;277;275;281;279;286;275;275;</t>
  </si>
  <si>
    <t>55;118;194;283;368;449;521;576;614;631;643;648;639;631;626;626;618;605;597;588;580;571;567;563;554;550;546;542;538;538;533;529;521;525;521;516;508;504;504;499;495;495;495;495;491;491;487;487;487;487;478;478;478;478;478;474;470;465;470;474;465;457;457;457;457;457;457;453;449;449;449;444;440;440;432;436;436;436;436;432;432;436;436;432;432;432;427;423;419;419;423;427;423;419;419;415;410;410;415;410;410;410;410;406;402;402;402;398;398;402;402;398;393;393;398;393;385;385;389;389;398;393;419;385;385;</t>
  </si>
  <si>
    <t>0;9;40;92;148;200;239;261;270;277;275;272;279;284;286;281;284;288;284;288;284;281;286;284;284;275;275;284;281;277;275;284;286;281;281;279;277;277;279;281;277;275;279;279;279;279;281;279;277;284;284;279;277;277;279;277;275;279;279;277;277;277;275;275;279;279;277;279;281;279;275;275;277;279;279;275;277;279;277;277;277;277;277;277;279;275;277;284;279;275;277;277;272;272;279;277;275;279;281;279;275;275;275;272;272;277;279;277;277;277;272;275;277;275;272;275;277;279;277;279;277;272;272;272;272;</t>
  </si>
  <si>
    <t>80;169;241;317;410;495;563;610;643;660;682;690;694;694;694;690;686;677;673;660;652;643;639;631;622;610;597;593;593;584;580;580;576;571;559;554;554;546;542;542;533;525;529;529;525;516;512;508;499;499;499;495;487;487;487;478;474;474;474;470;465;461;457;449;453;461;444;440;444;444;449;444;444;440;432;436;432;432;423;423;427;423;419;415;415;410;410;410;410;406;398;402;402;398;393;389;393;393;389;393;385;381;385;385;385;385;381;377;377;377;377;372;368;372;368;368;368;368;368;368;364;368;368;364;364;</t>
  </si>
  <si>
    <t>4;13;47;101;155;198;230;259;275;284;290;288;284;281;284;286;281;284;286;284;270;270;286;284;284;284;281;281;279;279;277;279;281;277;281;279;275;279;277;275;277;277;277;275;277;275;275;281;281;277;275;279;284;279;277;281;279;275;277;277;275;275;277;277;277;277;279;279;277;277;279;279;279;277;281;277;272;277;275;272;272;277;279;275;275;279;275;279;281;281;279;272;275;275;277;275;277;279;272;272;279;277;277;279;277;272;272;281;279;277;279;281;275;270;275;277;277;277;275;275;277;277;279;277;277;</t>
  </si>
  <si>
    <t>67;135;203;288;381;457;529;580;618;643;652;660;652;643;643;639;631;622;618;614;601;593;588;584;580;567;559;559;550;546;542;533;529;529;529;525;516;512;516;508;504;499;499;499;499;495;491;491;487;487;491;487;478;474;470;465;474;470;465;465;465;465;461;461;461;457;453;453;449;453;449;444;440;440;436;440;440;432;432;427;423;423;427;427;427;423;419;423;419;419;419;410;419;415;410;410;402;402;402;406;406;406;406;402;402;402;402;406;406;393;393;393;389;385;385;385;389;385;385;385;381;385;385;385;385;</t>
  </si>
  <si>
    <t>2;11;49;101;151;200;234;259;272;272;279;279;281;286;281;281;281;286;288;279;286;288;284;284;281;284;281;281;288;293;286;272;277;277;272;279;279;279;279;277;277;277;279;281;279;279;279;281;279;277;279;277;277;277;272;275;277;279;279;277;279;281;279;275;272;277;275;277;279;277;279;277;279;277;270;275;279;279;279;275;275;272;275;277;275;277;275;275;275;275;279;279;275;275;277;279;277;277;279;275;272;272;279;279;275;277;275;275;277;279;277;272;279;279;275;275;277;277;275;277;279;279;279;270;270;</t>
  </si>
  <si>
    <t>76;144;211;296;385;465;533;588;618;639;652;656;660;665;660;652;648;639;635;626;614;605;597;588;584;580;571;563;559;559;550;538;533;533;529;525;521;525;521;521;516;516;512;508;512;504;495;495;491;491;487;482;482;482;482;474;470;470;470;465;465;461;461;461;453;453;453;457;453;444;449;440;440;440;436;436;436;432;419;415;427;423;419;415;410;406;410;410;415;415;406;410;410;410;402;406;410;402;402;393;389;402;406;393;393;393;393;389;389;393;393;389;389;385;389;393;385;381;381;377;377;377;381;372;372;</t>
  </si>
  <si>
    <t>2;11;47;103;155;198;239;263;272;277;279;279;279;281;284;281;281;288;288;286;284;284;286;281;281;281;281;279;281;281;275;279;281;281;279;277;277;279;279;279;275;275;279;275;277;275;279;281;279;277;277;277;277;275;277;279;275;277;277;277;277;277;277;275;275;279;279;277;277;277;275;275;275;277;279;275;277;275;275;277;279;277;275;277;279;275;281;284;277;277;275;277;277;275;277;277;275;275;275;279;279;277;277;277;277;275;277;277;275;277;277;275;277;279;281;275;272;277;279;277;277;279;277;279;279;</t>
  </si>
  <si>
    <t>72;139;207;283;372;461;529;580;618;635;648;652;656;652;648;643;643;639;631;618;614;605;597;584;576;576;567;559;559;554;546;542;538;533;529;529;529;521;521;521;512;504;499;504;504;499;495;495;495;491;487;487;478;474;478;478;478;474;474;474;470;465;465;461;457;457;453;453;453;453;453;449;444;444;444;440;440;432;436;440;440;440;436;440;432;427;427;423;427;423;419;419;419;415;415;415;410;410;410;415;415;415;410;406;406;406;406;406;402;402;402;398;398;393;393;398;398;398;389;389;393;389;398;385;385;</t>
  </si>
  <si>
    <t>2;9;47;110;164;207;234;252;268;272;275;277;277;281;281;281;286;286;290;288;286;288;284;288;286;277;279;279;284;286;279;275;275;279;279;281;281;277;279;281;279;277;277;279;277;277;281;277;279;279;279;279;275;277;281;279;275;277;279;279;279;279;277;275;275;277;275;275;279;279;279;277;275;277;279;281;279;277;277;279;275;275;277;279;275;272;275;275;277;275;277;279;275;277;279;279;277;275;277;277;275;272;277;279;281;279;275;275;275;277;277;275;277;279;279;277;275;275;275;275;279;277;279;277;277;</t>
  </si>
  <si>
    <t>72;139;207;288;377;449;516;571;605;626;643;660;665;665;669;665;652;648;639;635;626;614;605;601;593;584;576;571;567;559;554;550;546;546;546;538;533;529;529;525;521;516;512;512;508;504;504;499;499;499;491;487;487;482;487;478;470;470;465;465;461;461;461;453;449;453;449;444;440;444;444;436;432;432;436;436;432;427;427;427;427;423;419;415;415;419;415;419;415;406;406;410;406;410;410;410;410;398;398;398;398;402;402;393;389;389;389;389;389;389;389;385;385;385;385;389;385;377;381;381;381;381;385;377;377;</t>
  </si>
  <si>
    <t>4;15;51;112;164;202;236;259;272;275;275;279;279;284;286;286;286;284;286;286;281;281;281;279;281;281;284;279;279;286;281;277;275;279;279;277;277;277;279;277;277;279;277;277;281;281;277;277;279;277;277;277;277;279;277;277;277;275;279;281;277;275;277;281;281;275;277;275;277;277;277;277;275;277;279;277;275;275;277;277;275;277;275;275;277;279;281;279;277;281;277;275;275;279;277;275;277;272;275;277;279;277;272;279;281;277;277;275;279;277;275;277;275;275;275;275;275;277;277;277;272;275;270;284;284;</t>
  </si>
  <si>
    <t>67;139;199;279;372;453;521;571;601;622;635;643;648;648;643;635;626;622;610;605;593;584;580;571;567;563;554;554;546;542;538;533;529;529;525;521;512;512;508;504;508;504;499;499;504;499;495;495;491;487;482;478;474;482;478;478;478;474;474;474;470;470;465;465;465;461;457;457;453;453;449;449;449;444;444;444;440;436;436;436;427;423;432;432;432;432;427;427;427;423;423;419;415;415;415;415;410;410;415;415;410;410;410;406;406;402;402;402;402;402;398;398;398;393;393;393;393;393;389;393;389;385;385;393;393;</t>
  </si>
  <si>
    <t>2;13;54;110;151;191;234;259;272;281;286;288;288;290;290;286;284;281;288;286;281;281;281;281;279;281;281;277;281;284;275;272;279;281;281;277;279;279;277;279;279;277;275;279;279;275;272;275;277;277;275;277;277;277;275;275;277;272;277;277;275;275;275;281;279;277;279;281;279;277;275;275;272;279;279;275;277;279;279;277;275;277;277;277;279;275;277;275;277;277;275;277;279;277;277;277;277;277;277;279;277;275;275;279;277;275;275;275;275;275;277;277;275;277;279;277;275;277;275;272;277;279;277;279;279;</t>
  </si>
  <si>
    <t>72;135;199;275;368;457;529;580;618;643;656;656;652;643;635;631;618;605;601;593;588;580;571;567;559;559;554;546;538;529;529;525;516;516;521;512;508;504;504;499;495;495;495;491;495;491;482;478;478;482;482;482;482;478;474;474;470;470;465;470;470;470;465;470;465;461;461;457;449;449;453;453;444;440;440;440;436;440;440;436;432;432;427;427;432;432;427;423;423;423;419;423;419;419;423;419;415;415;415;415;410;406;402;402;398;402;402;402;402;398;393;393;398;398;398;402;398;389;389;389;385;389;381;393;393;</t>
  </si>
  <si>
    <t>20;49;90;146;198;230;248;259;261;259;257;263;261;266;270;272;272;272;275;277;275;279;279;279;279;277;284;281;277;279;279;281;279;279;281;279;279;281;279;277;275;281;279;277;277;277;277;279;281;279;277;277;279;279;279;279;281;279;277;279;277;279;275;279;281;275;277;281;279;277;277;279;277;277;279;277;277;277;275;272;275;279;277;275;277;277;277;277;275;275;277;277;277;277;275;275;277;277;275;275;277;277;277;277;281;279;272;275;277;277;275;279;275;272;277;277;279;275;277;279;272;275;270;279;279;</t>
  </si>
  <si>
    <t>59;97;139;194;258;321;368;402;432;457;478;495;512;525;542;550;559;563;559;559;559;563;563;559;554;550;550;550;546;542;538;533;533;529;516;512;512;512;504;504;504;495;495;491;487;491;491;482;482;478;474;465;461;461;457;453;453;449;449;444;440;440;436;432;432;427;427;427;423;423;419;415;410;410;410;410;410;402;398;398;402;398;393;389;389;389;389;389;385;381;385;381;377;377;372;372;377;381;372;368;372;377;372;368;364;364;360;360;364;355;355;360;355;351;351;351;351;347;347;347;343;330;347;317;317;</t>
  </si>
  <si>
    <t>24;56;103;160;202;236;250;257;261;261;266;263;261;263;263;270;272;275;275;275;277;277;277;279;281;279;277;279;281;281;281;279;277;275;272;279;279;277;279;279;279;277;279;279;275;277;279;281;281;275;279;279;277;281;279;277;277;281;284;277;277;277;277;277;277;281;279;277;279;275;275;277;277;277;275;277;279;277;272;275;279;277;277;279;277;277;275;279;275;272;279;277;277;277;277;279;279;277;279;277;275;275;277;275;270;277;279;277;277;275;275;277;279;281;277;272;275;277;275;275;279;277;284;272;272;</t>
  </si>
  <si>
    <t>55;93;131;177;232;292;343;377;410;436;453;470;482;499;512;521;533;533;533;542;538;538;533;533;529;525;516;516;516;516;508;504;504;499;495;495;491;487;487;491;487;482;482;478;474;474;470;461;461;465;461;457;453;453;453;453;453;444;440;440;436;440;436;432;427;427;427;423;419;419;415;415;410;410;410;406;406;406;402;398;398;398;393;393;393;389;389;389;385;381;389;389;381;381;372;377;377;377;372;368;368;368;364;364;368;364;364;368;364;360;360;360;364;364;364;355;355;360;355;355;351;347;334;351;351;</t>
  </si>
  <si>
    <t>0;6;29;81;142;198;236;252;268;272;275;279;281;286;284;286;290;288;288;286;286;286;281;286;284;281;281;281;281;281;284;281;279;281;279;277;272;277;284;281;277;279;281;281;277;279;281;277;279;279;279;279;279;281;277;279;281;277;277;277;279;279;277;279;279;279;277;279;277;277;277;277;279;277;275;279;277;275;277;279;277;275;277;279;279;279;279;275;272;272;279;279;275;277;277;279;277;277;279;277;279;277;277;277;281;279;272;275;279;277;277;277;279;277;275;275;277;277;279;277;277;275;277;272;272;</t>
  </si>
  <si>
    <t>84;173;254;334;427;516;588;643;682;703;715;728;737;737;732;720;711;703;690;682;669;660;652;639;635;622;614;614;610;601;597;593;588;588;576;563;559;554;567;559;546;546;538;529;529;529;525;516;516;508;508;504;499;499;491;487;482;478;474;470;474;474;470;465;465;461;457;453;449;449;444;449;449;436;436;436;436;432;427;427;427;423;423;423;419;415;410;415;406;402;410;415;415;402;398;398;398;402;402;398;398;398;393;393;389;385;385;377;377;385;385;385;385;385;381;377;377;377;368;368;377;372;381;372;372;</t>
  </si>
  <si>
    <t>2;11;42;96;148;196;230;257;270;275;284;286;286;288;288;288;284;286;290;284;284;286;281;281;281;284;281;277;279;281;281;277;277;277;277;279;279;279;275;272;279;279;275;275;277;279;277;279;279;277;279;284;281;277;272;277;279;277;277;275;272;272;279;277;272;277;279;279;277;277;277;275;275;272;270;275;277;279;279;275;277;277;277;277;275;277;277;277;281;277;275;277;279;279;275;275;277;275;279;281;272;270;277;284;279;277;277;277;275;275;279;277;275;275;275;275;275;277;277;272;277;277;284;272;272;</t>
  </si>
  <si>
    <t>76;139;203;288;381;478;554;605;643;669;682;698;690;677;669;656;648;635;635;635;622;610;605;597;584;576;576;567;559;554;550;550;546;542;538;533;533;529;525;521;516;512;516;512;516;516;508;512;508;508;504;491;491;491;487;482;482;478;482;478;474;470;470;470;465;461;465;465;461;461;461;457;453;453;449;444;453;449;440;444;436;440;440;436;436;432;432;432;432;432;427;423;427;423;419;423;419;419;419;415;410;419;419;415;406;406;410;410;402;402;410;402;402;398;398;398;398;393;393;385;393;398;415;393;393;</t>
  </si>
  <si>
    <t>2;11;40;87;144;193;234;259;270;281;286;281;288;288;288;288;286;288;284;281;288;288;288;284;284;286;281;281;284;281;277;277;281;279;277;279;277;277;279;279;279;275;279;277;277;279;279;279;277;279;279;277;277;279;277;275;275;279;279;277;277;279;279;275;275;277;275;277;281;279;277;275;277;277;277;277;272;275;277;277;277;275;279;279;279;279;277;281;277;277;277;275;277;277;281;277;272;277;277;277;275;275;277;272;277;277;277;279;277;279;272;270;277;275;275;277;277;279;275;275;277;277;279;275;275;</t>
  </si>
  <si>
    <t>76;148;220;305;406;495;567;622;660;682;694;694;694;690;686;682;669;660;652;643;635;626;618;614;601;593;584;584;584;571;563;559;550;550;546;538;538;533;533;533;525;525;525;521;516;512;508;508;504;499;499;495;495;491;491;491;482;478;478;478;474;465;465;465;465;465;457;457;457;453;453;449;440;444;444;436;436;436;432;432;432;436;427;423;436;436;432;427;423;419;419;419;415;415;410;406;406;406;406;402;402;398;402;406;402;402;398;402;398;393;393;389;389;389;389;389;385;385;381;381;385;381;385;385;385;</t>
  </si>
  <si>
    <t>2;11;47;96;148;198;234;252;261;275;279;281;286;288;286;286;286;286;286;288;288;284;284;281;284;284;281;284;279;275;277;281;281;277;275;279;279;277;277;279;279;277;279;277;281;281;279;279;277;277;279;277;277;277;279;277;277;279;277;275;272;277;279;277;279;279;277;277;277;277;277;279;281;277;270;275;277;277;272;275;277;279;279;279;279;275;277;281;279;272;275;277;272;270;279;277;277;277;277;277;275;275;277;270;272;279;281;279;275;275;275;272;279;277;275;272;275;279;272;272;279;279;284;275;275;</t>
  </si>
  <si>
    <t>93;144;216;292;389;478;546;597;639;669;682;690;690;686;677;677;669;660;648;639;635;618;610;605;593;584;580;571;567;563;559;554;550;550;542;538;538;533;533;538;533;525;516;516;516;512;512;516;512;504;499;499;495;491;491;491;487;487;482;482;478;478;478;474;478;474;470;465;465;461;457;453;453;453;440;440;444;440;444;440;436;436;436;436;432;427;432;432;427;415;419;423;423;423;423;419;415;419;415;419;423;419;410;406;410;415;410;406;402;393;398;398;393;393;398;406;406;398;398;402;402;393;402;385;385;</t>
  </si>
  <si>
    <t>Prog =  48</t>
  </si>
  <si>
    <t>117;209;295;390;444;496;545;559;577;584;588;588;584;586;581;586;584;575;579;572;575;575;577;572;572;</t>
  </si>
  <si>
    <t>105;228;343;449;554;652;720;766;792;809;804;800;787;771;754;737;720;707;690;677;669;656;660;652;652;</t>
  </si>
  <si>
    <t>108;193;284;381;435;487;552;570;577;590;588;588;590;586;584;577;579;577;575;577;575;577;561;584;584;</t>
  </si>
  <si>
    <t>110;228;355;474;584;677;741;792;821;830;826;817;804;783;766;749;728;715;703;690;677;665;660;656;656;</t>
  </si>
  <si>
    <t>101;180;275;374;426;487;545;566;579;590;595;586;590;584;584;586;579;584;577;577;579;572;588;563;563;</t>
  </si>
  <si>
    <t>105;241;368;482;593;690;762;813;847;851;851;843;826;817;796;771;754;737;724;711;694;682;682;677;677;</t>
  </si>
  <si>
    <t>74;144;243;358;428;498;552;570;581;586;593;590;590;595;588;584;581;584;581;575;579;575;588;561;561;</t>
  </si>
  <si>
    <t>127;279;419;542;652;749;821;876;910;915;906;898;876;859;843;817;796;775;754;737;724;711;715;698;698;</t>
  </si>
  <si>
    <t>Prog =   5</t>
  </si>
  <si>
    <t>117;207;306;424;489;541;593;606;613;615;608;595;584;579;575;572;570;568;572;570;568;570;568;577;577;</t>
  </si>
  <si>
    <t>110;228;334;427;512;571;610;618;601;584;563;538;516;495;474;453;444;436;423;419;410;398;398;393;393;</t>
  </si>
  <si>
    <t>110;202;308;424;484;539;595;611;620;613;606;597;584;581;575;570;570;568;572;566;563;566;568;572;572;</t>
  </si>
  <si>
    <t>110;237;343;432;508;567;605;614;610;593;567;538;508;482;465;453;436;427;423;410;398;393;406;393;393;</t>
  </si>
  <si>
    <t>115;207;306;417;478;534;595;617;627;617;606;597;584;577;575;575;575;563;566;568;570;570;577;577;577;</t>
  </si>
  <si>
    <t>114;232;334;427;508;571;618;626;618;597;563;533;508;482;465;449;436;432;419;415;402;393;398;393;393;</t>
  </si>
  <si>
    <t>110;200;304;414;478;530;577;604;620;617;611;602;593;588;577;575;572;570;570;566;570;568;579;568;568;</t>
  </si>
  <si>
    <t>114;232;343;440;533;601;648;660;652;631;601;576;550;525;499;487;474;457;444;432;419;410;419;410;410;</t>
  </si>
  <si>
    <t>Prog =   6</t>
  </si>
  <si>
    <t>135;230;324;437;507;557;611;633;656;658;651;656;647;642;636;633;633;624;624;624;620;624;622;636;636;</t>
  </si>
  <si>
    <t>118;258;389;499;605;698;766;804;813;809;792;766;741;711;686;669;648;631;614;601;588;576;580;571;571;</t>
  </si>
  <si>
    <t>126;221;327;437;493;550;617;647;656;663;658;651;649;642;642;636;629;627;622;629;627;617;624;613;613;</t>
  </si>
  <si>
    <t>122;266;398;512;614;703;771;809;821;813;796;771;749;720;690;669;643;626;610;597;588;576;580;571;571;</t>
  </si>
  <si>
    <t>133;225;329;444;502;552;602;631;656;660;663;660;649;647;638;633;631;627;631;627;620;624;624;629;629;</t>
  </si>
  <si>
    <t>122;258;389;504;610;703;775;813;830;826;804;775;749;715;690;673;648;631;618;605;588;576;580;567;567;</t>
  </si>
  <si>
    <t>121;218;324;430;475;527;606;640;651;669;669;663;658;647;642;633;631;633;624;629;629;624;627;620;620;</t>
  </si>
  <si>
    <t>127;266;393;512;622;720;787;834;851;843;826;796;766;737;703;677;652;635;622;605;593;576;593;563;563;</t>
  </si>
  <si>
    <t>Prog =   7</t>
  </si>
  <si>
    <t>187;313;435;557;622;710;791;818;820;814;820;809;802;796;789;789;782;784;780;773;780;778;789;766;766;</t>
  </si>
  <si>
    <t>156;326;487;635;766;872;944;978;982;970;948;919;889;855;830;804;787;771;749;732;720;715;720;707;707;</t>
  </si>
  <si>
    <t>182;311;435;557;617;696;784;816;820;823;818;800;805;798;793;789;784;791;782;778;778;771;784;757;757;</t>
  </si>
  <si>
    <t>160;330;495;639;766;881;948;982;999;995;965;931;898;872;843;817;796;775;762;745;732;715;728;694;694;</t>
  </si>
  <si>
    <t>182;311;428;552;624;690;773;805;820;827;818;818;811;805;796;787;791;784;784;780;775;782;766;789;789;</t>
  </si>
  <si>
    <t>152;330;495;643;779;893;974;1016;1029;1020;999;965;940;902;868;843;821;800;779;762;754;745;749;737;737;</t>
  </si>
  <si>
    <t>162;279;399;541;629;699;773;798;820;823;816;818;809;809;802;798;796;784;787;787;782;782;775;793;793;</t>
  </si>
  <si>
    <t>165;355;529;677;817;936;1016;1067;1084;1076;1054;1025;987;953;923;893;859;834;826;804;787;775;779;758;758;</t>
  </si>
  <si>
    <t>232;372;475;575;629;703;780;805;807;802;802;793;798;796;791;791;780;789;784;780;784;778;798;764;764;</t>
  </si>
  <si>
    <t>118;266;423;567;690;783;855;902;919;915;902;885;859;838;813;783;771;758;737;715;707;698;703;690;690;</t>
  </si>
  <si>
    <t>223;360;469;572;631;708;778;802;807;802;809;805;802;796;787;789;782;787;787;780;782;775;791;760;760;</t>
  </si>
  <si>
    <t>131;283;436;580;707;804;872;910;927;923;902;885;859;834;813;783;762;749;732;715;703;686;690;686;686;</t>
  </si>
  <si>
    <t>236;374;471;572;633;710;778;802;814;805;805;800;798;796;782;789;787;787;784;775;782;775;796;755;755;</t>
  </si>
  <si>
    <t>127;275;432;576;698;796;872;910;923;919;902;885;859;843;817;792;775;758;737;715;698;690;694;682;682;</t>
  </si>
  <si>
    <t>223;367;473;577;638;717;782;796;807;807;811;805;802;800;787;789;784;780;782;780;787;780;791;769;769;</t>
  </si>
  <si>
    <t>131;288;444;584;707;804;872;910;923;919;910;885;855;830;809;783;762;737;720;707;694;682;682;677;677;</t>
  </si>
  <si>
    <t>230;367;473;572;622;692;787;816;809;811;807;798;798;789;791;787;780;789;782;782;782;778;784;771;771;</t>
  </si>
  <si>
    <t>118;271;432;580;703;796;864;906;923;919;898;872;851;834;813;787;766;749;732;711;698;690;703;673;673;</t>
  </si>
  <si>
    <t>227;372;480;579;627;692;780;805;798;805;807;798;800;791;793;789;780;787;782;784;778;775;784;773;773;</t>
  </si>
  <si>
    <t>127;275;427;563;690;783;847;893;902;898;893;876;855;830;804;783;766;745;724;711;698;690;686;682;682;</t>
  </si>
  <si>
    <t>230;374;478;572;615;687;771;807;814;811;809;798;802;798;793;789;784;787;780;782;784;778;791;766;766;</t>
  </si>
  <si>
    <t>118;271;432;571;698;800;868;910;923;919;906;885;859;838;809;783;771;754;737;720;707;690;698;690;690;</t>
  </si>
  <si>
    <t>239;381;478;584;647;705;775;793;802;807;800;809;802;791;787;780;784;778;780;780;773;780;757;793;793;</t>
  </si>
  <si>
    <t>118;262;423;559;686;783;851;889;902;902;885;864;843;813;792;783;762;741;720;703;694;686;694;677;677;</t>
  </si>
  <si>
    <t>225;363;469;568;629;705;773;802;814;809;816;805;802;798;784;787;784;787;784;773;780;784;800;769;769;</t>
  </si>
  <si>
    <t>127;279;436;580;711;817;885;919;931;931;915;893;868;838;813;792;775;749;737;724;707;694;698;690;690;</t>
  </si>
  <si>
    <t>218;369;484;579;622;687;780;802;805;814;807;805;805;793;793;784;787;787;778;782;778;782;766;791;791;</t>
  </si>
  <si>
    <t>122;279;436;571;698;800;864;906;927;927;910;881;859;830;809;783;762;754;732;711;703;690;698;677;677;</t>
  </si>
  <si>
    <t>223;363;464;572;633;696;775;798;811;816;802;807;798;793;793;780;784;789;789;782;775;784;766;800;800;</t>
  </si>
  <si>
    <t>131;279;440;584;711;817;889;936;944;940;931;906;885;855;830;813;783;766;754;737;715;707;703;694;694;</t>
  </si>
  <si>
    <t>214;345;455;570;633;699;757;782;809;811;811;809;802;805;793;791;789;782;791;784;780;778;782;787;787;</t>
  </si>
  <si>
    <t>135;296;461;605;741;847;927;978;999;991;965;944;919;893;864;834;813;787;766;754;741;724;732;711;711;</t>
  </si>
  <si>
    <t>209;354;466;568;615;685;775;802;811;818;811;807;807;793;796;791;784;789;780;780;775;775;784;782;782;</t>
  </si>
  <si>
    <t>131;288;444;584;707;809;885;931;953;944;927;902;876;855;826;800;775;754;741;720;711;698;707;686;686;</t>
  </si>
  <si>
    <t>221;358;457;568;636;712;782;798;814;809;805;805;793;796;787;789;789;780;787;782;782;778;789;787;787;</t>
  </si>
  <si>
    <t>118;283;444;584;711;813;881;915;936;936;915;889;868;843;817;796;775;758;741;732;715;703;703;703;703;</t>
  </si>
  <si>
    <t>216;351;469;575;622;701;773;798;811;809;814;807;805;800;796;796;784;787;784;778;784;780;796;760;760;</t>
  </si>
  <si>
    <t>135;292;453;593;720;821;893;936;948;948;940;915;881;851;826;796;775;762;749;728;711;698;703;698;698;</t>
  </si>
  <si>
    <t>236;376;466;572;640;705;773;791;809;814;805;800;793;798;793;787;791;780;782;782;782;782;784;787;787;</t>
  </si>
  <si>
    <t>122;275;436;580;711;813;885;923;940;940;927;898;876;855;830;804;783;766;754;741;724;707;711;698;698;</t>
  </si>
  <si>
    <t>212;347;471;577;622;692;775;807;809;814;814;805;805;796;791;789;784;791;784;780;784;778;805;757;757;</t>
  </si>
  <si>
    <t>144;300;457;597;720;826;902;944;961;957;940;915;885;859;834;813;787;771;754;732;720;707;715;698;698;</t>
  </si>
  <si>
    <t>239;378;473;579;642;710;775;787;802;802;798;800;791;789;787;791;789;778;784;784;780;780;782;791;791;</t>
  </si>
  <si>
    <t>118;266;423;571;698;792;855;898;919;915;898;885;868;843;826;804;783;771;754;741;728;715;724;703;703;</t>
  </si>
  <si>
    <t>218;358;464;577;647;708;766;784;805;809;809;809;800;805;796;787;789;782;784;782;780;778;782;787;787;</t>
  </si>
  <si>
    <t>131;292;449;593;728;830;898;944;961;961;953;923;893;868;847;821;800;779;758;749;732;720;720;711;711;</t>
  </si>
  <si>
    <t>225;365;466;568;624;685;773;796;796;809;805;802;798;793;798;787;787;787;780;782;775;778;764;789;789;</t>
  </si>
  <si>
    <t>127;275;440;584;711;817;893;944;965;974;961;931;910;893;868;838;817;800;779;762;758;741;758;732;732;</t>
  </si>
  <si>
    <t>169;281;376;473;527;563;597;615;633;636;638;642;638;640;636;633;631;627;629;622;620;622;627;629;629;</t>
  </si>
  <si>
    <t>97;220;343;444;542;626;686;728;754;758;745;741;728;703;682;665;643;631;618;601;588;580;584;576;576;</t>
  </si>
  <si>
    <t>160;277;374;466;514;552;606;627;633;642;638;642;642;638;636;629;633;631;622;622;620;622;613;629;629;</t>
  </si>
  <si>
    <t>97;224;347;449;550;635;690;728;749;754;745;732;715;694;673;656;639;618;605;597;584;571;580;563;563;</t>
  </si>
  <si>
    <t>146;257;365;475;523;552;602;627;636;647;645;645;642;633;640;633;633;631;622;629;622;620;611;627;627;</t>
  </si>
  <si>
    <t>110;249;368;465;559;643;707;745;766;762;758;745;715;694;677;660;639;626;610;593;584;571;576;559;559;</t>
  </si>
  <si>
    <t>157;270;376;478;527;568;604;617;633;636;642;640;636;642;636;633;633;629;627;620;627;627;636;620;620;</t>
  </si>
  <si>
    <t>110;237;351;453;550;635;694;728;745;745;737;724;711;694;673;652;635;618;605;588;576;571;576;567;567;</t>
  </si>
  <si>
    <t>166;277;374;471;518;554;604;622;633;640;638;645;640;636;636;629;633;627;627;629;622;622;615;629;629;</t>
  </si>
  <si>
    <t>105;228;343;444;546;631;694;732;754;758;749;737;720;698;673;656;643;626;614;597;588;576;584;567;567;</t>
  </si>
  <si>
    <t>157;268;376;473;514;557;611;631;636;642;645;638;642;636;633;631;629;633;624;620;620;617;624;604;604;</t>
  </si>
  <si>
    <t>110;237;355;461;550;635;694;737;758;758;749;732;707;686;669;643;631;618;605;588;576;567;580;567;567;</t>
  </si>
  <si>
    <t>171;286;381;473;523;561;597;622;633;633;647;642;640;638;631;638;631;629;631;624;624;622;636;617;617;</t>
  </si>
  <si>
    <t>97;224;338;436;538;622;690;732;749;758;754;749;732;703;682;665;648;631;618;601;588;580;584;571;571;</t>
  </si>
  <si>
    <t>178;304;394;471;505;550;606;624;631;645;642;640;642;633;636;631;631;629;620;624;622;620;613;624;624;</t>
  </si>
  <si>
    <t>88;203;317;419;516;605;669;703;724;724;720;707;690;673;652;635;626;601;588;580;571;563;563;559;559;</t>
  </si>
  <si>
    <t>146;257;367;471;518;561;611;631;638;651;649;640;645;638;636;633;627;627;622;627;627;617;629;604;604;</t>
  </si>
  <si>
    <t>118;241;355;461;559;635;694;732;741;737;728;707;698;677;643;622;605;588;576;563;554;546;550;538;538;</t>
  </si>
  <si>
    <t>173;288;378;466;507;548;604;629;636;647;645;642;642;633;638;633;629;629;624;629;624;622;615;627;627;</t>
  </si>
  <si>
    <t>97;220;338;444;550;635;690;732;758;766;758;737;715;694;677;660;643;622;610;597;584;571;576;571;571;</t>
  </si>
  <si>
    <t>169;281;378;469;518;559;597;627;645;647;649;645;647;645;631;633;631;631;624;624;624;615;624;599;599;</t>
  </si>
  <si>
    <t>97;220;338;440;542;626;694;732;754;749;737;720;698;673;648;626;605;588;567;563;554;538;538;533;533;</t>
  </si>
  <si>
    <t>160;275;376;469;509;552;604;629;640;649;649;645;647;638;636;633;629;629;624;624;627;620;629;611;611;</t>
  </si>
  <si>
    <t>97;228;351;453;550;643;707;745;758;758;745;728;707;682;660;639;618;605;588;571;563;559;563;550;550;</t>
  </si>
  <si>
    <t>160;272;374;471;518;561;599;617;640;645;649;647;638;642;636;633;633;627;629;622;627;624;633;622;622;</t>
  </si>
  <si>
    <t>105;232;355;461;563;648;715;754;766;766;766;749;724;703;686;656;639;626;610;593;580;567;576;567;567;</t>
  </si>
  <si>
    <t>155;268;374;475;521;557;604;615;627;642;642;651;645;640;638;631;633;629;624;624;620;631;615;645;645;</t>
  </si>
  <si>
    <t>110;237;355;461;559;643;711;758;779;779;779;766;741;720;694;673;648;631;618;601;584;576;584;563;563;</t>
  </si>
  <si>
    <t>153;261;374;473;523;557;593;622;633;638;647;642;642;638;631;638;631;636;631;622;624;620;636;611;611;</t>
  </si>
  <si>
    <t>105;232;355;457;554;639;707;745;771;766;762;749;720;703;686;660;639;622;605;593;580;571;554;571;571;</t>
  </si>
  <si>
    <t>148;257;367;471;525;563;597;613;629;633;647;649;645;645;638;638;631;629;631;622;627;629;638;624;624;</t>
  </si>
  <si>
    <t>110;237;360;465;559;648;715;758;779;783;779;766;741;720;694;669;652;635;614;601;588;580;580;576;576;</t>
  </si>
  <si>
    <t>164;284;378;466;511;550;602;622;633;647;645;642;640;633;640;633;633;631;622;627;624;622;613;627;627;</t>
  </si>
  <si>
    <t>93;211;334;440;542;631;694;732;754;754;745;728;707;690;665;648;631;614;601;580;571;563;571;554;554;</t>
  </si>
  <si>
    <t>162;277;374;464;511;557;599;624;640;645;649;642;645;642;636;638;629;629;627;622;624;620;629;608;608;</t>
  </si>
  <si>
    <t>105;228;343;449;550;639;703;745;762;766;758;745;724;698;677;652;631;614;597;588;576;563;567;563;563;</t>
  </si>
  <si>
    <t>162;268;367;469;521;554;604;627;638;642;640;651;649;640;640;633;631;629;624;622;620;627;608;636;636;</t>
  </si>
  <si>
    <t>105;232;355;457;559;643;707;749;762;766;758;737;720;690;665;643;626;605;588;580;571;554;563;550;550;</t>
  </si>
  <si>
    <t>146;254;365;473;523;557;604;624;636;645;645;649;645;638;642;636;633;629;622;627;622;622;613;629;629;</t>
  </si>
  <si>
    <t>114;232;360;470;563;652;711;749;771;771;762;745;720;698;673;656;635;618;605;593;576;567;571;563;563;</t>
  </si>
  <si>
    <t>155;261;365;473;532;568;599;617;638;642;651;647;640;645;638;633;631;627;633;629;622;620;624;629;629;</t>
  </si>
  <si>
    <t>110;245;368;465;563;643;711;758;771;771;762;741;720;694;673;652;631;618;601;588;576;567;567;563;563;</t>
  </si>
  <si>
    <t>151;266;367;471;532;577;608;624;645;645;649;647;638;642;633;633;631;624;627;620;622;622;627;627;627;</t>
  </si>
  <si>
    <t>105;241;360;461;559;635;694;728;737;737;728;707;686;669;643;622;605;588;576;567;554;533;542;542;542;</t>
  </si>
  <si>
    <t>166;284;385;469;505;557;604;624;638;645;649;642;642;636;631;633;624;627;627;622;624;617;638;604;604;</t>
  </si>
  <si>
    <t>97;216;338;440;533;618;686;728;745;745;737;720;694;673;652;635;626;610;593;580;571;559;563;554;554;</t>
  </si>
  <si>
    <t>166;277;376;469;511;550;602;627;638;647;649;645;642;636;640;633;627;631;620;615;620;620;624;620;620;</t>
  </si>
  <si>
    <t>101;224;338;444;542;631;694;732;745;741;732;720;694;673;656;635;618;605;584;571;563;554;554;550;550;</t>
  </si>
  <si>
    <t>146;257;367;475;532;568;599;613;636;642;642;647;642;642;636;636;636;627;627;622;624;624;624;629;629;</t>
  </si>
  <si>
    <t>114;249;372;470;567;648;707;745;762;771;762;745;724;703;686;660;643;626;614;601;584;576;580;571;571;</t>
  </si>
  <si>
    <t>157;266;374;473;518;563;602;624;640;638;649;647;640;642;633;633;629;627;629;624;624;622;629;622;622;</t>
  </si>
  <si>
    <t>110;232;347;453;554;639;703;741;754;754;749;732;707;690;673;652;635;618;597;584;576;567;567;567;567;</t>
  </si>
  <si>
    <t>130;232;338;439;482;525;584;604;602;597;595;593;586;572;575;577;575;577;570;568;566;568;563;572;572;</t>
  </si>
  <si>
    <t>93;203;300;377;453;516;554;567;567;559;533;512;491;470;453;440;432;423;410;398;393;385;393;381;381;</t>
  </si>
  <si>
    <t>135;239;336;435;487;534;588;597;602;602;590;590;584;581;579;572;579;575;570;566;568;572;566;575;575;</t>
  </si>
  <si>
    <t>97;203;300;377;449;512;554;571;567;563;546;521;504;487;470;449;436;427;415;406;398;393;398;389;389;</t>
  </si>
  <si>
    <t>137;243;342;444;498;541;579;597;604;595;593;586;577;579;577;577;570;568;575;570;566;566;566;575;575;</t>
  </si>
  <si>
    <t>93;199;296;377;449;512;550;563;559;546;529;512;491;474;457;449;432;415;410;402;398;389;398;385;385;</t>
  </si>
  <si>
    <t>139;243;345;444;496;543;586;602;602;590;593;586;581;579;575;575;568;568;570;563;566;568;579;561;561;</t>
  </si>
  <si>
    <t>97;199;296;377;444;499;538;550;550;538;521;504;482;461;444;432;427;415;406;402;393;389;393;389;389;</t>
  </si>
  <si>
    <t>137;241;340;439;491;545;588;602;604;595;593;586;581;579;575;577;570;568;566;566;572;568;577;566;566;</t>
  </si>
  <si>
    <t>97;203;305;385;449;508;542;559;554;542;529;512;487;470;453;436;427;423;415;402;393;389;393;389;389;</t>
  </si>
  <si>
    <t>133;239;333;439;507;550;581;590;604;602;590;586;579;579;577;577;579;577;575;570;568;566;566;572;572;</t>
  </si>
  <si>
    <t>97;211;309;389;465;533;563;571;576;559;538;521;499;482;465;453;440;432;419;410;406;393;398;398;398;</t>
  </si>
  <si>
    <t>151;266;345;424;466;516;579;593;599;608;597;590;586;579;577;572;575;572;570;570;570;572;566;572;572;</t>
  </si>
  <si>
    <t>76;177;275;368;461;538;580;605;610;601;580;559;538;512;491;478;465;453;440;432;423;419;423;410;410;</t>
  </si>
  <si>
    <t>166;277;358;444;493;536;572;588;595;588;588;586;581;581;572;575;572;570;572;570;568;566;570;568;568;</t>
  </si>
  <si>
    <t>76;169;266;355;427;487;529;550;554;550;533;512;495;482;470;457;444;432;419;415;406;398;398;398;398;</t>
  </si>
  <si>
    <t>153;257;345;430;473;525;581;604;604;599;599;588;584;581;579;577;568;572;575;570;566;566;577;561;561;</t>
  </si>
  <si>
    <t>80;182;279;372;457;521;563;580;584;571;554;529;504;487;470;453;444;436;419;410;398;389;389;385;385;</t>
  </si>
  <si>
    <t>139;241;336;430;473;523;593;611;604;602;597;593;588;575;575;575;572;572;568;570;572;575;577;586;586;</t>
  </si>
  <si>
    <t>93;194;292;389;474;533;571;588;588;571;550;529;504;482;465;453;436;423;415;406;398;393;393;402;402;</t>
  </si>
  <si>
    <t>139;239;336;430;475;534;588;604;602;597;599;588;584;577;572;575;570;572;570;566;572;570;577;566;566;</t>
  </si>
  <si>
    <t>88;199;305;393;474;538;580;588;588;571;550;533;508;487;470;461;440;432;423;415;410;402;406;389;389;</t>
  </si>
  <si>
    <t>142;250;347;442;491;532;581;599;599;597;588;584;584;575;577;572;570;570;566;570;568;568;566;572;572;</t>
  </si>
  <si>
    <t>93;190;279;364;440;504;546;563;567;554;533;516;499;487;474;461;440;436;436;427;415;410;415;402;402;</t>
  </si>
  <si>
    <t>137;241;338;442;496;539;584;590;593;595;590;590;584;579;579;575;575;568;572;575;570;572;566;579;579;</t>
  </si>
  <si>
    <t>97;199;296;381;457;516;559;580;576;567;554;538;521;504;487;470;457;449;436;427;415;406;398;406;406;</t>
  </si>
  <si>
    <t>142;252;345;437;487;527;579;595;599;599;588;588;588;584;579;568;570;572;572;572;566;563;550;572;572;</t>
  </si>
  <si>
    <t>93;194;288;368;453;512;550;571;576;563;546;525;508;487;465;453;440;427;419;415;402;393;393;398;398;</t>
  </si>
  <si>
    <t>146;252;347;439;482;525;581;602;599;597;593;588;584;575;577;572;575;575;570;572;568;570;566;572;572;</t>
  </si>
  <si>
    <t>88;186;283;364;436;495;538;559;563;550;533;516;499;478;453;440;432;423;410;398;393;389;393;385;385;</t>
  </si>
  <si>
    <t>137;248;345;435;475;523;586;604;602;604;597;590;586;577;577;572;570;572;568;570;572;570;572;568;568;</t>
  </si>
  <si>
    <t>88;194;292;372;449;512;554;567;567;554;538;516;499;478;457;440;432;419;406;402;398;389;389;381;381;</t>
  </si>
  <si>
    <t>146;250;338;437;491;532;581;599;604;602;593;593;584;581;581;572;572;568;570;570;563;568;557;572;572;</t>
  </si>
  <si>
    <t>93;194;288;372;444;504;546;563;567;554;529;508;491;474;457;436;423;410;406;398;389;381;393;377;377;</t>
  </si>
  <si>
    <t>139;245;342;444;502;543;584;593;597;597;590;584;575;579;579;572;572;570;570;572;568;568;563;570;570;</t>
  </si>
  <si>
    <t>88;190;288;368;444;499;529;546;542;533;521;499;487;470;453;440;427;419;410;402;402;398;398;389;389;</t>
  </si>
  <si>
    <t>137;239;340;437;489;539;584;602;608;599;593;584;581;581;570;568;572;572;568;563;566;566;568;557;557;</t>
  </si>
  <si>
    <t>97;194;292;381;453;508;546;563;559;550;533;512;491;474;457;444;436;423;415;406;402;393;398;389;389;</t>
  </si>
  <si>
    <t>139;245;345;437;480;532;595;608;602;599;593;586;581;572;575;570;568;568;566;568;570;570;566;570;570;</t>
  </si>
  <si>
    <t>93;190;288;372;444;499;538;550;542;529;508;491;474;453;436;427;415;406;398;393;389;381;398;381;381;</t>
  </si>
  <si>
    <t>137;250;347;442;496;543;588;602;608;599;593;586;579;579;568;568;570;568;570;568;570;568;577;570;570;</t>
  </si>
  <si>
    <t>101;194;292;372;440;495;525;538;529;516;499;478;465;453;436;419;410;402;389;385;381;377;381;377;377;</t>
  </si>
  <si>
    <t>148;248;333;430;489;534;575;588;604;602;597;595;584;581;579;577;577;568;570;572;570;568;570;575;575;</t>
  </si>
  <si>
    <t>84;190;296;389;474;538;580;601;601;593;571;546;525;499;482;470;457;444;432;419;410;402;402;402;402;</t>
  </si>
  <si>
    <t>148;248;336;437;496;548;588;595;595;590;593;588;581;579;577;577;577;572;572;568;568;570;577;572;572;</t>
  </si>
  <si>
    <t>80;182;283;372;453;508;546;563;559;554;538;512;495;478;461;449;436;423;410;398;393;398;389;419;419;</t>
  </si>
  <si>
    <t>139;241;336;433;475;521;581;602;606;606;597;590;588;581;579;575;572;575;570;572;570;566;566;566;566;</t>
  </si>
  <si>
    <t>88;199;300;381;461;521;563;580;576;567;550;529;508;487;465;453;440;427;415;406;398;393;398;385;385;</t>
  </si>
  <si>
    <t>135;236;333;433;487;532;584;595;604;606;595;595;584;579;579;579;577;570;575;572;568;570;566;577;577;</t>
  </si>
  <si>
    <t>93;194;296;385;465;533;567;580;588;571;554;533;508;487;470;461;444;432;423;410;402;389;393;381;381;</t>
  </si>
  <si>
    <t>139;239;329;435;493;534;586;602;604;597;590;590;586;584;579;572;575;570;568;566;563;572;561;577;577;</t>
  </si>
  <si>
    <t>93;194;296;385;461;521;563;584;576;567;550;525;508;487;465;449;436;423;419;410;398;393;393;389;389;</t>
  </si>
  <si>
    <t>135;239;340;444;498;536;584;597;599;597;588;588;581;577;577;568;570;572;572;570;563;568;552;577;577;</t>
  </si>
  <si>
    <t>84;194;296;372;453;512;542;563;554;546;529;508;491;474;457;444;436;427;415;406;398;389;389;385;385;</t>
  </si>
  <si>
    <t>133;236;336;435;484;527;588;602;599;602;597;590;584;579;581;577;572;568;563;566;568;572;563;577;577;</t>
  </si>
  <si>
    <t>97;199;300;389;461;529;567;580;576;567;550;525;504;478;461;453;436;427;415;406;398;393;398;393;393;</t>
  </si>
  <si>
    <t>128;230;333;430;478;530;586;606;602;597;597;588;586;579;577;577;572;579;570;566;568;568;575;568;568;</t>
  </si>
  <si>
    <t>97;203;300;389;465;521;563;588;588;576;559;533;508;487;474;457;436;423;423;410;402;398;393;393;393;</t>
  </si>
  <si>
    <t>135;234;338;437;484;545;593;599;602;599;597;586;584;581;577;577;575;572;570;566;570;566;577;554;554;</t>
  </si>
  <si>
    <t>97;203;300;389;461;521;559;576;567;554;542;521;495;478;461;449;432;419;410;402;393;385;389;385;385;</t>
  </si>
  <si>
    <t>137;245;342;442;498;543;586;593;599;597;590;593;584;579;577;575;577;568;566;570;570;570;563;577;577;</t>
  </si>
  <si>
    <t>101;199;292;372;444;499;538;554;554;542;521;508;495;470;449;436;427;410;406;402;389;377;377;377;377;</t>
  </si>
  <si>
    <t>133;239;340;439;496;545;584;593;604;597;593;586;581;584;579;575;572;570;570;563;570;570;575;572;572;</t>
  </si>
  <si>
    <t>93;203;296;377;453;512;546;559;563;550;533;516;499;474;457;440;432;423;406;398;393;385;389;381;381;</t>
  </si>
  <si>
    <t>133;232;338;439;487;536;584;599;599;597;597;584;579;579;577;577;566;570;572;570;572;563;577;548;548;</t>
  </si>
  <si>
    <t>97;207;305;385;457;516;554;567;567;554;538;521;499;478;465;449;436;427;415;410;402;398;398;402;402;</t>
  </si>
  <si>
    <t>128;225;331;442;500;550;590;597;599;593;597;595;579;577;575;575;572;570;572;568;568;568;568;575;575;</t>
  </si>
  <si>
    <t>93;203;305;385;461;521;554;571;567;554;538;521;499;478;461;449;436;427;415;410;402;389;393;393;393;</t>
  </si>
  <si>
    <t>126;227;336;437;487;541;586;602;606;597;593;586;586;584;577;577;575;572;570;570;570;568;575;566;566;</t>
  </si>
  <si>
    <t>105;211;309;398;470;525;563;576;576;563;546;525;504;487;470;453;440;427;419;410;402;393;393;389;389;</t>
  </si>
  <si>
    <t>Prog =  44</t>
  </si>
  <si>
    <t>110;193;290;401;462;518;563;577;593;595;599;599;586;584;586;586;579;575;579;570;572;575;584;577;577;</t>
  </si>
  <si>
    <t>114;237;355;453;546;626;682;711;724;724;711;703;686;656;635;618;601;588;571;554;542;529;533;521;521;</t>
  </si>
  <si>
    <t>106;189;284;396;464;514;566;581;597;602;597;595;588;588;586;581;584;575;575;575;575;572;570;577;577;</t>
  </si>
  <si>
    <t>114;237;355;457;550;635;690;724;737;737;724;698;677;656;635;614;597;584;567;550;542;533;538;533;533;</t>
  </si>
  <si>
    <t>108;198;290;396;457;505;561;579;593;599;597;595;590;590;586;581;584;577;579;577;572;575;570;579;579;</t>
  </si>
  <si>
    <t>114;237;351;453;550;631;694;732;745;745;732;711;690;665;648;622;605;588;571;554;542;533;533;529;529;</t>
  </si>
  <si>
    <t>103;180;272;387;457;505;563;586;599;602;599;602;595;590;590;584;584;577;577;575;570;575;563;584;584;</t>
  </si>
  <si>
    <t>114;249;368;474;571;652;711;749;762;758;745;720;703;677;652;622;601;588;567;546;529;516;521;521;521;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</si>
</sst>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66FF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EF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Font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0" fontId="2" fillId="8" borderId="29" xfId="0" applyFont="1" applyFill="1" applyBorder="1" applyAlignment="1">
      <alignment horizontal="center" vertical="center" wrapText="1"/>
    </xf>
    <xf numFmtId="0" fontId="2" fillId="8" borderId="28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60" xfId="0" applyFont="1" applyFill="1" applyBorder="1" applyAlignment="1">
      <alignment horizontal="center" vertical="center" wrapText="1"/>
    </xf>
    <xf numFmtId="0" fontId="0" fillId="7" borderId="66" xfId="0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12" xfId="0" applyBorder="1"/>
    <xf numFmtId="2" fontId="4" fillId="0" borderId="12" xfId="0" applyNumberFormat="1" applyFont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0" fontId="0" fillId="0" borderId="1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2" fontId="0" fillId="6" borderId="12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2" xfId="0" applyFill="1" applyBorder="1"/>
    <xf numFmtId="0" fontId="0" fillId="3" borderId="12" xfId="0" applyFill="1" applyBorder="1"/>
    <xf numFmtId="0" fontId="0" fillId="0" borderId="12" xfId="0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5" borderId="12" xfId="0" applyFill="1" applyBorder="1"/>
    <xf numFmtId="0" fontId="0" fillId="2" borderId="12" xfId="0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13" borderId="12" xfId="0" applyFill="1" applyBorder="1" applyAlignment="1">
      <alignment horizontal="center" vertical="center"/>
    </xf>
    <xf numFmtId="14" fontId="0" fillId="13" borderId="12" xfId="0" applyNumberFormat="1" applyFill="1" applyBorder="1" applyAlignment="1">
      <alignment horizontal="center" vertical="center"/>
    </xf>
    <xf numFmtId="0" fontId="4" fillId="14" borderId="12" xfId="0" applyFont="1" applyFill="1" applyBorder="1" applyAlignment="1">
      <alignment horizontal="center" vertical="center" wrapText="1"/>
    </xf>
    <xf numFmtId="2" fontId="4" fillId="15" borderId="12" xfId="0" applyNumberFormat="1" applyFont="1" applyFill="1" applyBorder="1" applyAlignment="1">
      <alignment horizontal="center" vertical="center" wrapText="1"/>
    </xf>
    <xf numFmtId="0" fontId="4" fillId="15" borderId="12" xfId="0" applyFont="1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14" fontId="0" fillId="13" borderId="12" xfId="0" applyNumberFormat="1" applyFill="1" applyBorder="1" applyAlignment="1" applyProtection="1">
      <alignment horizontal="center" vertical="center"/>
    </xf>
    <xf numFmtId="14" fontId="0" fillId="13" borderId="12" xfId="0" applyNumberFormat="1" applyFill="1" applyBorder="1" applyAlignment="1">
      <alignment horizontal="center"/>
    </xf>
    <xf numFmtId="0" fontId="3" fillId="6" borderId="12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2" fillId="4" borderId="7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164" fontId="0" fillId="15" borderId="12" xfId="0" applyNumberFormat="1" applyFill="1" applyBorder="1" applyAlignment="1">
      <alignment horizontal="center" vertical="center"/>
    </xf>
    <xf numFmtId="1" fontId="0" fillId="15" borderId="12" xfId="0" applyNumberFormat="1" applyFill="1" applyBorder="1" applyAlignment="1">
      <alignment horizontal="center" vertical="center"/>
    </xf>
    <xf numFmtId="164" fontId="3" fillId="6" borderId="12" xfId="0" applyNumberFormat="1" applyFont="1" applyFill="1" applyBorder="1" applyAlignment="1">
      <alignment horizontal="center" vertical="center"/>
    </xf>
    <xf numFmtId="1" fontId="3" fillId="6" borderId="12" xfId="0" applyNumberFormat="1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9" fontId="0" fillId="4" borderId="12" xfId="0" applyNumberForma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6" fillId="15" borderId="12" xfId="0" applyNumberFormat="1" applyFont="1" applyFill="1" applyBorder="1" applyAlignment="1">
      <alignment horizontal="center" vertical="center"/>
    </xf>
    <xf numFmtId="164" fontId="1" fillId="6" borderId="12" xfId="0" applyNumberFormat="1" applyFont="1" applyFill="1" applyBorder="1" applyAlignment="1">
      <alignment horizontal="center" vertical="center"/>
    </xf>
    <xf numFmtId="2" fontId="0" fillId="8" borderId="12" xfId="0" applyNumberForma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1" fontId="6" fillId="15" borderId="12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1" fontId="1" fillId="6" borderId="12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8" fillId="0" borderId="12" xfId="0" applyFont="1" applyBorder="1" applyAlignment="1">
      <alignment horizontal="center" vertical="center"/>
    </xf>
    <xf numFmtId="164" fontId="5" fillId="15" borderId="12" xfId="0" applyNumberFormat="1" applyFont="1" applyFill="1" applyBorder="1" applyAlignment="1">
      <alignment horizontal="center" vertical="center"/>
    </xf>
    <xf numFmtId="1" fontId="5" fillId="15" borderId="12" xfId="0" applyNumberFormat="1" applyFont="1" applyFill="1" applyBorder="1" applyAlignment="1">
      <alignment horizontal="center" vertical="center"/>
    </xf>
    <xf numFmtId="1" fontId="0" fillId="6" borderId="12" xfId="0" applyNumberForma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14" fontId="0" fillId="13" borderId="31" xfId="0" applyNumberFormat="1" applyFill="1" applyBorder="1" applyAlignment="1" applyProtection="1">
      <alignment horizontal="center" vertical="center"/>
    </xf>
    <xf numFmtId="0" fontId="0" fillId="15" borderId="31" xfId="0" applyFill="1" applyBorder="1" applyAlignment="1">
      <alignment horizontal="center"/>
    </xf>
    <xf numFmtId="0" fontId="0" fillId="0" borderId="31" xfId="0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2" fontId="0" fillId="6" borderId="31" xfId="0" applyNumberFormat="1" applyFill="1" applyBorder="1" applyAlignment="1">
      <alignment horizontal="center" vertical="center"/>
    </xf>
    <xf numFmtId="1" fontId="0" fillId="6" borderId="31" xfId="0" applyNumberFormat="1" applyFill="1" applyBorder="1" applyAlignment="1">
      <alignment horizontal="center" vertical="center"/>
    </xf>
    <xf numFmtId="0" fontId="0" fillId="8" borderId="31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3" borderId="10" xfId="0" applyFill="1" applyBorder="1" applyAlignment="1">
      <alignment horizontal="center"/>
    </xf>
    <xf numFmtId="14" fontId="0" fillId="13" borderId="10" xfId="0" applyNumberFormat="1" applyFill="1" applyBorder="1" applyAlignment="1" applyProtection="1">
      <alignment horizontal="center" vertical="center"/>
    </xf>
    <xf numFmtId="0" fontId="0" fillId="15" borderId="10" xfId="0" applyFill="1" applyBorder="1" applyAlignment="1">
      <alignment horizontal="center"/>
    </xf>
    <xf numFmtId="0" fontId="0" fillId="0" borderId="10" xfId="0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1" fontId="0" fillId="6" borderId="10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1" xfId="0" applyBorder="1" applyAlignment="1">
      <alignment horizontal="center"/>
    </xf>
    <xf numFmtId="0" fontId="0" fillId="0" borderId="71" xfId="0" applyFill="1" applyBorder="1" applyAlignment="1">
      <alignment horizontal="center" vertical="center"/>
    </xf>
    <xf numFmtId="0" fontId="3" fillId="6" borderId="71" xfId="0" applyFont="1" applyFill="1" applyBorder="1" applyAlignment="1">
      <alignment horizontal="center" vertical="center"/>
    </xf>
    <xf numFmtId="2" fontId="0" fillId="6" borderId="71" xfId="0" applyNumberFormat="1" applyFill="1" applyBorder="1" applyAlignment="1">
      <alignment horizontal="center" vertical="center"/>
    </xf>
    <xf numFmtId="1" fontId="0" fillId="6" borderId="71" xfId="0" applyNumberFormat="1" applyFill="1" applyBorder="1" applyAlignment="1">
      <alignment horizontal="center" vertical="center"/>
    </xf>
    <xf numFmtId="0" fontId="0" fillId="13" borderId="71" xfId="0" applyFill="1" applyBorder="1" applyAlignment="1">
      <alignment horizontal="center"/>
    </xf>
    <xf numFmtId="14" fontId="0" fillId="13" borderId="71" xfId="0" applyNumberFormat="1" applyFill="1" applyBorder="1" applyAlignment="1" applyProtection="1">
      <alignment horizontal="center" vertical="center"/>
    </xf>
    <xf numFmtId="0" fontId="0" fillId="15" borderId="71" xfId="0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2" xfId="0" applyFont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64" fontId="2" fillId="6" borderId="38" xfId="0" applyNumberFormat="1" applyFont="1" applyFill="1" applyBorder="1" applyAlignment="1">
      <alignment horizontal="center" vertical="center" wrapText="1"/>
    </xf>
    <xf numFmtId="164" fontId="2" fillId="6" borderId="22" xfId="0" applyNumberFormat="1" applyFont="1" applyFill="1" applyBorder="1" applyAlignment="1">
      <alignment horizontal="center" vertical="center" wrapText="1"/>
    </xf>
    <xf numFmtId="0" fontId="2" fillId="4" borderId="69" xfId="0" applyFont="1" applyFill="1" applyBorder="1" applyAlignment="1">
      <alignment horizontal="center" vertical="center" wrapText="1"/>
    </xf>
    <xf numFmtId="0" fontId="2" fillId="4" borderId="70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1" fontId="2" fillId="6" borderId="37" xfId="0" applyNumberFormat="1" applyFont="1" applyFill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55" xfId="0" applyFont="1" applyFill="1" applyBorder="1" applyAlignment="1">
      <alignment horizontal="center" vertical="center" wrapText="1"/>
    </xf>
    <xf numFmtId="0" fontId="2" fillId="4" borderId="54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8" borderId="56" xfId="0" applyFont="1" applyFill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1" fontId="2" fillId="15" borderId="33" xfId="0" applyNumberFormat="1" applyFont="1" applyFill="1" applyBorder="1" applyAlignment="1">
      <alignment horizontal="center" vertical="center" wrapText="1"/>
    </xf>
    <xf numFmtId="1" fontId="2" fillId="15" borderId="16" xfId="0" applyNumberFormat="1" applyFont="1" applyFill="1" applyBorder="1" applyAlignment="1">
      <alignment horizontal="center" vertical="center" wrapText="1"/>
    </xf>
    <xf numFmtId="0" fontId="2" fillId="10" borderId="36" xfId="0" applyFont="1" applyFill="1" applyBorder="1" applyAlignment="1">
      <alignment horizontal="center" vertical="center" wrapText="1"/>
    </xf>
    <xf numFmtId="0" fontId="2" fillId="10" borderId="18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164" fontId="2" fillId="15" borderId="33" xfId="0" applyNumberFormat="1" applyFont="1" applyFill="1" applyBorder="1" applyAlignment="1">
      <alignment horizontal="center" vertical="center" wrapText="1"/>
    </xf>
    <xf numFmtId="164" fontId="2" fillId="15" borderId="16" xfId="0" applyNumberFormat="1" applyFont="1" applyFill="1" applyBorder="1" applyAlignment="1">
      <alignment horizontal="center" vertical="center" wrapText="1"/>
    </xf>
    <xf numFmtId="0" fontId="2" fillId="9" borderId="3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9" borderId="39" xfId="0" applyFont="1" applyFill="1" applyBorder="1" applyAlignment="1">
      <alignment horizontal="center" vertical="center" wrapText="1"/>
    </xf>
    <xf numFmtId="0" fontId="0" fillId="9" borderId="15" xfId="0" applyFont="1" applyFill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11" borderId="64" xfId="0" applyFont="1" applyFill="1" applyBorder="1" applyAlignment="1">
      <alignment horizontal="center" vertical="center" wrapText="1"/>
    </xf>
    <xf numFmtId="0" fontId="2" fillId="11" borderId="46" xfId="0" applyFont="1" applyFill="1" applyBorder="1" applyAlignment="1">
      <alignment horizontal="center" vertical="center" wrapText="1"/>
    </xf>
    <xf numFmtId="0" fontId="2" fillId="9" borderId="63" xfId="0" applyFont="1" applyFill="1" applyBorder="1" applyAlignment="1">
      <alignment horizontal="center" vertical="center" wrapText="1"/>
    </xf>
    <xf numFmtId="0" fontId="2" fillId="9" borderId="44" xfId="0" applyFont="1" applyFill="1" applyBorder="1" applyAlignment="1">
      <alignment horizontal="center" vertical="center" wrapText="1"/>
    </xf>
    <xf numFmtId="14" fontId="2" fillId="11" borderId="63" xfId="0" applyNumberFormat="1" applyFont="1" applyFill="1" applyBorder="1" applyAlignment="1">
      <alignment horizontal="center" vertical="center" wrapText="1"/>
    </xf>
    <xf numFmtId="14" fontId="2" fillId="11" borderId="27" xfId="0" applyNumberFormat="1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2" fillId="9" borderId="64" xfId="0" applyFont="1" applyFill="1" applyBorder="1" applyAlignment="1">
      <alignment horizontal="center" vertical="center" wrapText="1"/>
    </xf>
    <xf numFmtId="0" fontId="2" fillId="9" borderId="46" xfId="0" applyFont="1" applyFill="1" applyBorder="1" applyAlignment="1">
      <alignment horizontal="center" vertical="center" wrapText="1"/>
    </xf>
    <xf numFmtId="0" fontId="0" fillId="0" borderId="75" xfId="0" applyBorder="1"/>
    <xf numFmtId="0" fontId="0" fillId="0" borderId="76" xfId="0" applyBorder="1"/>
    <xf numFmtId="0" fontId="2" fillId="0" borderId="77" xfId="0" applyFont="1" applyBorder="1" applyAlignment="1">
      <alignment horizontal="center"/>
    </xf>
    <xf numFmtId="0" fontId="13" fillId="0" borderId="74" xfId="0" applyFont="1" applyFill="1" applyBorder="1" applyAlignment="1" applyProtection="1">
      <alignment horizontal="center" vertical="center" wrapText="1"/>
    </xf>
    <xf numFmtId="0" fontId="13" fillId="14" borderId="74" xfId="0" applyFont="1" applyFill="1" applyBorder="1" applyAlignment="1" applyProtection="1">
      <alignment horizontal="center" vertical="center" wrapText="1"/>
    </xf>
    <xf numFmtId="0" fontId="13" fillId="13" borderId="74" xfId="0" applyFont="1" applyFill="1" applyBorder="1" applyAlignment="1" applyProtection="1">
      <alignment horizontal="center" vertical="center" wrapText="1"/>
    </xf>
    <xf numFmtId="15" fontId="13" fillId="13" borderId="74" xfId="0" applyNumberFormat="1" applyFont="1" applyFill="1" applyBorder="1" applyAlignment="1" applyProtection="1">
      <alignment horizontal="center" vertical="center" wrapText="1"/>
    </xf>
    <xf numFmtId="0" fontId="0" fillId="0" borderId="74" xfId="0" applyBorder="1" applyAlignment="1">
      <alignment horizontal="center"/>
    </xf>
    <xf numFmtId="2" fontId="13" fillId="0" borderId="74" xfId="0" applyNumberFormat="1" applyFont="1" applyFill="1" applyBorder="1" applyAlignment="1" applyProtection="1">
      <alignment horizontal="center" vertical="center" wrapText="1"/>
    </xf>
    <xf numFmtId="2" fontId="13" fillId="15" borderId="74" xfId="0" applyNumberFormat="1" applyFont="1" applyFill="1" applyBorder="1" applyAlignment="1" applyProtection="1">
      <alignment horizontal="center" vertical="center" wrapText="1"/>
    </xf>
    <xf numFmtId="0" fontId="13" fillId="15" borderId="74" xfId="0" applyFont="1" applyFill="1" applyBorder="1" applyAlignment="1" applyProtection="1">
      <alignment horizontal="center" vertical="center" wrapText="1"/>
    </xf>
    <xf numFmtId="0" fontId="13" fillId="0" borderId="71" xfId="0" applyFont="1" applyFill="1" applyBorder="1" applyAlignment="1" applyProtection="1">
      <alignment horizontal="center" vertical="center" wrapText="1"/>
    </xf>
    <xf numFmtId="0" fontId="13" fillId="14" borderId="71" xfId="0" applyFont="1" applyFill="1" applyBorder="1" applyAlignment="1" applyProtection="1">
      <alignment horizontal="center" vertical="center" wrapText="1"/>
    </xf>
    <xf numFmtId="0" fontId="13" fillId="13" borderId="71" xfId="0" applyFont="1" applyFill="1" applyBorder="1" applyAlignment="1" applyProtection="1">
      <alignment horizontal="center" vertical="center" wrapText="1"/>
    </xf>
    <xf numFmtId="15" fontId="13" fillId="13" borderId="71" xfId="0" applyNumberFormat="1" applyFont="1" applyFill="1" applyBorder="1" applyAlignment="1" applyProtection="1">
      <alignment horizontal="center" vertical="center" wrapText="1"/>
    </xf>
    <xf numFmtId="2" fontId="13" fillId="0" borderId="71" xfId="0" applyNumberFormat="1" applyFont="1" applyFill="1" applyBorder="1" applyAlignment="1" applyProtection="1">
      <alignment horizontal="center" vertical="center" wrapText="1"/>
    </xf>
    <xf numFmtId="2" fontId="13" fillId="15" borderId="71" xfId="0" applyNumberFormat="1" applyFont="1" applyFill="1" applyBorder="1" applyAlignment="1" applyProtection="1">
      <alignment horizontal="center" vertical="center" wrapText="1"/>
    </xf>
    <xf numFmtId="0" fontId="13" fillId="15" borderId="71" xfId="0" applyFont="1" applyFill="1" applyBorder="1" applyAlignment="1" applyProtection="1">
      <alignment horizontal="center" vertical="center" wrapText="1"/>
    </xf>
    <xf numFmtId="0" fontId="13" fillId="6" borderId="74" xfId="0" applyFont="1" applyFill="1" applyBorder="1" applyAlignment="1" applyProtection="1">
      <alignment horizontal="center" vertical="center" wrapText="1"/>
    </xf>
    <xf numFmtId="2" fontId="13" fillId="6" borderId="74" xfId="0" applyNumberFormat="1" applyFont="1" applyFill="1" applyBorder="1" applyAlignment="1" applyProtection="1">
      <alignment horizontal="center" vertical="center" wrapText="1"/>
    </xf>
    <xf numFmtId="2" fontId="13" fillId="6" borderId="71" xfId="0" applyNumberFormat="1" applyFont="1" applyFill="1" applyBorder="1" applyAlignment="1" applyProtection="1">
      <alignment horizontal="center" vertical="center" wrapText="1"/>
    </xf>
    <xf numFmtId="0" fontId="13" fillId="6" borderId="71" xfId="0" applyFont="1" applyFill="1" applyBorder="1" applyAlignment="1" applyProtection="1">
      <alignment horizontal="center" vertical="center" wrapText="1"/>
    </xf>
    <xf numFmtId="0" fontId="0" fillId="7" borderId="12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71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74" xfId="0" applyFill="1" applyBorder="1" applyAlignment="1">
      <alignment horizontal="center"/>
    </xf>
  </cellXfs>
  <cellStyles count="1">
    <cellStyle name="Normal" xfId="0" builtinId="0"/>
  </cellStyles>
  <dxfs count="25"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ill>
        <patternFill>
          <bgColor rgb="FFFE9494"/>
        </patternFill>
      </fill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0000"/>
        </patternFill>
      </fill>
    </dxf>
    <dxf>
      <font>
        <color rgb="FF9C0006"/>
      </font>
    </dxf>
    <dxf>
      <fill>
        <patternFill>
          <bgColor theme="4" tint="0.79998168889431442"/>
        </patternFill>
      </fill>
    </dxf>
    <dxf>
      <fill>
        <patternFill>
          <bgColor rgb="FFFF9BFF"/>
        </patternFill>
      </fill>
    </dxf>
    <dxf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FE9494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I442"/>
  <sheetViews>
    <sheetView tabSelected="1" zoomScale="115" zoomScaleNormal="115" workbookViewId="0">
      <pane xSplit="1" ySplit="3" topLeftCell="CO43" activePane="bottomRight" state="frozen"/>
      <selection activeCell="BS49" sqref="BS49"/>
      <selection pane="topRight" activeCell="BS49" sqref="BS49"/>
      <selection pane="bottomLeft" activeCell="BS49" sqref="BS49"/>
      <selection pane="bottomRight" activeCell="DI341" sqref="DI341:DI441"/>
    </sheetView>
  </sheetViews>
  <sheetFormatPr baseColWidth="10" defaultColWidth="9.140625" defaultRowHeight="15" x14ac:dyDescent="0.25"/>
  <cols>
    <col min="1" max="1" width="9.140625" style="12"/>
    <col min="12" max="12" width="18.140625" bestFit="1" customWidth="1"/>
    <col min="55" max="55" width="9.140625" style="14"/>
    <col min="56" max="56" width="48.28515625" bestFit="1" customWidth="1"/>
    <col min="63" max="63" width="9.140625" style="13"/>
    <col min="64" max="64" width="9.140625" style="12"/>
    <col min="65" max="65" width="9.140625" style="11"/>
    <col min="66" max="66" width="9.140625" style="1"/>
    <col min="67" max="67" width="9.140625" style="5"/>
    <col min="68" max="68" width="9.140625" style="11"/>
    <col min="69" max="69" width="9.140625" style="8"/>
    <col min="70" max="71" width="9.140625" style="5"/>
    <col min="72" max="72" width="9.140625" style="8"/>
    <col min="73" max="74" width="9.140625" style="5"/>
    <col min="75" max="81" width="9.140625" style="10"/>
    <col min="82" max="82" width="9.140625" style="9"/>
    <col min="83" max="83" width="9.140625" style="1"/>
    <col min="84" max="84" width="39.5703125" style="2" bestFit="1" customWidth="1"/>
    <col min="85" max="86" width="9.140625" style="8"/>
    <col min="87" max="87" width="9.140625" style="7"/>
    <col min="88" max="88" width="9.140625" style="1"/>
    <col min="89" max="89" width="9.140625" style="8"/>
    <col min="90" max="95" width="9.140625" style="5"/>
    <col min="96" max="96" width="9.140625" style="7"/>
    <col min="97" max="98" width="9.140625" style="5"/>
    <col min="99" max="99" width="9.140625" style="6"/>
    <col min="100" max="106" width="9.140625" style="5"/>
    <col min="107" max="107" width="9.140625" style="4"/>
    <col min="108" max="108" width="30" style="3" customWidth="1"/>
    <col min="109" max="109" width="9.140625" style="2"/>
    <col min="110" max="113" width="9.140625" style="1"/>
  </cols>
  <sheetData>
    <row r="1" spans="1:113" s="16" customFormat="1" ht="58.9" customHeight="1" thickBot="1" x14ac:dyDescent="0.3">
      <c r="A1" s="177" t="s">
        <v>274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178"/>
      <c r="AI1" s="178"/>
      <c r="AJ1" s="178"/>
      <c r="AK1" s="178"/>
      <c r="AL1" s="178"/>
      <c r="AM1" s="178"/>
      <c r="AN1" s="178"/>
      <c r="AO1" s="178"/>
      <c r="AP1" s="178"/>
      <c r="AQ1" s="178"/>
      <c r="AR1" s="178"/>
      <c r="AS1" s="178"/>
      <c r="AT1" s="178"/>
      <c r="AU1" s="178"/>
      <c r="AV1" s="178"/>
      <c r="AW1" s="178"/>
      <c r="AX1" s="178"/>
      <c r="AY1" s="178"/>
      <c r="AZ1" s="178"/>
      <c r="BA1" s="179"/>
      <c r="BB1" s="27"/>
      <c r="BC1" s="180" t="s">
        <v>273</v>
      </c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  <c r="BQ1" s="181"/>
      <c r="BR1" s="181"/>
      <c r="BS1" s="181"/>
      <c r="BT1" s="181"/>
      <c r="BU1" s="181"/>
      <c r="BV1" s="181"/>
      <c r="BW1" s="181"/>
      <c r="BX1" s="181"/>
      <c r="BY1" s="181"/>
      <c r="BZ1" s="181"/>
      <c r="CA1" s="181"/>
      <c r="CB1" s="181"/>
      <c r="CC1" s="181"/>
      <c r="CD1" s="181"/>
      <c r="CE1" s="182"/>
      <c r="CF1" s="183" t="s">
        <v>272</v>
      </c>
      <c r="CG1" s="185" t="s">
        <v>271</v>
      </c>
      <c r="CH1" s="186"/>
      <c r="CI1" s="186"/>
      <c r="CJ1" s="187"/>
      <c r="CK1" s="180" t="s">
        <v>270</v>
      </c>
      <c r="CL1" s="181"/>
      <c r="CM1" s="181"/>
      <c r="CN1" s="181"/>
      <c r="CO1" s="181"/>
      <c r="CP1" s="181"/>
      <c r="CQ1" s="181"/>
      <c r="CR1" s="181"/>
      <c r="CS1" s="181"/>
      <c r="CT1" s="181"/>
      <c r="CU1" s="181"/>
      <c r="CV1" s="181"/>
      <c r="CW1" s="181"/>
      <c r="CX1" s="181"/>
      <c r="CY1" s="181"/>
      <c r="CZ1" s="181"/>
      <c r="DA1" s="181"/>
      <c r="DB1" s="181"/>
      <c r="DC1" s="181"/>
      <c r="DD1" s="182"/>
      <c r="DE1" s="200" t="s">
        <v>269</v>
      </c>
      <c r="DF1" s="174" t="s">
        <v>268</v>
      </c>
      <c r="DG1" s="174" t="s">
        <v>267</v>
      </c>
      <c r="DH1" s="194" t="s">
        <v>266</v>
      </c>
      <c r="DI1" s="197" t="s">
        <v>265</v>
      </c>
    </row>
    <row r="2" spans="1:113" s="17" customFormat="1" ht="29.45" customHeight="1" thickBot="1" x14ac:dyDescent="0.3">
      <c r="A2" s="190" t="s">
        <v>264</v>
      </c>
      <c r="B2" s="210" t="s">
        <v>263</v>
      </c>
      <c r="C2" s="211" t="s">
        <v>262</v>
      </c>
      <c r="D2" s="210" t="s">
        <v>261</v>
      </c>
      <c r="E2" s="210" t="s">
        <v>260</v>
      </c>
      <c r="F2" s="210" t="s">
        <v>259</v>
      </c>
      <c r="G2" s="210" t="s">
        <v>258</v>
      </c>
      <c r="H2" s="210" t="s">
        <v>257</v>
      </c>
      <c r="I2" s="219" t="s">
        <v>256</v>
      </c>
      <c r="J2" s="220" t="s">
        <v>255</v>
      </c>
      <c r="K2" s="213" t="s">
        <v>254</v>
      </c>
      <c r="L2" s="215" t="s">
        <v>253</v>
      </c>
      <c r="M2" s="217" t="s">
        <v>252</v>
      </c>
      <c r="N2" s="164" t="s">
        <v>251</v>
      </c>
      <c r="O2" s="164" t="s">
        <v>250</v>
      </c>
      <c r="P2" s="164" t="s">
        <v>249</v>
      </c>
      <c r="Q2" s="164" t="s">
        <v>248</v>
      </c>
      <c r="R2" s="164" t="s">
        <v>247</v>
      </c>
      <c r="S2" s="164" t="s">
        <v>246</v>
      </c>
      <c r="T2" s="166" t="s">
        <v>245</v>
      </c>
      <c r="U2" s="192" t="s">
        <v>244</v>
      </c>
      <c r="V2" s="168" t="s">
        <v>243</v>
      </c>
      <c r="W2" s="164" t="s">
        <v>242</v>
      </c>
      <c r="X2" s="164" t="s">
        <v>241</v>
      </c>
      <c r="Y2" s="164" t="s">
        <v>240</v>
      </c>
      <c r="Z2" s="164" t="s">
        <v>239</v>
      </c>
      <c r="AA2" s="166" t="s">
        <v>238</v>
      </c>
      <c r="AB2" s="170" t="s">
        <v>237</v>
      </c>
      <c r="AC2" s="168" t="s">
        <v>236</v>
      </c>
      <c r="AD2" s="164" t="s">
        <v>235</v>
      </c>
      <c r="AE2" s="164" t="s">
        <v>234</v>
      </c>
      <c r="AF2" s="164" t="s">
        <v>233</v>
      </c>
      <c r="AG2" s="164" t="s">
        <v>232</v>
      </c>
      <c r="AH2" s="164" t="s">
        <v>231</v>
      </c>
      <c r="AI2" s="164" t="s">
        <v>230</v>
      </c>
      <c r="AJ2" s="164" t="s">
        <v>229</v>
      </c>
      <c r="AK2" s="164" t="s">
        <v>228</v>
      </c>
      <c r="AL2" s="172" t="s">
        <v>227</v>
      </c>
      <c r="AM2" s="164" t="s">
        <v>226</v>
      </c>
      <c r="AN2" s="164" t="s">
        <v>225</v>
      </c>
      <c r="AO2" s="164" t="s">
        <v>224</v>
      </c>
      <c r="AP2" s="164" t="s">
        <v>223</v>
      </c>
      <c r="AQ2" s="164" t="s">
        <v>222</v>
      </c>
      <c r="AR2" s="164" t="s">
        <v>221</v>
      </c>
      <c r="AS2" s="164" t="s">
        <v>220</v>
      </c>
      <c r="AT2" s="164" t="s">
        <v>219</v>
      </c>
      <c r="AU2" s="164" t="s">
        <v>218</v>
      </c>
      <c r="AV2" s="164" t="s">
        <v>217</v>
      </c>
      <c r="AW2" s="164" t="s">
        <v>216</v>
      </c>
      <c r="AX2" s="164" t="s">
        <v>215</v>
      </c>
      <c r="AY2" s="164" t="s">
        <v>214</v>
      </c>
      <c r="AZ2" s="164" t="s">
        <v>213</v>
      </c>
      <c r="BA2" s="158" t="s">
        <v>212</v>
      </c>
      <c r="BB2" s="26"/>
      <c r="BC2" s="160" t="s">
        <v>211</v>
      </c>
      <c r="BD2" s="162" t="s">
        <v>210</v>
      </c>
      <c r="BE2" s="142" t="s">
        <v>209</v>
      </c>
      <c r="BF2" s="142" t="s">
        <v>208</v>
      </c>
      <c r="BG2" s="142" t="s">
        <v>207</v>
      </c>
      <c r="BH2" s="142" t="s">
        <v>206</v>
      </c>
      <c r="BI2" s="142" t="s">
        <v>205</v>
      </c>
      <c r="BJ2" s="138" t="s">
        <v>204</v>
      </c>
      <c r="BK2" s="146" t="s">
        <v>203</v>
      </c>
      <c r="BL2" s="138" t="s">
        <v>202</v>
      </c>
      <c r="BM2" s="140" t="s">
        <v>201</v>
      </c>
      <c r="BN2" s="132" t="s">
        <v>200</v>
      </c>
      <c r="BO2" s="134" t="s">
        <v>199</v>
      </c>
      <c r="BP2" s="144" t="s">
        <v>198</v>
      </c>
      <c r="BQ2" s="155" t="s">
        <v>197</v>
      </c>
      <c r="BR2" s="156"/>
      <c r="BS2" s="157"/>
      <c r="BT2" s="150" t="s">
        <v>196</v>
      </c>
      <c r="BU2" s="151"/>
      <c r="BV2" s="151"/>
      <c r="BW2" s="151"/>
      <c r="BX2" s="151"/>
      <c r="BY2" s="151"/>
      <c r="BZ2" s="151"/>
      <c r="CA2" s="151"/>
      <c r="CB2" s="151"/>
      <c r="CC2" s="151"/>
      <c r="CD2" s="151"/>
      <c r="CE2" s="152"/>
      <c r="CF2" s="184"/>
      <c r="CG2" s="188"/>
      <c r="CH2" s="189"/>
      <c r="CI2" s="189"/>
      <c r="CJ2" s="189"/>
      <c r="CK2" s="207" t="s">
        <v>195</v>
      </c>
      <c r="CL2" s="208"/>
      <c r="CM2" s="208"/>
      <c r="CN2" s="208"/>
      <c r="CO2" s="208"/>
      <c r="CP2" s="208"/>
      <c r="CQ2" s="209"/>
      <c r="CR2" s="207" t="s">
        <v>614</v>
      </c>
      <c r="CS2" s="208"/>
      <c r="CT2" s="208"/>
      <c r="CU2" s="208"/>
      <c r="CV2" s="208"/>
      <c r="CW2" s="208"/>
      <c r="CX2" s="208"/>
      <c r="CY2" s="208"/>
      <c r="CZ2" s="208"/>
      <c r="DA2" s="208"/>
      <c r="DB2" s="209"/>
      <c r="DC2" s="203" t="s">
        <v>194</v>
      </c>
      <c r="DD2" s="205" t="s">
        <v>193</v>
      </c>
      <c r="DE2" s="201"/>
      <c r="DF2" s="175"/>
      <c r="DG2" s="175"/>
      <c r="DH2" s="195"/>
      <c r="DI2" s="198"/>
    </row>
    <row r="3" spans="1:113" s="17" customFormat="1" ht="60.6" customHeight="1" thickBot="1" x14ac:dyDescent="0.3">
      <c r="A3" s="191"/>
      <c r="B3" s="143"/>
      <c r="C3" s="212"/>
      <c r="D3" s="143"/>
      <c r="E3" s="143"/>
      <c r="F3" s="143"/>
      <c r="G3" s="143"/>
      <c r="H3" s="143"/>
      <c r="I3" s="139"/>
      <c r="J3" s="221"/>
      <c r="K3" s="214"/>
      <c r="L3" s="216"/>
      <c r="M3" s="218"/>
      <c r="N3" s="165"/>
      <c r="O3" s="165"/>
      <c r="P3" s="165"/>
      <c r="Q3" s="165"/>
      <c r="R3" s="165"/>
      <c r="S3" s="165"/>
      <c r="T3" s="167"/>
      <c r="U3" s="193"/>
      <c r="V3" s="169"/>
      <c r="W3" s="165"/>
      <c r="X3" s="165"/>
      <c r="Y3" s="165"/>
      <c r="Z3" s="165"/>
      <c r="AA3" s="167"/>
      <c r="AB3" s="171"/>
      <c r="AC3" s="169"/>
      <c r="AD3" s="165"/>
      <c r="AE3" s="165"/>
      <c r="AF3" s="165"/>
      <c r="AG3" s="165"/>
      <c r="AH3" s="165"/>
      <c r="AI3" s="165"/>
      <c r="AJ3" s="165"/>
      <c r="AK3" s="165"/>
      <c r="AL3" s="173"/>
      <c r="AM3" s="165"/>
      <c r="AN3" s="165"/>
      <c r="AO3" s="165"/>
      <c r="AP3" s="165"/>
      <c r="AQ3" s="165"/>
      <c r="AR3" s="165"/>
      <c r="AS3" s="165"/>
      <c r="AT3" s="165"/>
      <c r="AU3" s="165"/>
      <c r="AV3" s="165"/>
      <c r="AW3" s="165"/>
      <c r="AX3" s="165"/>
      <c r="AY3" s="165"/>
      <c r="AZ3" s="165"/>
      <c r="BA3" s="159"/>
      <c r="BB3" s="25"/>
      <c r="BC3" s="161"/>
      <c r="BD3" s="163"/>
      <c r="BE3" s="143"/>
      <c r="BF3" s="143"/>
      <c r="BG3" s="143"/>
      <c r="BH3" s="143"/>
      <c r="BI3" s="143"/>
      <c r="BJ3" s="139"/>
      <c r="BK3" s="147"/>
      <c r="BL3" s="139"/>
      <c r="BM3" s="141"/>
      <c r="BN3" s="133"/>
      <c r="BO3" s="135"/>
      <c r="BP3" s="145"/>
      <c r="BQ3" s="24" t="s">
        <v>192</v>
      </c>
      <c r="BR3" s="23" t="s">
        <v>191</v>
      </c>
      <c r="BS3" s="22" t="s">
        <v>190</v>
      </c>
      <c r="BT3" s="21" t="s">
        <v>189</v>
      </c>
      <c r="BU3" s="153" t="s">
        <v>188</v>
      </c>
      <c r="BV3" s="154"/>
      <c r="BW3" s="136" t="s">
        <v>187</v>
      </c>
      <c r="BX3" s="137"/>
      <c r="BY3" s="137" t="s">
        <v>186</v>
      </c>
      <c r="BZ3" s="137"/>
      <c r="CA3" s="137" t="s">
        <v>185</v>
      </c>
      <c r="CB3" s="137"/>
      <c r="CC3" s="61" t="s">
        <v>184</v>
      </c>
      <c r="CD3" s="62" t="s">
        <v>183</v>
      </c>
      <c r="CE3" s="63" t="s">
        <v>615</v>
      </c>
      <c r="CF3" s="20" t="s">
        <v>182</v>
      </c>
      <c r="CG3" s="148" t="s">
        <v>181</v>
      </c>
      <c r="CH3" s="149"/>
      <c r="CI3" s="19" t="s">
        <v>180</v>
      </c>
      <c r="CJ3" s="18"/>
      <c r="CK3" s="64">
        <v>2</v>
      </c>
      <c r="CL3" s="65">
        <v>3</v>
      </c>
      <c r="CM3" s="65">
        <v>4</v>
      </c>
      <c r="CN3" s="65">
        <v>5</v>
      </c>
      <c r="CO3" s="65">
        <v>6</v>
      </c>
      <c r="CP3" s="65">
        <v>7</v>
      </c>
      <c r="CQ3" s="66">
        <v>8</v>
      </c>
      <c r="CR3" s="64" t="s">
        <v>179</v>
      </c>
      <c r="CS3" s="65" t="s">
        <v>178</v>
      </c>
      <c r="CT3" s="65" t="s">
        <v>177</v>
      </c>
      <c r="CU3" s="65" t="s">
        <v>176</v>
      </c>
      <c r="CV3" s="65" t="s">
        <v>175</v>
      </c>
      <c r="CW3" s="65" t="s">
        <v>174</v>
      </c>
      <c r="CX3" s="65" t="s">
        <v>173</v>
      </c>
      <c r="CY3" s="65" t="s">
        <v>172</v>
      </c>
      <c r="CZ3" s="65" t="s">
        <v>171</v>
      </c>
      <c r="DA3" s="65" t="s">
        <v>170</v>
      </c>
      <c r="DB3" s="66" t="s">
        <v>169</v>
      </c>
      <c r="DC3" s="204"/>
      <c r="DD3" s="206"/>
      <c r="DE3" s="202"/>
      <c r="DF3" s="176"/>
      <c r="DG3" s="176"/>
      <c r="DH3" s="196"/>
      <c r="DI3" s="199"/>
    </row>
    <row r="4" spans="1:113" s="67" customFormat="1" ht="15.75" thickBot="1" x14ac:dyDescent="0.3">
      <c r="A4" s="67">
        <v>127673</v>
      </c>
      <c r="B4" s="67" t="s">
        <v>6</v>
      </c>
      <c r="C4" s="68">
        <v>60</v>
      </c>
      <c r="D4" s="67">
        <v>60</v>
      </c>
      <c r="E4" s="67">
        <v>0</v>
      </c>
      <c r="F4" s="67">
        <v>60</v>
      </c>
      <c r="G4" s="67">
        <v>504</v>
      </c>
      <c r="H4" s="67">
        <v>0</v>
      </c>
      <c r="I4" s="67">
        <v>15</v>
      </c>
      <c r="J4" s="46" t="s">
        <v>168</v>
      </c>
      <c r="K4" s="46" t="s">
        <v>167</v>
      </c>
      <c r="L4" s="47">
        <v>45432.578726851898</v>
      </c>
      <c r="M4" s="67">
        <v>0</v>
      </c>
      <c r="N4" s="67">
        <v>0</v>
      </c>
      <c r="O4" s="67">
        <v>0</v>
      </c>
      <c r="R4" s="67" t="s">
        <v>24</v>
      </c>
      <c r="S4" s="67" t="b">
        <v>0</v>
      </c>
      <c r="T4" s="67">
        <v>0.01</v>
      </c>
      <c r="U4" s="80">
        <v>5</v>
      </c>
      <c r="V4" s="67">
        <v>0.01</v>
      </c>
      <c r="W4" s="67">
        <v>0</v>
      </c>
      <c r="X4" s="67">
        <v>2000</v>
      </c>
      <c r="Y4" s="67">
        <v>0</v>
      </c>
      <c r="Z4" s="67">
        <v>10</v>
      </c>
      <c r="AA4" s="67">
        <v>0</v>
      </c>
      <c r="AB4" s="70">
        <v>30</v>
      </c>
      <c r="AC4" s="67">
        <v>0</v>
      </c>
      <c r="AD4" s="67">
        <v>10</v>
      </c>
      <c r="AE4" s="67">
        <v>0</v>
      </c>
      <c r="AF4" s="67">
        <v>2000</v>
      </c>
      <c r="AG4" s="67">
        <v>2</v>
      </c>
      <c r="AH4" s="67">
        <v>5.28</v>
      </c>
      <c r="AI4" s="67">
        <v>546</v>
      </c>
      <c r="AJ4" s="67">
        <v>0</v>
      </c>
      <c r="AK4" s="67">
        <v>65</v>
      </c>
      <c r="AL4" s="67">
        <v>0</v>
      </c>
      <c r="AM4" s="67" t="s">
        <v>2</v>
      </c>
      <c r="AN4" s="67">
        <v>0</v>
      </c>
      <c r="AO4" s="67">
        <v>30</v>
      </c>
      <c r="AP4" s="67">
        <v>0</v>
      </c>
      <c r="AW4" s="67" t="b">
        <v>0</v>
      </c>
      <c r="AZ4" s="67" t="s">
        <v>24</v>
      </c>
      <c r="BB4" s="31"/>
      <c r="BC4" s="67">
        <v>9</v>
      </c>
      <c r="BD4" s="131"/>
      <c r="BE4" s="31"/>
      <c r="BF4" s="67">
        <v>1.2</v>
      </c>
      <c r="BG4" s="67">
        <v>0</v>
      </c>
      <c r="BH4" s="67">
        <v>0</v>
      </c>
      <c r="BI4" s="67">
        <v>0</v>
      </c>
      <c r="BJ4" s="67">
        <v>1.2</v>
      </c>
      <c r="BK4" s="67">
        <v>5.5</v>
      </c>
      <c r="BL4" s="67">
        <v>6</v>
      </c>
      <c r="BM4" s="67" t="s">
        <v>1</v>
      </c>
      <c r="BN4" s="57">
        <f t="shared" ref="BN4:BN27" si="0">D4</f>
        <v>60</v>
      </c>
      <c r="BO4" s="81">
        <f t="shared" ref="BO4:BO27" si="1">U4</f>
        <v>5</v>
      </c>
      <c r="BP4" s="72">
        <v>200</v>
      </c>
      <c r="BQ4" s="73">
        <v>4.1349999999999998</v>
      </c>
      <c r="BR4" s="73">
        <v>4.1349999999999998</v>
      </c>
      <c r="BS4" s="73">
        <v>4.1349999999999998</v>
      </c>
      <c r="BT4" s="37"/>
      <c r="BU4" s="37"/>
      <c r="BV4" s="74">
        <v>0</v>
      </c>
      <c r="BW4" s="37"/>
      <c r="BX4" s="74">
        <v>0</v>
      </c>
      <c r="BY4" s="37"/>
      <c r="BZ4" s="74"/>
      <c r="CA4" s="37"/>
      <c r="CB4" s="74"/>
      <c r="CC4" s="37"/>
      <c r="CD4" s="37"/>
      <c r="CE4" s="75"/>
      <c r="CF4" s="76" t="s">
        <v>120</v>
      </c>
      <c r="CG4" s="67">
        <v>4.1349999999999998</v>
      </c>
      <c r="CH4" s="67" t="str">
        <f t="shared" ref="CH4:CH27" si="2" xml:space="preserve"> IF(DI4="D", " ",BT4)</f>
        <v xml:space="preserve"> </v>
      </c>
      <c r="CI4" s="67">
        <f t="shared" ref="CI4:CI27" si="3">IF(MIN(BF4,BJ4)=0.55,  2.68,          IF(MIN(BF4,BJ4)=0.8,     3.56,          IF(MIN(BF4,BJ4)=0.9,      3.81,             IF(MIN(BF4,BJ4)=1,     4.06,                IF(MIN(BF4,BJ4)=1.2,        4.57,             IF(MIN(BF4,BJ4)=1.6,          5.08  ))))))</f>
        <v>4.57</v>
      </c>
      <c r="CJ4" s="78">
        <v>0</v>
      </c>
      <c r="CK4" s="67">
        <v>0</v>
      </c>
      <c r="CL4" s="67">
        <v>0</v>
      </c>
      <c r="CM4" s="67">
        <v>0</v>
      </c>
      <c r="CN4" s="67">
        <v>0</v>
      </c>
      <c r="CO4" s="67">
        <v>0</v>
      </c>
      <c r="CP4" s="77">
        <v>1</v>
      </c>
      <c r="CQ4" s="67">
        <v>0</v>
      </c>
      <c r="CR4" s="67">
        <v>0</v>
      </c>
      <c r="CS4" s="67">
        <v>0</v>
      </c>
      <c r="CT4" s="67">
        <v>0</v>
      </c>
      <c r="CU4" s="78">
        <v>1</v>
      </c>
      <c r="CV4" s="67">
        <v>0</v>
      </c>
      <c r="CW4" s="67">
        <v>0</v>
      </c>
      <c r="CX4" s="67">
        <v>0</v>
      </c>
      <c r="CY4" s="67">
        <v>0</v>
      </c>
      <c r="CZ4" s="67">
        <v>0</v>
      </c>
      <c r="DA4" s="67">
        <v>0</v>
      </c>
      <c r="DB4" s="67">
        <v>0</v>
      </c>
      <c r="DC4" s="15">
        <f t="shared" ref="DC4:DC27" si="4">IF(CR4 + CU4 + CJ4 &gt; 0, 1,0)</f>
        <v>1</v>
      </c>
      <c r="DD4" s="79">
        <v>2</v>
      </c>
      <c r="DE4" s="67">
        <v>375</v>
      </c>
      <c r="DF4" s="67">
        <v>0</v>
      </c>
      <c r="DG4" s="67">
        <v>0</v>
      </c>
      <c r="DH4" s="79">
        <v>375</v>
      </c>
      <c r="DI4" s="67" t="s">
        <v>0</v>
      </c>
    </row>
    <row r="5" spans="1:113" s="67" customFormat="1" ht="15.75" thickBot="1" x14ac:dyDescent="0.3">
      <c r="A5" s="67">
        <v>127675</v>
      </c>
      <c r="B5" s="67" t="s">
        <v>6</v>
      </c>
      <c r="C5" s="68">
        <v>60</v>
      </c>
      <c r="D5" s="67">
        <v>60</v>
      </c>
      <c r="E5" s="67">
        <v>0</v>
      </c>
      <c r="F5" s="67">
        <v>60</v>
      </c>
      <c r="G5" s="67">
        <v>506</v>
      </c>
      <c r="H5" s="67">
        <v>0</v>
      </c>
      <c r="I5" s="67">
        <v>15</v>
      </c>
      <c r="J5" s="46" t="s">
        <v>166</v>
      </c>
      <c r="K5" s="46" t="s">
        <v>165</v>
      </c>
      <c r="L5" s="47">
        <v>45432.578865740703</v>
      </c>
      <c r="M5" s="67">
        <v>0</v>
      </c>
      <c r="N5" s="67">
        <v>0</v>
      </c>
      <c r="O5" s="67">
        <v>0</v>
      </c>
      <c r="R5" s="67" t="s">
        <v>24</v>
      </c>
      <c r="S5" s="67" t="b">
        <v>0</v>
      </c>
      <c r="T5" s="67">
        <v>0.01</v>
      </c>
      <c r="U5" s="80">
        <v>5</v>
      </c>
      <c r="V5" s="67">
        <v>0.01</v>
      </c>
      <c r="W5" s="67">
        <v>0</v>
      </c>
      <c r="X5" s="67">
        <v>2000</v>
      </c>
      <c r="Y5" s="67">
        <v>0</v>
      </c>
      <c r="Z5" s="67">
        <v>10</v>
      </c>
      <c r="AA5" s="67">
        <v>0</v>
      </c>
      <c r="AB5" s="70">
        <v>30</v>
      </c>
      <c r="AC5" s="67">
        <v>0</v>
      </c>
      <c r="AD5" s="67">
        <v>10</v>
      </c>
      <c r="AE5" s="67">
        <v>0</v>
      </c>
      <c r="AF5" s="67">
        <v>2000</v>
      </c>
      <c r="AG5" s="67">
        <v>2</v>
      </c>
      <c r="AH5" s="67">
        <v>5.33</v>
      </c>
      <c r="AI5" s="67">
        <v>559</v>
      </c>
      <c r="AJ5" s="67">
        <v>0</v>
      </c>
      <c r="AK5" s="67">
        <v>67</v>
      </c>
      <c r="AL5" s="67">
        <v>0</v>
      </c>
      <c r="AM5" s="67" t="s">
        <v>2</v>
      </c>
      <c r="AN5" s="67">
        <v>0</v>
      </c>
      <c r="AO5" s="67">
        <v>30</v>
      </c>
      <c r="AP5" s="67">
        <v>0</v>
      </c>
      <c r="AW5" s="67" t="b">
        <v>0</v>
      </c>
      <c r="AZ5" s="67" t="s">
        <v>24</v>
      </c>
      <c r="BB5" s="31"/>
      <c r="BC5" s="67">
        <v>10</v>
      </c>
      <c r="BD5" s="131"/>
      <c r="BE5" s="31"/>
      <c r="BF5" s="67">
        <v>1.2</v>
      </c>
      <c r="BG5" s="67">
        <v>0</v>
      </c>
      <c r="BH5" s="67">
        <v>0</v>
      </c>
      <c r="BI5" s="67">
        <v>0</v>
      </c>
      <c r="BJ5" s="67">
        <v>1.2</v>
      </c>
      <c r="BK5" s="67">
        <v>5.5</v>
      </c>
      <c r="BL5" s="67">
        <v>6</v>
      </c>
      <c r="BM5" s="67" t="s">
        <v>1</v>
      </c>
      <c r="BN5" s="57">
        <f t="shared" si="0"/>
        <v>60</v>
      </c>
      <c r="BO5" s="81">
        <f t="shared" si="1"/>
        <v>5</v>
      </c>
      <c r="BP5" s="72">
        <v>200</v>
      </c>
      <c r="BQ5" s="82">
        <v>4.2409999999999997</v>
      </c>
      <c r="BR5" s="73">
        <v>4.0199999999999996</v>
      </c>
      <c r="BS5" s="73">
        <v>4.1304999999999996</v>
      </c>
      <c r="BT5" s="37"/>
      <c r="BU5" s="37"/>
      <c r="BV5" s="74">
        <v>0</v>
      </c>
      <c r="BW5" s="37"/>
      <c r="BX5" s="74">
        <v>0</v>
      </c>
      <c r="BY5" s="37"/>
      <c r="BZ5" s="74"/>
      <c r="CA5" s="37"/>
      <c r="CB5" s="74"/>
      <c r="CC5" s="37"/>
      <c r="CD5" s="37"/>
      <c r="CE5" s="75"/>
      <c r="CF5" s="76" t="s">
        <v>120</v>
      </c>
      <c r="CG5" s="83">
        <v>4.1304999999999996</v>
      </c>
      <c r="CH5" s="83" t="str">
        <f t="shared" si="2"/>
        <v xml:space="preserve"> </v>
      </c>
      <c r="CI5" s="67">
        <f t="shared" si="3"/>
        <v>4.57</v>
      </c>
      <c r="CJ5" s="78">
        <v>0</v>
      </c>
      <c r="CK5" s="67">
        <v>0</v>
      </c>
      <c r="CL5" s="67">
        <v>0</v>
      </c>
      <c r="CM5" s="67">
        <v>0</v>
      </c>
      <c r="CN5" s="67">
        <v>0</v>
      </c>
      <c r="CO5" s="67">
        <v>0</v>
      </c>
      <c r="CP5" s="77">
        <v>1</v>
      </c>
      <c r="CQ5" s="67">
        <v>0</v>
      </c>
      <c r="CR5" s="67">
        <v>0</v>
      </c>
      <c r="CS5" s="67">
        <v>0</v>
      </c>
      <c r="CT5" s="67">
        <v>0</v>
      </c>
      <c r="CU5" s="78">
        <v>1</v>
      </c>
      <c r="CV5" s="67">
        <v>0</v>
      </c>
      <c r="CW5" s="67">
        <v>0</v>
      </c>
      <c r="CX5" s="67">
        <v>0</v>
      </c>
      <c r="CY5" s="67">
        <v>0</v>
      </c>
      <c r="CZ5" s="67">
        <v>0</v>
      </c>
      <c r="DA5" s="67">
        <v>0</v>
      </c>
      <c r="DB5" s="67">
        <v>0</v>
      </c>
      <c r="DC5" s="15">
        <f t="shared" si="4"/>
        <v>1</v>
      </c>
      <c r="DD5" s="79">
        <v>2</v>
      </c>
      <c r="DE5" s="67">
        <v>375</v>
      </c>
      <c r="DF5" s="67">
        <v>0</v>
      </c>
      <c r="DG5" s="67">
        <v>0</v>
      </c>
      <c r="DH5" s="79">
        <v>375</v>
      </c>
      <c r="DI5" s="67" t="s">
        <v>0</v>
      </c>
    </row>
    <row r="6" spans="1:113" s="67" customFormat="1" ht="15.75" thickBot="1" x14ac:dyDescent="0.3">
      <c r="A6" s="67">
        <v>127677</v>
      </c>
      <c r="B6" s="67" t="s">
        <v>6</v>
      </c>
      <c r="C6" s="68">
        <v>60</v>
      </c>
      <c r="D6" s="67">
        <v>60</v>
      </c>
      <c r="E6" s="67">
        <v>0</v>
      </c>
      <c r="F6" s="67">
        <v>60</v>
      </c>
      <c r="G6" s="67">
        <v>508</v>
      </c>
      <c r="H6" s="67">
        <v>0</v>
      </c>
      <c r="I6" s="67">
        <v>15</v>
      </c>
      <c r="J6" s="46" t="s">
        <v>164</v>
      </c>
      <c r="K6" s="46" t="s">
        <v>163</v>
      </c>
      <c r="L6" s="47">
        <v>45432.582291666702</v>
      </c>
      <c r="M6" s="67">
        <v>0</v>
      </c>
      <c r="N6" s="67">
        <v>0</v>
      </c>
      <c r="O6" s="67">
        <v>0</v>
      </c>
      <c r="R6" s="67" t="s">
        <v>24</v>
      </c>
      <c r="S6" s="67" t="b">
        <v>0</v>
      </c>
      <c r="T6" s="67">
        <v>0.01</v>
      </c>
      <c r="U6" s="80">
        <v>6</v>
      </c>
      <c r="V6" s="67">
        <v>0.01</v>
      </c>
      <c r="W6" s="67">
        <v>0</v>
      </c>
      <c r="X6" s="67">
        <v>2000</v>
      </c>
      <c r="Y6" s="67">
        <v>0</v>
      </c>
      <c r="Z6" s="67">
        <v>10</v>
      </c>
      <c r="AA6" s="67">
        <v>0</v>
      </c>
      <c r="AB6" s="70">
        <v>30</v>
      </c>
      <c r="AC6" s="67">
        <v>0</v>
      </c>
      <c r="AD6" s="67">
        <v>10</v>
      </c>
      <c r="AE6" s="67">
        <v>0</v>
      </c>
      <c r="AF6" s="67">
        <v>2000</v>
      </c>
      <c r="AG6" s="67">
        <v>2</v>
      </c>
      <c r="AH6" s="67">
        <v>6.41</v>
      </c>
      <c r="AI6" s="67">
        <v>584</v>
      </c>
      <c r="AJ6" s="67">
        <v>0</v>
      </c>
      <c r="AK6" s="67">
        <v>86</v>
      </c>
      <c r="AL6" s="67">
        <v>0</v>
      </c>
      <c r="AM6" s="67" t="s">
        <v>2</v>
      </c>
      <c r="AN6" s="67">
        <v>0</v>
      </c>
      <c r="AO6" s="67">
        <v>30</v>
      </c>
      <c r="AP6" s="67">
        <v>0</v>
      </c>
      <c r="AW6" s="67" t="b">
        <v>0</v>
      </c>
      <c r="AZ6" s="67" t="s">
        <v>24</v>
      </c>
      <c r="BB6" s="31"/>
      <c r="BC6" s="67">
        <v>11</v>
      </c>
      <c r="BD6" s="84"/>
      <c r="BE6" s="31"/>
      <c r="BF6" s="67">
        <v>1.2</v>
      </c>
      <c r="BG6" s="67">
        <v>0</v>
      </c>
      <c r="BH6" s="67">
        <v>0</v>
      </c>
      <c r="BI6" s="67">
        <v>0</v>
      </c>
      <c r="BJ6" s="67">
        <v>1.2</v>
      </c>
      <c r="BK6" s="67">
        <v>5.5</v>
      </c>
      <c r="BL6" s="67">
        <v>6</v>
      </c>
      <c r="BM6" s="67" t="s">
        <v>1</v>
      </c>
      <c r="BN6" s="57">
        <f t="shared" si="0"/>
        <v>60</v>
      </c>
      <c r="BO6" s="81">
        <f t="shared" si="1"/>
        <v>6</v>
      </c>
      <c r="BP6" s="72">
        <v>200</v>
      </c>
      <c r="BQ6" s="73">
        <v>4.5179999999999998</v>
      </c>
      <c r="BR6" s="73">
        <v>4.4550000000000001</v>
      </c>
      <c r="BS6" s="73">
        <v>4.4864999999999995</v>
      </c>
      <c r="BT6" s="37"/>
      <c r="BU6" s="37"/>
      <c r="BV6" s="74">
        <v>0</v>
      </c>
      <c r="BW6" s="37"/>
      <c r="BX6" s="74">
        <v>0</v>
      </c>
      <c r="BY6" s="37"/>
      <c r="BZ6" s="74"/>
      <c r="CA6" s="37"/>
      <c r="CB6" s="74"/>
      <c r="CC6" s="37"/>
      <c r="CD6" s="37"/>
      <c r="CE6" s="75"/>
      <c r="CF6" s="76" t="s">
        <v>120</v>
      </c>
      <c r="CG6" s="67">
        <v>4.4864999999999995</v>
      </c>
      <c r="CH6" s="67" t="str">
        <f t="shared" si="2"/>
        <v xml:space="preserve"> </v>
      </c>
      <c r="CI6" s="67">
        <f t="shared" si="3"/>
        <v>4.57</v>
      </c>
      <c r="CJ6" s="78">
        <v>0</v>
      </c>
      <c r="CK6" s="67">
        <v>0</v>
      </c>
      <c r="CL6" s="67">
        <v>0</v>
      </c>
      <c r="CM6" s="67">
        <v>0</v>
      </c>
      <c r="CN6" s="67">
        <v>0</v>
      </c>
      <c r="CO6" s="67">
        <v>0</v>
      </c>
      <c r="CP6" s="77">
        <v>1</v>
      </c>
      <c r="CQ6" s="67">
        <v>0</v>
      </c>
      <c r="CR6" s="67">
        <v>0</v>
      </c>
      <c r="CS6" s="67">
        <v>0</v>
      </c>
      <c r="CT6" s="67">
        <v>0</v>
      </c>
      <c r="CU6" s="78">
        <v>1</v>
      </c>
      <c r="CV6" s="67">
        <v>0</v>
      </c>
      <c r="CW6" s="67">
        <v>0</v>
      </c>
      <c r="CX6" s="67">
        <v>0</v>
      </c>
      <c r="CY6" s="67">
        <v>0</v>
      </c>
      <c r="CZ6" s="67">
        <v>0</v>
      </c>
      <c r="DA6" s="67">
        <v>0</v>
      </c>
      <c r="DB6" s="67">
        <v>0</v>
      </c>
      <c r="DC6" s="15">
        <f t="shared" si="4"/>
        <v>1</v>
      </c>
      <c r="DD6" s="79">
        <v>2</v>
      </c>
      <c r="DE6" s="67">
        <v>540</v>
      </c>
      <c r="DF6" s="67">
        <v>0</v>
      </c>
      <c r="DG6" s="67">
        <v>0</v>
      </c>
      <c r="DH6" s="79">
        <v>540</v>
      </c>
      <c r="DI6" s="67" t="s">
        <v>0</v>
      </c>
    </row>
    <row r="7" spans="1:113" s="67" customFormat="1" ht="15.75" thickBot="1" x14ac:dyDescent="0.3">
      <c r="A7" s="67">
        <v>127679</v>
      </c>
      <c r="B7" s="67" t="s">
        <v>6</v>
      </c>
      <c r="C7" s="68">
        <v>60</v>
      </c>
      <c r="D7" s="67">
        <v>60</v>
      </c>
      <c r="E7" s="67">
        <v>0</v>
      </c>
      <c r="F7" s="67">
        <v>60</v>
      </c>
      <c r="G7" s="67">
        <v>510</v>
      </c>
      <c r="H7" s="67">
        <v>0</v>
      </c>
      <c r="I7" s="67">
        <v>15</v>
      </c>
      <c r="J7" s="46" t="s">
        <v>162</v>
      </c>
      <c r="K7" s="46" t="s">
        <v>161</v>
      </c>
      <c r="L7" s="47">
        <v>45432.582430555602</v>
      </c>
      <c r="M7" s="67">
        <v>0</v>
      </c>
      <c r="N7" s="67">
        <v>0</v>
      </c>
      <c r="O7" s="67">
        <v>0</v>
      </c>
      <c r="R7" s="67" t="s">
        <v>24</v>
      </c>
      <c r="S7" s="67" t="b">
        <v>0</v>
      </c>
      <c r="T7" s="67">
        <v>0.01</v>
      </c>
      <c r="U7" s="80">
        <v>6</v>
      </c>
      <c r="V7" s="67">
        <v>0.01</v>
      </c>
      <c r="W7" s="67">
        <v>0</v>
      </c>
      <c r="X7" s="67">
        <v>2000</v>
      </c>
      <c r="Y7" s="67">
        <v>0</v>
      </c>
      <c r="Z7" s="67">
        <v>10</v>
      </c>
      <c r="AA7" s="67">
        <v>0</v>
      </c>
      <c r="AB7" s="70">
        <v>30</v>
      </c>
      <c r="AC7" s="67">
        <v>0</v>
      </c>
      <c r="AD7" s="67">
        <v>10</v>
      </c>
      <c r="AE7" s="67">
        <v>0</v>
      </c>
      <c r="AF7" s="67">
        <v>2000</v>
      </c>
      <c r="AG7" s="67">
        <v>2</v>
      </c>
      <c r="AH7" s="67">
        <v>6.36</v>
      </c>
      <c r="AI7" s="67">
        <v>571</v>
      </c>
      <c r="AJ7" s="67">
        <v>0</v>
      </c>
      <c r="AK7" s="67">
        <v>84</v>
      </c>
      <c r="AL7" s="67">
        <v>0</v>
      </c>
      <c r="AM7" s="67" t="s">
        <v>2</v>
      </c>
      <c r="AN7" s="67">
        <v>0</v>
      </c>
      <c r="AO7" s="67">
        <v>30</v>
      </c>
      <c r="AP7" s="67">
        <v>0</v>
      </c>
      <c r="AW7" s="67" t="b">
        <v>0</v>
      </c>
      <c r="AZ7" s="67" t="s">
        <v>24</v>
      </c>
      <c r="BB7" s="31"/>
      <c r="BC7" s="67">
        <v>12</v>
      </c>
      <c r="BD7" s="84"/>
      <c r="BE7" s="31"/>
      <c r="BF7" s="67">
        <v>1.2</v>
      </c>
      <c r="BG7" s="67">
        <v>0</v>
      </c>
      <c r="BH7" s="67">
        <v>0</v>
      </c>
      <c r="BI7" s="67">
        <v>0</v>
      </c>
      <c r="BJ7" s="67">
        <v>1.2</v>
      </c>
      <c r="BK7" s="67">
        <v>5.5</v>
      </c>
      <c r="BL7" s="67">
        <v>6</v>
      </c>
      <c r="BM7" s="67" t="s">
        <v>1</v>
      </c>
      <c r="BN7" s="57">
        <f t="shared" si="0"/>
        <v>60</v>
      </c>
      <c r="BO7" s="81">
        <f t="shared" si="1"/>
        <v>6</v>
      </c>
      <c r="BP7" s="72">
        <v>200</v>
      </c>
      <c r="BQ7" s="82">
        <v>4.5119999999999996</v>
      </c>
      <c r="BR7" s="73">
        <v>4.79</v>
      </c>
      <c r="BS7" s="82">
        <v>4.6509999999999998</v>
      </c>
      <c r="BT7" s="37"/>
      <c r="BU7" s="37"/>
      <c r="BV7" s="74">
        <v>0</v>
      </c>
      <c r="BW7" s="37"/>
      <c r="BX7" s="74">
        <v>0</v>
      </c>
      <c r="BY7" s="37"/>
      <c r="BZ7" s="74"/>
      <c r="CA7" s="37"/>
      <c r="CB7" s="74"/>
      <c r="CC7" s="37"/>
      <c r="CD7" s="37"/>
      <c r="CE7" s="75"/>
      <c r="CF7" s="76" t="s">
        <v>120</v>
      </c>
      <c r="CG7" s="83">
        <v>4.6509999999999998</v>
      </c>
      <c r="CH7" s="83" t="str">
        <f t="shared" si="2"/>
        <v xml:space="preserve"> </v>
      </c>
      <c r="CI7" s="67">
        <f t="shared" si="3"/>
        <v>4.57</v>
      </c>
      <c r="CJ7" s="67">
        <v>0</v>
      </c>
      <c r="CK7" s="67">
        <v>0</v>
      </c>
      <c r="CL7" s="67">
        <v>0</v>
      </c>
      <c r="CM7" s="67">
        <v>0</v>
      </c>
      <c r="CN7" s="67">
        <v>0</v>
      </c>
      <c r="CO7" s="67">
        <v>0</v>
      </c>
      <c r="CP7" s="77">
        <v>1</v>
      </c>
      <c r="CQ7" s="67">
        <v>0</v>
      </c>
      <c r="CR7" s="67">
        <v>0</v>
      </c>
      <c r="CS7" s="67">
        <v>0</v>
      </c>
      <c r="CT7" s="67">
        <v>0</v>
      </c>
      <c r="CU7" s="78">
        <v>1</v>
      </c>
      <c r="CV7" s="67">
        <v>0</v>
      </c>
      <c r="CW7" s="67">
        <v>0</v>
      </c>
      <c r="CX7" s="67">
        <v>0</v>
      </c>
      <c r="CY7" s="67">
        <v>0</v>
      </c>
      <c r="CZ7" s="67">
        <v>0</v>
      </c>
      <c r="DA7" s="67">
        <v>0</v>
      </c>
      <c r="DB7" s="67">
        <v>0</v>
      </c>
      <c r="DC7" s="15">
        <f t="shared" si="4"/>
        <v>1</v>
      </c>
      <c r="DD7" s="79">
        <v>0</v>
      </c>
      <c r="DE7" s="67">
        <v>540</v>
      </c>
      <c r="DF7" s="67">
        <v>0</v>
      </c>
      <c r="DG7" s="67">
        <v>0</v>
      </c>
      <c r="DH7" s="79">
        <v>540</v>
      </c>
      <c r="DI7" s="67" t="s">
        <v>0</v>
      </c>
    </row>
    <row r="8" spans="1:113" s="67" customFormat="1" ht="15.75" thickBot="1" x14ac:dyDescent="0.3">
      <c r="A8" s="67">
        <v>127681</v>
      </c>
      <c r="B8" s="67" t="s">
        <v>6</v>
      </c>
      <c r="C8" s="68">
        <v>60</v>
      </c>
      <c r="D8" s="67">
        <v>60</v>
      </c>
      <c r="E8" s="67">
        <v>0</v>
      </c>
      <c r="F8" s="67">
        <v>60</v>
      </c>
      <c r="G8" s="67">
        <v>512</v>
      </c>
      <c r="H8" s="67">
        <v>0</v>
      </c>
      <c r="I8" s="67">
        <v>15</v>
      </c>
      <c r="J8" s="46" t="s">
        <v>160</v>
      </c>
      <c r="K8" s="46" t="s">
        <v>159</v>
      </c>
      <c r="L8" s="47">
        <v>45432.583541666703</v>
      </c>
      <c r="M8" s="67">
        <v>0</v>
      </c>
      <c r="N8" s="67">
        <v>0</v>
      </c>
      <c r="O8" s="67">
        <v>0</v>
      </c>
      <c r="R8" s="67" t="s">
        <v>24</v>
      </c>
      <c r="S8" s="67" t="b">
        <v>0</v>
      </c>
      <c r="T8" s="67">
        <v>0.01</v>
      </c>
      <c r="U8" s="80">
        <v>7</v>
      </c>
      <c r="V8" s="67">
        <v>0.01</v>
      </c>
      <c r="W8" s="67">
        <v>0</v>
      </c>
      <c r="X8" s="67">
        <v>2000</v>
      </c>
      <c r="Y8" s="67">
        <v>0</v>
      </c>
      <c r="Z8" s="67">
        <v>10</v>
      </c>
      <c r="AA8" s="67">
        <v>0</v>
      </c>
      <c r="AB8" s="70">
        <v>30</v>
      </c>
      <c r="AC8" s="67">
        <v>0</v>
      </c>
      <c r="AD8" s="67">
        <v>10</v>
      </c>
      <c r="AE8" s="67">
        <v>0</v>
      </c>
      <c r="AF8" s="67">
        <v>2000</v>
      </c>
      <c r="AG8" s="67">
        <v>2</v>
      </c>
      <c r="AH8" s="67">
        <v>7.46</v>
      </c>
      <c r="AI8" s="67">
        <v>601</v>
      </c>
      <c r="AJ8" s="67">
        <v>0</v>
      </c>
      <c r="AK8" s="67">
        <v>107</v>
      </c>
      <c r="AL8" s="67">
        <v>0</v>
      </c>
      <c r="AM8" s="67" t="s">
        <v>2</v>
      </c>
      <c r="AN8" s="67">
        <v>0</v>
      </c>
      <c r="AO8" s="67">
        <v>30</v>
      </c>
      <c r="AP8" s="67">
        <v>0</v>
      </c>
      <c r="AW8" s="67" t="b">
        <v>0</v>
      </c>
      <c r="AZ8" s="67" t="s">
        <v>24</v>
      </c>
      <c r="BB8" s="31"/>
      <c r="BC8" s="67">
        <v>13</v>
      </c>
      <c r="BD8" s="84"/>
      <c r="BE8" s="31"/>
      <c r="BF8" s="67">
        <v>1.2</v>
      </c>
      <c r="BG8" s="67">
        <v>0</v>
      </c>
      <c r="BH8" s="67">
        <v>0</v>
      </c>
      <c r="BI8" s="67">
        <v>0</v>
      </c>
      <c r="BJ8" s="67">
        <v>1.2</v>
      </c>
      <c r="BK8" s="67">
        <v>5.5</v>
      </c>
      <c r="BL8" s="67">
        <v>6</v>
      </c>
      <c r="BM8" s="67" t="s">
        <v>1</v>
      </c>
      <c r="BN8" s="57">
        <f t="shared" si="0"/>
        <v>60</v>
      </c>
      <c r="BO8" s="81">
        <f t="shared" si="1"/>
        <v>7</v>
      </c>
      <c r="BP8" s="72">
        <v>200</v>
      </c>
      <c r="BQ8" s="73">
        <v>4.9009999999999998</v>
      </c>
      <c r="BR8" s="73">
        <v>4.7690000000000001</v>
      </c>
      <c r="BS8" s="73">
        <v>4.835</v>
      </c>
      <c r="BT8" s="37"/>
      <c r="BU8" s="37"/>
      <c r="BV8" s="74">
        <v>0</v>
      </c>
      <c r="BW8" s="37"/>
      <c r="BX8" s="74">
        <v>0</v>
      </c>
      <c r="BY8" s="37"/>
      <c r="BZ8" s="74"/>
      <c r="CA8" s="37"/>
      <c r="CB8" s="74"/>
      <c r="CC8" s="37"/>
      <c r="CD8" s="37"/>
      <c r="CE8" s="75"/>
      <c r="CF8" s="76" t="s">
        <v>99</v>
      </c>
      <c r="CG8" s="67">
        <v>4.835</v>
      </c>
      <c r="CH8" s="67" t="str">
        <f t="shared" si="2"/>
        <v xml:space="preserve"> </v>
      </c>
      <c r="CI8" s="67">
        <f t="shared" si="3"/>
        <v>4.57</v>
      </c>
      <c r="CJ8" s="67">
        <v>1</v>
      </c>
      <c r="CK8" s="67">
        <v>0</v>
      </c>
      <c r="CL8" s="67">
        <v>0</v>
      </c>
      <c r="CM8" s="67">
        <v>0</v>
      </c>
      <c r="CN8" s="67">
        <v>1</v>
      </c>
      <c r="CO8" s="67">
        <v>0</v>
      </c>
      <c r="CP8" s="67">
        <v>0</v>
      </c>
      <c r="CQ8" s="67">
        <v>0</v>
      </c>
      <c r="CR8" s="67">
        <v>0</v>
      </c>
      <c r="CS8" s="67">
        <v>0</v>
      </c>
      <c r="CT8" s="67">
        <v>0</v>
      </c>
      <c r="CU8" s="78">
        <v>0</v>
      </c>
      <c r="CV8" s="67">
        <v>0</v>
      </c>
      <c r="CW8" s="67">
        <v>0</v>
      </c>
      <c r="CX8" s="67">
        <v>0</v>
      </c>
      <c r="CY8" s="67">
        <v>0</v>
      </c>
      <c r="CZ8" s="67">
        <v>0</v>
      </c>
      <c r="DA8" s="67">
        <v>0</v>
      </c>
      <c r="DB8" s="67">
        <v>0</v>
      </c>
      <c r="DC8" s="15">
        <f t="shared" si="4"/>
        <v>1</v>
      </c>
      <c r="DD8" s="79">
        <v>0</v>
      </c>
      <c r="DE8" s="67">
        <v>735</v>
      </c>
      <c r="DF8" s="67">
        <v>0</v>
      </c>
      <c r="DG8" s="67">
        <v>0</v>
      </c>
      <c r="DH8" s="67">
        <v>735</v>
      </c>
      <c r="DI8" s="67" t="s">
        <v>0</v>
      </c>
    </row>
    <row r="9" spans="1:113" s="67" customFormat="1" ht="15.75" thickBot="1" x14ac:dyDescent="0.3">
      <c r="A9" s="67">
        <v>127683</v>
      </c>
      <c r="B9" s="67" t="s">
        <v>6</v>
      </c>
      <c r="C9" s="68">
        <v>60</v>
      </c>
      <c r="D9" s="67">
        <v>60</v>
      </c>
      <c r="E9" s="67">
        <v>0</v>
      </c>
      <c r="F9" s="67">
        <v>60</v>
      </c>
      <c r="G9" s="67">
        <v>514</v>
      </c>
      <c r="H9" s="67">
        <v>0</v>
      </c>
      <c r="I9" s="67">
        <v>15</v>
      </c>
      <c r="J9" s="46" t="s">
        <v>158</v>
      </c>
      <c r="K9" s="46" t="s">
        <v>157</v>
      </c>
      <c r="L9" s="47">
        <v>45432.5836458333</v>
      </c>
      <c r="M9" s="67">
        <v>0</v>
      </c>
      <c r="N9" s="67">
        <v>0</v>
      </c>
      <c r="O9" s="67">
        <v>0</v>
      </c>
      <c r="R9" s="67" t="s">
        <v>24</v>
      </c>
      <c r="S9" s="67" t="b">
        <v>0</v>
      </c>
      <c r="T9" s="67">
        <v>0.01</v>
      </c>
      <c r="U9" s="80">
        <v>7</v>
      </c>
      <c r="V9" s="67">
        <v>0.01</v>
      </c>
      <c r="W9" s="67">
        <v>0</v>
      </c>
      <c r="X9" s="67">
        <v>2000</v>
      </c>
      <c r="Y9" s="67">
        <v>0</v>
      </c>
      <c r="Z9" s="67">
        <v>10</v>
      </c>
      <c r="AA9" s="67">
        <v>0</v>
      </c>
      <c r="AB9" s="70">
        <v>30</v>
      </c>
      <c r="AC9" s="67">
        <v>0</v>
      </c>
      <c r="AD9" s="67">
        <v>10</v>
      </c>
      <c r="AE9" s="67">
        <v>0</v>
      </c>
      <c r="AF9" s="67">
        <v>2000</v>
      </c>
      <c r="AG9" s="67">
        <v>2</v>
      </c>
      <c r="AH9" s="67">
        <v>7.47</v>
      </c>
      <c r="AI9" s="67">
        <v>601</v>
      </c>
      <c r="AJ9" s="67">
        <v>0</v>
      </c>
      <c r="AK9" s="67">
        <v>107</v>
      </c>
      <c r="AL9" s="67">
        <v>0</v>
      </c>
      <c r="AM9" s="67" t="s">
        <v>2</v>
      </c>
      <c r="AN9" s="67">
        <v>0</v>
      </c>
      <c r="AO9" s="67">
        <v>30</v>
      </c>
      <c r="AP9" s="67">
        <v>0</v>
      </c>
      <c r="AW9" s="67" t="b">
        <v>0</v>
      </c>
      <c r="AZ9" s="67" t="s">
        <v>24</v>
      </c>
      <c r="BB9" s="31"/>
      <c r="BC9" s="67">
        <v>14</v>
      </c>
      <c r="BD9" s="84"/>
      <c r="BE9" s="31"/>
      <c r="BF9" s="67">
        <v>1.2</v>
      </c>
      <c r="BG9" s="67">
        <v>0</v>
      </c>
      <c r="BH9" s="67">
        <v>0</v>
      </c>
      <c r="BI9" s="67">
        <v>0</v>
      </c>
      <c r="BJ9" s="67">
        <v>1.2</v>
      </c>
      <c r="BK9" s="67">
        <v>5.5</v>
      </c>
      <c r="BL9" s="67">
        <v>6</v>
      </c>
      <c r="BM9" s="67" t="s">
        <v>1</v>
      </c>
      <c r="BN9" s="57">
        <f t="shared" si="0"/>
        <v>60</v>
      </c>
      <c r="BO9" s="81">
        <f t="shared" si="1"/>
        <v>7</v>
      </c>
      <c r="BP9" s="72">
        <v>200</v>
      </c>
      <c r="BQ9" s="73">
        <v>4.9740000000000002</v>
      </c>
      <c r="BR9" s="73">
        <v>5.0579999999999998</v>
      </c>
      <c r="BS9" s="73">
        <v>5.016</v>
      </c>
      <c r="BT9" s="37"/>
      <c r="BU9" s="37"/>
      <c r="BV9" s="74">
        <v>0</v>
      </c>
      <c r="BW9" s="37"/>
      <c r="BX9" s="74">
        <v>0</v>
      </c>
      <c r="BY9" s="37"/>
      <c r="BZ9" s="74"/>
      <c r="CA9" s="37"/>
      <c r="CB9" s="74"/>
      <c r="CC9" s="37"/>
      <c r="CD9" s="37"/>
      <c r="CE9" s="75"/>
      <c r="CF9" s="76" t="s">
        <v>99</v>
      </c>
      <c r="CG9" s="67">
        <v>5.016</v>
      </c>
      <c r="CH9" s="67" t="str">
        <f t="shared" si="2"/>
        <v xml:space="preserve"> </v>
      </c>
      <c r="CI9" s="67">
        <f t="shared" si="3"/>
        <v>4.57</v>
      </c>
      <c r="CJ9" s="67">
        <v>1</v>
      </c>
      <c r="CK9" s="67">
        <v>0</v>
      </c>
      <c r="CL9" s="67">
        <v>0</v>
      </c>
      <c r="CM9" s="67">
        <v>0</v>
      </c>
      <c r="CN9" s="67">
        <v>1</v>
      </c>
      <c r="CO9" s="67">
        <v>0</v>
      </c>
      <c r="CP9" s="67">
        <v>0</v>
      </c>
      <c r="CQ9" s="67">
        <v>0</v>
      </c>
      <c r="CR9" s="67">
        <v>0</v>
      </c>
      <c r="CS9" s="67">
        <v>0</v>
      </c>
      <c r="CT9" s="67">
        <v>0</v>
      </c>
      <c r="CU9" s="78">
        <v>0</v>
      </c>
      <c r="CV9" s="67">
        <v>0</v>
      </c>
      <c r="CW9" s="67">
        <v>0</v>
      </c>
      <c r="CX9" s="67">
        <v>0</v>
      </c>
      <c r="CY9" s="67">
        <v>0</v>
      </c>
      <c r="CZ9" s="67">
        <v>0</v>
      </c>
      <c r="DA9" s="67">
        <v>0</v>
      </c>
      <c r="DB9" s="67">
        <v>0</v>
      </c>
      <c r="DC9" s="15">
        <f t="shared" si="4"/>
        <v>1</v>
      </c>
      <c r="DD9" s="79">
        <v>0</v>
      </c>
      <c r="DE9" s="67">
        <v>735</v>
      </c>
      <c r="DF9" s="67">
        <v>0</v>
      </c>
      <c r="DG9" s="67">
        <v>0</v>
      </c>
      <c r="DH9" s="67">
        <v>735</v>
      </c>
      <c r="DI9" s="67" t="s">
        <v>0</v>
      </c>
    </row>
    <row r="10" spans="1:113" s="67" customFormat="1" ht="15.75" thickBot="1" x14ac:dyDescent="0.3">
      <c r="A10" s="67">
        <v>127685</v>
      </c>
      <c r="B10" s="67" t="s">
        <v>6</v>
      </c>
      <c r="C10" s="68">
        <v>60</v>
      </c>
      <c r="D10" s="67">
        <v>60</v>
      </c>
      <c r="E10" s="67">
        <v>0</v>
      </c>
      <c r="F10" s="67">
        <v>60</v>
      </c>
      <c r="G10" s="67">
        <v>516</v>
      </c>
      <c r="H10" s="67">
        <v>0</v>
      </c>
      <c r="I10" s="67">
        <v>15</v>
      </c>
      <c r="J10" s="46" t="s">
        <v>156</v>
      </c>
      <c r="K10" s="46" t="s">
        <v>155</v>
      </c>
      <c r="L10" s="47">
        <v>45432.584293981497</v>
      </c>
      <c r="M10" s="67">
        <v>0</v>
      </c>
      <c r="N10" s="67">
        <v>0</v>
      </c>
      <c r="O10" s="67">
        <v>0</v>
      </c>
      <c r="R10" s="67" t="s">
        <v>24</v>
      </c>
      <c r="S10" s="67" t="b">
        <v>0</v>
      </c>
      <c r="T10" s="67">
        <v>0.01</v>
      </c>
      <c r="U10" s="80">
        <v>8</v>
      </c>
      <c r="V10" s="67">
        <v>0.01</v>
      </c>
      <c r="W10" s="67">
        <v>0</v>
      </c>
      <c r="X10" s="67">
        <v>2000</v>
      </c>
      <c r="Y10" s="67">
        <v>0</v>
      </c>
      <c r="Z10" s="67">
        <v>10</v>
      </c>
      <c r="AA10" s="67">
        <v>0</v>
      </c>
      <c r="AB10" s="70">
        <v>30</v>
      </c>
      <c r="AC10" s="67">
        <v>0</v>
      </c>
      <c r="AD10" s="67">
        <v>10</v>
      </c>
      <c r="AE10" s="67">
        <v>0</v>
      </c>
      <c r="AF10" s="67">
        <v>2000</v>
      </c>
      <c r="AG10" s="67">
        <v>2</v>
      </c>
      <c r="AH10" s="67">
        <v>8.58</v>
      </c>
      <c r="AI10" s="67">
        <v>639</v>
      </c>
      <c r="AJ10" s="67">
        <v>0</v>
      </c>
      <c r="AK10" s="67">
        <v>132</v>
      </c>
      <c r="AL10" s="67">
        <v>0</v>
      </c>
      <c r="AM10" s="67" t="s">
        <v>2</v>
      </c>
      <c r="AN10" s="67">
        <v>0</v>
      </c>
      <c r="AO10" s="67">
        <v>30</v>
      </c>
      <c r="AP10" s="67">
        <v>0</v>
      </c>
      <c r="AW10" s="67" t="b">
        <v>0</v>
      </c>
      <c r="AZ10" s="67" t="s">
        <v>24</v>
      </c>
      <c r="BB10" s="31"/>
      <c r="BC10" s="67">
        <v>15</v>
      </c>
      <c r="BD10" s="84"/>
      <c r="BE10" s="31"/>
      <c r="BF10" s="67">
        <v>1.2</v>
      </c>
      <c r="BG10" s="67">
        <v>0</v>
      </c>
      <c r="BH10" s="67">
        <v>0</v>
      </c>
      <c r="BI10" s="67">
        <v>0</v>
      </c>
      <c r="BJ10" s="67">
        <v>1.2</v>
      </c>
      <c r="BK10" s="67">
        <v>5.5</v>
      </c>
      <c r="BL10" s="67">
        <v>6</v>
      </c>
      <c r="BM10" s="67" t="s">
        <v>1</v>
      </c>
      <c r="BN10" s="57">
        <f t="shared" si="0"/>
        <v>60</v>
      </c>
      <c r="BO10" s="81">
        <f t="shared" si="1"/>
        <v>8</v>
      </c>
      <c r="BP10" s="72">
        <v>200</v>
      </c>
      <c r="BQ10" s="73">
        <v>4.9569999999999999</v>
      </c>
      <c r="BR10" s="73">
        <v>4.9000000000000004</v>
      </c>
      <c r="BS10" s="73">
        <v>4.9284999999999997</v>
      </c>
      <c r="BT10" s="37"/>
      <c r="BU10" s="37"/>
      <c r="BV10" s="74">
        <v>0</v>
      </c>
      <c r="BW10" s="37"/>
      <c r="BX10" s="74">
        <v>0</v>
      </c>
      <c r="BY10" s="37"/>
      <c r="BZ10" s="74"/>
      <c r="CA10" s="37"/>
      <c r="CB10" s="74"/>
      <c r="CC10" s="37"/>
      <c r="CD10" s="37"/>
      <c r="CE10" s="75"/>
      <c r="CF10" s="76" t="s">
        <v>90</v>
      </c>
      <c r="CG10" s="67">
        <v>4.9284999999999997</v>
      </c>
      <c r="CH10" s="67" t="str">
        <f t="shared" si="2"/>
        <v xml:space="preserve"> </v>
      </c>
      <c r="CI10" s="67">
        <f t="shared" si="3"/>
        <v>4.57</v>
      </c>
      <c r="CJ10" s="67">
        <v>1</v>
      </c>
      <c r="CK10" s="67">
        <v>0</v>
      </c>
      <c r="CL10" s="67">
        <v>0</v>
      </c>
      <c r="CM10" s="67">
        <v>0</v>
      </c>
      <c r="CN10" s="67">
        <v>0</v>
      </c>
      <c r="CO10" s="67">
        <v>0</v>
      </c>
      <c r="CP10" s="67">
        <v>0</v>
      </c>
      <c r="CQ10" s="67">
        <v>0</v>
      </c>
      <c r="CR10" s="67">
        <v>0</v>
      </c>
      <c r="CS10" s="67">
        <v>0</v>
      </c>
      <c r="CT10" s="67">
        <v>0</v>
      </c>
      <c r="CU10" s="78">
        <v>0</v>
      </c>
      <c r="CV10" s="67">
        <v>0</v>
      </c>
      <c r="CW10" s="67">
        <v>0</v>
      </c>
      <c r="CX10" s="67">
        <v>0</v>
      </c>
      <c r="CY10" s="67">
        <v>0</v>
      </c>
      <c r="CZ10" s="67">
        <v>0</v>
      </c>
      <c r="DA10" s="67">
        <v>0</v>
      </c>
      <c r="DB10" s="67">
        <v>0</v>
      </c>
      <c r="DC10" s="15">
        <f t="shared" si="4"/>
        <v>1</v>
      </c>
      <c r="DD10" s="79">
        <v>0</v>
      </c>
      <c r="DE10" s="67">
        <v>960</v>
      </c>
      <c r="DF10" s="67">
        <v>0</v>
      </c>
      <c r="DG10" s="67">
        <v>0</v>
      </c>
      <c r="DH10" s="67">
        <v>960</v>
      </c>
      <c r="DI10" s="67" t="s">
        <v>0</v>
      </c>
    </row>
    <row r="11" spans="1:113" s="67" customFormat="1" ht="15.75" thickBot="1" x14ac:dyDescent="0.3">
      <c r="A11" s="67">
        <v>127687</v>
      </c>
      <c r="B11" s="67" t="s">
        <v>6</v>
      </c>
      <c r="C11" s="68">
        <v>60</v>
      </c>
      <c r="D11" s="67">
        <v>60</v>
      </c>
      <c r="E11" s="67">
        <v>0</v>
      </c>
      <c r="F11" s="67">
        <v>60</v>
      </c>
      <c r="G11" s="67">
        <v>518</v>
      </c>
      <c r="H11" s="67">
        <v>0</v>
      </c>
      <c r="I11" s="67">
        <v>15</v>
      </c>
      <c r="J11" s="46" t="s">
        <v>154</v>
      </c>
      <c r="K11" s="46" t="s">
        <v>153</v>
      </c>
      <c r="L11" s="47">
        <v>45432.5844097222</v>
      </c>
      <c r="M11" s="67">
        <v>0</v>
      </c>
      <c r="N11" s="67">
        <v>0</v>
      </c>
      <c r="O11" s="67">
        <v>0</v>
      </c>
      <c r="R11" s="67" t="s">
        <v>24</v>
      </c>
      <c r="S11" s="67" t="b">
        <v>0</v>
      </c>
      <c r="T11" s="67">
        <v>0.01</v>
      </c>
      <c r="U11" s="80">
        <v>8</v>
      </c>
      <c r="V11" s="67">
        <v>0.01</v>
      </c>
      <c r="W11" s="67">
        <v>0</v>
      </c>
      <c r="X11" s="67">
        <v>2000</v>
      </c>
      <c r="Y11" s="67">
        <v>0</v>
      </c>
      <c r="Z11" s="67">
        <v>10</v>
      </c>
      <c r="AA11" s="67">
        <v>0</v>
      </c>
      <c r="AB11" s="70">
        <v>30</v>
      </c>
      <c r="AC11" s="67">
        <v>0</v>
      </c>
      <c r="AD11" s="67">
        <v>10</v>
      </c>
      <c r="AE11" s="67">
        <v>0</v>
      </c>
      <c r="AF11" s="67">
        <v>2000</v>
      </c>
      <c r="AG11" s="67">
        <v>2</v>
      </c>
      <c r="AH11" s="67">
        <v>8.5399999999999991</v>
      </c>
      <c r="AI11" s="67">
        <v>639</v>
      </c>
      <c r="AJ11" s="67">
        <v>0</v>
      </c>
      <c r="AK11" s="67">
        <v>131</v>
      </c>
      <c r="AL11" s="67">
        <v>0</v>
      </c>
      <c r="AM11" s="67" t="s">
        <v>2</v>
      </c>
      <c r="AN11" s="67">
        <v>0</v>
      </c>
      <c r="AO11" s="67">
        <v>30</v>
      </c>
      <c r="AP11" s="67">
        <v>0</v>
      </c>
      <c r="AW11" s="67" t="b">
        <v>0</v>
      </c>
      <c r="AZ11" s="67" t="s">
        <v>24</v>
      </c>
      <c r="BB11" s="31"/>
      <c r="BC11" s="67">
        <v>16</v>
      </c>
      <c r="BD11" s="84"/>
      <c r="BE11" s="31"/>
      <c r="BF11" s="67">
        <v>1.2</v>
      </c>
      <c r="BG11" s="67">
        <v>0</v>
      </c>
      <c r="BH11" s="67">
        <v>0</v>
      </c>
      <c r="BI11" s="67">
        <v>0</v>
      </c>
      <c r="BJ11" s="67">
        <v>1.2</v>
      </c>
      <c r="BK11" s="67">
        <v>5.5</v>
      </c>
      <c r="BL11" s="67">
        <v>6</v>
      </c>
      <c r="BM11" s="67" t="s">
        <v>1</v>
      </c>
      <c r="BN11" s="57">
        <f t="shared" si="0"/>
        <v>60</v>
      </c>
      <c r="BO11" s="81">
        <f t="shared" si="1"/>
        <v>8</v>
      </c>
      <c r="BP11" s="72">
        <v>200</v>
      </c>
      <c r="BQ11" s="73">
        <v>5.05</v>
      </c>
      <c r="BR11" s="73">
        <v>4.9420000000000002</v>
      </c>
      <c r="BS11" s="73">
        <v>4.9960000000000004</v>
      </c>
      <c r="BT11" s="37"/>
      <c r="BU11" s="37"/>
      <c r="BV11" s="74">
        <v>0</v>
      </c>
      <c r="BW11" s="37"/>
      <c r="BX11" s="74">
        <v>0</v>
      </c>
      <c r="BY11" s="37"/>
      <c r="BZ11" s="74"/>
      <c r="CA11" s="37"/>
      <c r="CB11" s="74"/>
      <c r="CC11" s="37"/>
      <c r="CD11" s="37"/>
      <c r="CE11" s="75"/>
      <c r="CF11" s="76" t="s">
        <v>90</v>
      </c>
      <c r="CG11" s="67">
        <v>4.9960000000000004</v>
      </c>
      <c r="CH11" s="67" t="str">
        <f t="shared" si="2"/>
        <v xml:space="preserve"> </v>
      </c>
      <c r="CI11" s="67">
        <f t="shared" si="3"/>
        <v>4.57</v>
      </c>
      <c r="CJ11" s="67">
        <v>0</v>
      </c>
      <c r="CK11" s="67">
        <v>0</v>
      </c>
      <c r="CL11" s="67">
        <v>0</v>
      </c>
      <c r="CM11" s="67">
        <v>0</v>
      </c>
      <c r="CN11" s="67">
        <v>0</v>
      </c>
      <c r="CO11" s="67">
        <v>0</v>
      </c>
      <c r="CP11" s="67">
        <v>0</v>
      </c>
      <c r="CQ11" s="67">
        <v>0</v>
      </c>
      <c r="CR11" s="67">
        <v>0</v>
      </c>
      <c r="CS11" s="67">
        <v>0</v>
      </c>
      <c r="CT11" s="67">
        <v>0</v>
      </c>
      <c r="CU11" s="78">
        <v>0</v>
      </c>
      <c r="CV11" s="67">
        <v>0</v>
      </c>
      <c r="CW11" s="67">
        <v>0</v>
      </c>
      <c r="CX11" s="67">
        <v>0</v>
      </c>
      <c r="CY11" s="67">
        <v>0</v>
      </c>
      <c r="CZ11" s="67">
        <v>0</v>
      </c>
      <c r="DA11" s="67">
        <v>0</v>
      </c>
      <c r="DB11" s="67">
        <v>0</v>
      </c>
      <c r="DC11" s="15">
        <f t="shared" si="4"/>
        <v>0</v>
      </c>
      <c r="DD11" s="79">
        <v>0</v>
      </c>
      <c r="DE11" s="67">
        <v>960</v>
      </c>
      <c r="DF11" s="67">
        <v>0</v>
      </c>
      <c r="DG11" s="67">
        <v>0</v>
      </c>
      <c r="DH11" s="67">
        <v>960</v>
      </c>
      <c r="DI11" s="67" t="s">
        <v>0</v>
      </c>
    </row>
    <row r="12" spans="1:113" s="67" customFormat="1" ht="15.75" thickBot="1" x14ac:dyDescent="0.3">
      <c r="A12" s="67">
        <v>129391</v>
      </c>
      <c r="B12" s="67" t="s">
        <v>6</v>
      </c>
      <c r="C12" s="68">
        <v>60</v>
      </c>
      <c r="D12" s="67">
        <v>60</v>
      </c>
      <c r="E12" s="67">
        <v>0</v>
      </c>
      <c r="F12" s="67">
        <v>60</v>
      </c>
      <c r="G12" s="67">
        <v>692</v>
      </c>
      <c r="H12" s="67">
        <v>0</v>
      </c>
      <c r="I12" s="67">
        <v>20</v>
      </c>
      <c r="J12" s="46" t="s">
        <v>152</v>
      </c>
      <c r="K12" s="46" t="s">
        <v>151</v>
      </c>
      <c r="L12" s="47">
        <v>45433.4948842593</v>
      </c>
      <c r="M12" s="67">
        <v>0</v>
      </c>
      <c r="N12" s="67">
        <v>0</v>
      </c>
      <c r="O12" s="67">
        <v>0</v>
      </c>
      <c r="R12" s="67" t="s">
        <v>24</v>
      </c>
      <c r="S12" s="67" t="b">
        <v>0</v>
      </c>
      <c r="T12" s="67">
        <v>0.01</v>
      </c>
      <c r="U12" s="69">
        <v>9</v>
      </c>
      <c r="V12" s="67">
        <v>0.01</v>
      </c>
      <c r="W12" s="67">
        <v>0</v>
      </c>
      <c r="X12" s="67">
        <v>2000</v>
      </c>
      <c r="Y12" s="67">
        <v>0</v>
      </c>
      <c r="Z12" s="67">
        <v>10</v>
      </c>
      <c r="AA12" s="67">
        <v>0</v>
      </c>
      <c r="AB12" s="85">
        <v>40</v>
      </c>
      <c r="AC12" s="67">
        <v>0</v>
      </c>
      <c r="AD12" s="67">
        <v>10</v>
      </c>
      <c r="AE12" s="67">
        <v>0</v>
      </c>
      <c r="AF12" s="67">
        <v>2000</v>
      </c>
      <c r="AG12" s="67">
        <v>2</v>
      </c>
      <c r="AH12" s="67">
        <v>9.3699999999999992</v>
      </c>
      <c r="AI12" s="67">
        <v>648</v>
      </c>
      <c r="AJ12" s="67">
        <v>0</v>
      </c>
      <c r="AK12" s="67">
        <v>211</v>
      </c>
      <c r="AL12" s="67">
        <v>0</v>
      </c>
      <c r="AM12" s="67" t="s">
        <v>2</v>
      </c>
      <c r="AN12" s="67">
        <v>0</v>
      </c>
      <c r="AO12" s="67">
        <v>40</v>
      </c>
      <c r="AP12" s="67">
        <v>0</v>
      </c>
      <c r="AW12" s="67" t="b">
        <v>0</v>
      </c>
      <c r="AZ12" s="67" t="s">
        <v>24</v>
      </c>
      <c r="BB12" s="31"/>
      <c r="BC12" s="67">
        <v>17</v>
      </c>
      <c r="BD12" s="84"/>
      <c r="BE12" s="31"/>
      <c r="BF12" s="67">
        <v>1.2</v>
      </c>
      <c r="BG12" s="67">
        <v>0</v>
      </c>
      <c r="BH12" s="67">
        <v>0</v>
      </c>
      <c r="BI12" s="67">
        <v>0</v>
      </c>
      <c r="BJ12" s="67">
        <v>1.2</v>
      </c>
      <c r="BK12" s="67">
        <v>5.5</v>
      </c>
      <c r="BL12" s="67">
        <v>6</v>
      </c>
      <c r="BM12" s="67" t="s">
        <v>1</v>
      </c>
      <c r="BN12" s="57">
        <f t="shared" si="0"/>
        <v>60</v>
      </c>
      <c r="BO12" s="71">
        <f t="shared" si="1"/>
        <v>9</v>
      </c>
      <c r="BP12" s="72">
        <v>200</v>
      </c>
      <c r="BQ12" s="73">
        <v>6.2530000000000001</v>
      </c>
      <c r="BR12" s="73">
        <v>6.2949999999999999</v>
      </c>
      <c r="BS12" s="73">
        <v>6.274</v>
      </c>
      <c r="BT12" s="37"/>
      <c r="BU12" s="37"/>
      <c r="BV12" s="74">
        <v>0</v>
      </c>
      <c r="BW12" s="37"/>
      <c r="BX12" s="74">
        <v>0</v>
      </c>
      <c r="BY12" s="37"/>
      <c r="BZ12" s="74"/>
      <c r="CA12" s="37"/>
      <c r="CB12" s="74"/>
      <c r="CC12" s="37"/>
      <c r="CD12" s="37"/>
      <c r="CE12" s="75"/>
      <c r="CF12" s="76" t="s">
        <v>90</v>
      </c>
      <c r="CG12" s="67">
        <v>6.274</v>
      </c>
      <c r="CH12" s="67" t="str">
        <f t="shared" si="2"/>
        <v xml:space="preserve"> </v>
      </c>
      <c r="CI12" s="67">
        <f t="shared" si="3"/>
        <v>4.57</v>
      </c>
      <c r="CJ12" s="67">
        <v>0</v>
      </c>
      <c r="CK12" s="67">
        <v>0</v>
      </c>
      <c r="CL12" s="67">
        <v>0</v>
      </c>
      <c r="CM12" s="67">
        <v>0</v>
      </c>
      <c r="CN12" s="67">
        <v>0</v>
      </c>
      <c r="CO12" s="67">
        <v>0</v>
      </c>
      <c r="CP12" s="67">
        <v>0</v>
      </c>
      <c r="CQ12" s="67">
        <v>0</v>
      </c>
      <c r="CR12" s="15">
        <v>0</v>
      </c>
      <c r="CS12" s="67">
        <v>0</v>
      </c>
      <c r="CT12" s="67">
        <v>0</v>
      </c>
      <c r="CU12" s="78">
        <v>0</v>
      </c>
      <c r="CV12" s="67">
        <v>0</v>
      </c>
      <c r="CW12" s="67">
        <v>0</v>
      </c>
      <c r="CX12" s="67">
        <v>0</v>
      </c>
      <c r="CY12" s="67">
        <v>0</v>
      </c>
      <c r="CZ12" s="67">
        <v>0</v>
      </c>
      <c r="DA12" s="67">
        <v>0</v>
      </c>
      <c r="DB12" s="67">
        <v>0</v>
      </c>
      <c r="DC12" s="15">
        <f t="shared" si="4"/>
        <v>0</v>
      </c>
      <c r="DD12" s="79">
        <v>0</v>
      </c>
      <c r="DE12" s="67">
        <v>1620</v>
      </c>
      <c r="DF12" s="67">
        <v>0</v>
      </c>
      <c r="DG12" s="67">
        <v>0</v>
      </c>
      <c r="DH12" s="79">
        <v>1620</v>
      </c>
      <c r="DI12" s="67" t="s">
        <v>0</v>
      </c>
    </row>
    <row r="13" spans="1:113" s="67" customFormat="1" ht="15.75" thickBot="1" x14ac:dyDescent="0.3">
      <c r="A13" s="67">
        <v>129393</v>
      </c>
      <c r="B13" s="67" t="s">
        <v>6</v>
      </c>
      <c r="C13" s="68">
        <v>60</v>
      </c>
      <c r="D13" s="67">
        <v>60</v>
      </c>
      <c r="E13" s="67">
        <v>0</v>
      </c>
      <c r="F13" s="67">
        <v>60</v>
      </c>
      <c r="G13" s="67">
        <v>694</v>
      </c>
      <c r="H13" s="67">
        <v>0</v>
      </c>
      <c r="I13" s="67">
        <v>20</v>
      </c>
      <c r="J13" s="46" t="s">
        <v>150</v>
      </c>
      <c r="K13" s="46" t="s">
        <v>149</v>
      </c>
      <c r="L13" s="47">
        <v>45433.495000000003</v>
      </c>
      <c r="M13" s="67">
        <v>0</v>
      </c>
      <c r="N13" s="67">
        <v>0</v>
      </c>
      <c r="O13" s="67">
        <v>0</v>
      </c>
      <c r="R13" s="67" t="s">
        <v>24</v>
      </c>
      <c r="S13" s="67" t="b">
        <v>0</v>
      </c>
      <c r="T13" s="67">
        <v>0.01</v>
      </c>
      <c r="U13" s="69">
        <v>9</v>
      </c>
      <c r="V13" s="67">
        <v>0.01</v>
      </c>
      <c r="W13" s="67">
        <v>0</v>
      </c>
      <c r="X13" s="67">
        <v>2000</v>
      </c>
      <c r="Y13" s="67">
        <v>0</v>
      </c>
      <c r="Z13" s="67">
        <v>10</v>
      </c>
      <c r="AA13" s="67">
        <v>0</v>
      </c>
      <c r="AB13" s="85">
        <v>40</v>
      </c>
      <c r="AC13" s="67">
        <v>0</v>
      </c>
      <c r="AD13" s="67">
        <v>10</v>
      </c>
      <c r="AE13" s="67">
        <v>0</v>
      </c>
      <c r="AF13" s="67">
        <v>2000</v>
      </c>
      <c r="AG13" s="67">
        <v>2</v>
      </c>
      <c r="AH13" s="67">
        <v>9.32</v>
      </c>
      <c r="AI13" s="67">
        <v>643</v>
      </c>
      <c r="AJ13" s="67">
        <v>0</v>
      </c>
      <c r="AK13" s="67">
        <v>211</v>
      </c>
      <c r="AL13" s="67">
        <v>0</v>
      </c>
      <c r="AM13" s="67" t="s">
        <v>2</v>
      </c>
      <c r="AN13" s="67">
        <v>0</v>
      </c>
      <c r="AO13" s="67">
        <v>40</v>
      </c>
      <c r="AP13" s="67">
        <v>0</v>
      </c>
      <c r="AW13" s="67" t="b">
        <v>0</v>
      </c>
      <c r="AZ13" s="67" t="s">
        <v>24</v>
      </c>
      <c r="BB13" s="31"/>
      <c r="BC13" s="67">
        <v>18</v>
      </c>
      <c r="BD13" s="84"/>
      <c r="BE13" s="31"/>
      <c r="BF13" s="67">
        <v>1.2</v>
      </c>
      <c r="BG13" s="67">
        <v>0</v>
      </c>
      <c r="BH13" s="67">
        <v>0</v>
      </c>
      <c r="BI13" s="67">
        <v>0</v>
      </c>
      <c r="BJ13" s="67">
        <v>1.2</v>
      </c>
      <c r="BK13" s="67">
        <v>5.5</v>
      </c>
      <c r="BL13" s="67">
        <v>6</v>
      </c>
      <c r="BM13" s="67" t="s">
        <v>1</v>
      </c>
      <c r="BN13" s="57">
        <f t="shared" si="0"/>
        <v>60</v>
      </c>
      <c r="BO13" s="71">
        <f t="shared" si="1"/>
        <v>9</v>
      </c>
      <c r="BP13" s="72">
        <v>200</v>
      </c>
      <c r="BQ13" s="73">
        <v>6.4340000000000002</v>
      </c>
      <c r="BR13" s="73">
        <v>6.6989999999999998</v>
      </c>
      <c r="BS13" s="73">
        <v>6.5664999999999996</v>
      </c>
      <c r="BT13" s="37"/>
      <c r="BU13" s="37"/>
      <c r="BV13" s="74">
        <v>0</v>
      </c>
      <c r="BW13" s="37"/>
      <c r="BX13" s="74">
        <v>0</v>
      </c>
      <c r="BY13" s="37"/>
      <c r="BZ13" s="74"/>
      <c r="CA13" s="37"/>
      <c r="CB13" s="74"/>
      <c r="CC13" s="37"/>
      <c r="CD13" s="37"/>
      <c r="CE13" s="75"/>
      <c r="CF13" s="76" t="s">
        <v>90</v>
      </c>
      <c r="CG13" s="83">
        <v>6.5664999999999996</v>
      </c>
      <c r="CH13" s="83" t="str">
        <f t="shared" si="2"/>
        <v xml:space="preserve"> </v>
      </c>
      <c r="CI13" s="67">
        <f t="shared" si="3"/>
        <v>4.57</v>
      </c>
      <c r="CJ13" s="67">
        <v>0</v>
      </c>
      <c r="CK13" s="67">
        <v>0</v>
      </c>
      <c r="CL13" s="67">
        <v>0</v>
      </c>
      <c r="CM13" s="67">
        <v>0</v>
      </c>
      <c r="CN13" s="67">
        <v>0</v>
      </c>
      <c r="CO13" s="67">
        <v>0</v>
      </c>
      <c r="CP13" s="67">
        <v>0</v>
      </c>
      <c r="CQ13" s="67">
        <v>0</v>
      </c>
      <c r="CR13" s="15">
        <v>0</v>
      </c>
      <c r="CS13" s="67">
        <v>0</v>
      </c>
      <c r="CT13" s="67">
        <v>0</v>
      </c>
      <c r="CU13" s="78">
        <v>0</v>
      </c>
      <c r="CV13" s="67">
        <v>0</v>
      </c>
      <c r="CW13" s="67">
        <v>0</v>
      </c>
      <c r="CX13" s="67">
        <v>0</v>
      </c>
      <c r="CY13" s="67">
        <v>0</v>
      </c>
      <c r="CZ13" s="67">
        <v>0</v>
      </c>
      <c r="DA13" s="67">
        <v>0</v>
      </c>
      <c r="DB13" s="67">
        <v>0</v>
      </c>
      <c r="DC13" s="15">
        <f t="shared" si="4"/>
        <v>0</v>
      </c>
      <c r="DD13" s="79">
        <v>0</v>
      </c>
      <c r="DE13" s="67">
        <v>1620</v>
      </c>
      <c r="DF13" s="67">
        <v>0</v>
      </c>
      <c r="DG13" s="67">
        <v>0</v>
      </c>
      <c r="DH13" s="79">
        <v>1620</v>
      </c>
      <c r="DI13" s="67" t="s">
        <v>0</v>
      </c>
    </row>
    <row r="14" spans="1:113" s="67" customFormat="1" ht="15.75" thickBot="1" x14ac:dyDescent="0.3">
      <c r="A14" s="67">
        <v>129399</v>
      </c>
      <c r="B14" s="67" t="s">
        <v>6</v>
      </c>
      <c r="C14" s="68">
        <v>60</v>
      </c>
      <c r="D14" s="67">
        <v>60</v>
      </c>
      <c r="E14" s="67">
        <v>0</v>
      </c>
      <c r="F14" s="67">
        <v>60</v>
      </c>
      <c r="G14" s="67">
        <v>700</v>
      </c>
      <c r="H14" s="67">
        <v>0</v>
      </c>
      <c r="I14" s="67">
        <v>30</v>
      </c>
      <c r="J14" s="46" t="s">
        <v>148</v>
      </c>
      <c r="K14" s="46" t="s">
        <v>147</v>
      </c>
      <c r="L14" s="47">
        <v>45433.496203703697</v>
      </c>
      <c r="M14" s="67">
        <v>0</v>
      </c>
      <c r="N14" s="67">
        <v>0</v>
      </c>
      <c r="O14" s="67">
        <v>0</v>
      </c>
      <c r="R14" s="67" t="s">
        <v>24</v>
      </c>
      <c r="S14" s="67" t="b">
        <v>0</v>
      </c>
      <c r="T14" s="67">
        <v>0.01</v>
      </c>
      <c r="U14" s="69">
        <v>9</v>
      </c>
      <c r="V14" s="67">
        <v>0.01</v>
      </c>
      <c r="W14" s="67">
        <v>0</v>
      </c>
      <c r="X14" s="67">
        <v>2000</v>
      </c>
      <c r="Y14" s="67">
        <v>0</v>
      </c>
      <c r="Z14" s="67">
        <v>10</v>
      </c>
      <c r="AA14" s="67">
        <v>0</v>
      </c>
      <c r="AB14" s="85">
        <v>60</v>
      </c>
      <c r="AC14" s="67">
        <v>0</v>
      </c>
      <c r="AD14" s="67">
        <v>10</v>
      </c>
      <c r="AE14" s="67">
        <v>0</v>
      </c>
      <c r="AF14" s="67">
        <v>2000</v>
      </c>
      <c r="AG14" s="67">
        <v>2</v>
      </c>
      <c r="AH14" s="67">
        <v>9.23</v>
      </c>
      <c r="AI14" s="67">
        <v>588</v>
      </c>
      <c r="AJ14" s="67">
        <v>0</v>
      </c>
      <c r="AK14" s="67">
        <v>303</v>
      </c>
      <c r="AL14" s="67">
        <v>0</v>
      </c>
      <c r="AM14" s="67" t="s">
        <v>2</v>
      </c>
      <c r="AN14" s="67">
        <v>0</v>
      </c>
      <c r="AO14" s="67">
        <v>60</v>
      </c>
      <c r="AP14" s="67">
        <v>0</v>
      </c>
      <c r="AW14" s="67" t="b">
        <v>0</v>
      </c>
      <c r="AZ14" s="67" t="s">
        <v>24</v>
      </c>
      <c r="BB14" s="31"/>
      <c r="BC14" s="67">
        <v>21</v>
      </c>
      <c r="BD14" s="84"/>
      <c r="BE14" s="31"/>
      <c r="BF14" s="67">
        <v>1.2</v>
      </c>
      <c r="BG14" s="67">
        <v>0</v>
      </c>
      <c r="BH14" s="67">
        <v>0</v>
      </c>
      <c r="BI14" s="67">
        <v>0</v>
      </c>
      <c r="BJ14" s="67">
        <v>1.2</v>
      </c>
      <c r="BK14" s="67">
        <v>5.5</v>
      </c>
      <c r="BL14" s="67">
        <v>6</v>
      </c>
      <c r="BM14" s="67" t="s">
        <v>1</v>
      </c>
      <c r="BN14" s="57">
        <f t="shared" si="0"/>
        <v>60</v>
      </c>
      <c r="BO14" s="71">
        <f t="shared" si="1"/>
        <v>9</v>
      </c>
      <c r="BP14" s="72">
        <v>200</v>
      </c>
      <c r="BQ14" s="73">
        <v>7.3760000000000003</v>
      </c>
      <c r="BR14" s="73">
        <v>7.2240000000000002</v>
      </c>
      <c r="BS14" s="73">
        <v>7.3000000000000007</v>
      </c>
      <c r="BT14" s="37"/>
      <c r="BU14" s="37"/>
      <c r="BV14" s="74">
        <v>0</v>
      </c>
      <c r="BW14" s="37"/>
      <c r="BX14" s="74">
        <v>0</v>
      </c>
      <c r="BY14" s="37"/>
      <c r="BZ14" s="74"/>
      <c r="CA14" s="37"/>
      <c r="CB14" s="74"/>
      <c r="CC14" s="37"/>
      <c r="CD14" s="37"/>
      <c r="CE14" s="75"/>
      <c r="CF14" s="76" t="s">
        <v>90</v>
      </c>
      <c r="CG14" s="67">
        <v>7.3000000000000007</v>
      </c>
      <c r="CH14" s="67" t="str">
        <f t="shared" si="2"/>
        <v xml:space="preserve"> </v>
      </c>
      <c r="CI14" s="67">
        <f t="shared" si="3"/>
        <v>4.57</v>
      </c>
      <c r="CJ14" s="67">
        <v>0</v>
      </c>
      <c r="CK14" s="67">
        <v>0</v>
      </c>
      <c r="CL14" s="67">
        <v>0</v>
      </c>
      <c r="CM14" s="67">
        <v>0</v>
      </c>
      <c r="CN14" s="67">
        <v>0</v>
      </c>
      <c r="CO14" s="67">
        <v>0</v>
      </c>
      <c r="CP14" s="67">
        <v>0</v>
      </c>
      <c r="CQ14" s="67">
        <v>0</v>
      </c>
      <c r="CR14" s="67">
        <v>0</v>
      </c>
      <c r="CS14" s="67">
        <v>0</v>
      </c>
      <c r="CT14" s="67">
        <v>0</v>
      </c>
      <c r="CU14" s="78">
        <v>0</v>
      </c>
      <c r="CV14" s="67">
        <v>0</v>
      </c>
      <c r="CW14" s="67">
        <v>0</v>
      </c>
      <c r="CX14" s="67">
        <v>0</v>
      </c>
      <c r="CY14" s="67">
        <v>0</v>
      </c>
      <c r="CZ14" s="67">
        <v>0</v>
      </c>
      <c r="DA14" s="67">
        <v>0</v>
      </c>
      <c r="DB14" s="67">
        <v>0</v>
      </c>
      <c r="DC14" s="15">
        <f t="shared" si="4"/>
        <v>0</v>
      </c>
      <c r="DD14" s="79">
        <v>0</v>
      </c>
      <c r="DE14" s="67">
        <v>2430</v>
      </c>
      <c r="DF14" s="67">
        <v>0</v>
      </c>
      <c r="DG14" s="67">
        <v>0</v>
      </c>
      <c r="DH14" s="79">
        <v>2430</v>
      </c>
      <c r="DI14" s="67" t="s">
        <v>0</v>
      </c>
    </row>
    <row r="15" spans="1:113" s="67" customFormat="1" ht="15.75" thickBot="1" x14ac:dyDescent="0.3">
      <c r="A15" s="67">
        <v>129401</v>
      </c>
      <c r="B15" s="67" t="s">
        <v>6</v>
      </c>
      <c r="C15" s="68">
        <v>60</v>
      </c>
      <c r="D15" s="67">
        <v>60</v>
      </c>
      <c r="E15" s="67">
        <v>0</v>
      </c>
      <c r="F15" s="67">
        <v>60</v>
      </c>
      <c r="G15" s="67">
        <v>702</v>
      </c>
      <c r="H15" s="67">
        <v>0</v>
      </c>
      <c r="I15" s="67">
        <v>30</v>
      </c>
      <c r="J15" s="46" t="s">
        <v>146</v>
      </c>
      <c r="K15" s="46" t="s">
        <v>145</v>
      </c>
      <c r="L15" s="47">
        <v>45433.496331018498</v>
      </c>
      <c r="M15" s="67">
        <v>0</v>
      </c>
      <c r="N15" s="67">
        <v>0</v>
      </c>
      <c r="O15" s="67">
        <v>0</v>
      </c>
      <c r="R15" s="67" t="s">
        <v>24</v>
      </c>
      <c r="S15" s="67" t="b">
        <v>0</v>
      </c>
      <c r="T15" s="67">
        <v>0.01</v>
      </c>
      <c r="U15" s="69">
        <v>9</v>
      </c>
      <c r="V15" s="67">
        <v>0.01</v>
      </c>
      <c r="W15" s="67">
        <v>0</v>
      </c>
      <c r="X15" s="67">
        <v>2000</v>
      </c>
      <c r="Y15" s="67">
        <v>0</v>
      </c>
      <c r="Z15" s="67">
        <v>10</v>
      </c>
      <c r="AA15" s="67">
        <v>0</v>
      </c>
      <c r="AB15" s="85">
        <v>60</v>
      </c>
      <c r="AC15" s="67">
        <v>0</v>
      </c>
      <c r="AD15" s="67">
        <v>10</v>
      </c>
      <c r="AE15" s="67">
        <v>0</v>
      </c>
      <c r="AF15" s="67">
        <v>2000</v>
      </c>
      <c r="AG15" s="67">
        <v>2</v>
      </c>
      <c r="AH15" s="67">
        <v>9.2200000000000006</v>
      </c>
      <c r="AI15" s="67">
        <v>593</v>
      </c>
      <c r="AJ15" s="67">
        <v>0</v>
      </c>
      <c r="AK15" s="67">
        <v>303</v>
      </c>
      <c r="AL15" s="67">
        <v>0</v>
      </c>
      <c r="AM15" s="67" t="s">
        <v>2</v>
      </c>
      <c r="AN15" s="67">
        <v>0</v>
      </c>
      <c r="AO15" s="67">
        <v>60</v>
      </c>
      <c r="AP15" s="67">
        <v>0</v>
      </c>
      <c r="AW15" s="67" t="b">
        <v>0</v>
      </c>
      <c r="AZ15" s="67" t="s">
        <v>24</v>
      </c>
      <c r="BB15" s="31"/>
      <c r="BC15" s="67">
        <v>22</v>
      </c>
      <c r="BD15" s="84"/>
      <c r="BE15" s="31"/>
      <c r="BF15" s="67">
        <v>1.2</v>
      </c>
      <c r="BG15" s="67">
        <v>0</v>
      </c>
      <c r="BH15" s="67">
        <v>0</v>
      </c>
      <c r="BI15" s="67">
        <v>0</v>
      </c>
      <c r="BJ15" s="67">
        <v>1.2</v>
      </c>
      <c r="BK15" s="67">
        <v>5.5</v>
      </c>
      <c r="BL15" s="67">
        <v>6</v>
      </c>
      <c r="BM15" s="67" t="s">
        <v>1</v>
      </c>
      <c r="BN15" s="57">
        <f t="shared" si="0"/>
        <v>60</v>
      </c>
      <c r="BO15" s="71">
        <f t="shared" si="1"/>
        <v>9</v>
      </c>
      <c r="BP15" s="72">
        <v>200</v>
      </c>
      <c r="BQ15" s="73">
        <v>7.3789999999999996</v>
      </c>
      <c r="BR15" s="73">
        <v>7.5979999999999999</v>
      </c>
      <c r="BS15" s="73">
        <v>7.4885000000000002</v>
      </c>
      <c r="BT15" s="37"/>
      <c r="BU15" s="37"/>
      <c r="BV15" s="74">
        <v>0</v>
      </c>
      <c r="BW15" s="37"/>
      <c r="BX15" s="74">
        <v>0</v>
      </c>
      <c r="BY15" s="37"/>
      <c r="BZ15" s="74"/>
      <c r="CA15" s="37"/>
      <c r="CB15" s="74"/>
      <c r="CC15" s="37"/>
      <c r="CD15" s="37"/>
      <c r="CE15" s="75"/>
      <c r="CF15" s="76" t="s">
        <v>90</v>
      </c>
      <c r="CG15" s="83">
        <v>7.4885000000000002</v>
      </c>
      <c r="CH15" s="83" t="str">
        <f t="shared" si="2"/>
        <v xml:space="preserve"> </v>
      </c>
      <c r="CI15" s="67">
        <f t="shared" si="3"/>
        <v>4.57</v>
      </c>
      <c r="CJ15" s="67">
        <v>0</v>
      </c>
      <c r="CK15" s="67">
        <v>0</v>
      </c>
      <c r="CL15" s="67">
        <v>0</v>
      </c>
      <c r="CM15" s="67">
        <v>0</v>
      </c>
      <c r="CN15" s="67">
        <v>0</v>
      </c>
      <c r="CO15" s="67">
        <v>0</v>
      </c>
      <c r="CP15" s="67">
        <v>0</v>
      </c>
      <c r="CQ15" s="67">
        <v>0</v>
      </c>
      <c r="CR15" s="67">
        <v>0</v>
      </c>
      <c r="CS15" s="67">
        <v>0</v>
      </c>
      <c r="CT15" s="67">
        <v>0</v>
      </c>
      <c r="CU15" s="78">
        <v>0</v>
      </c>
      <c r="CV15" s="67">
        <v>0</v>
      </c>
      <c r="CW15" s="67">
        <v>0</v>
      </c>
      <c r="CX15" s="67">
        <v>0</v>
      </c>
      <c r="CY15" s="67">
        <v>0</v>
      </c>
      <c r="CZ15" s="67">
        <v>0</v>
      </c>
      <c r="DA15" s="67">
        <v>0</v>
      </c>
      <c r="DB15" s="67">
        <v>0</v>
      </c>
      <c r="DC15" s="15">
        <f t="shared" si="4"/>
        <v>0</v>
      </c>
      <c r="DD15" s="79">
        <v>0</v>
      </c>
      <c r="DE15" s="67">
        <v>2430</v>
      </c>
      <c r="DF15" s="67">
        <v>0</v>
      </c>
      <c r="DG15" s="67">
        <v>0</v>
      </c>
      <c r="DH15" s="79">
        <v>2430</v>
      </c>
      <c r="DI15" s="67" t="s">
        <v>0</v>
      </c>
    </row>
    <row r="16" spans="1:113" s="67" customFormat="1" ht="15.75" thickBot="1" x14ac:dyDescent="0.3">
      <c r="A16" s="67">
        <v>129403</v>
      </c>
      <c r="B16" s="67" t="s">
        <v>6</v>
      </c>
      <c r="C16" s="68">
        <v>60</v>
      </c>
      <c r="D16" s="67">
        <v>60</v>
      </c>
      <c r="E16" s="67">
        <v>0</v>
      </c>
      <c r="F16" s="67">
        <v>60</v>
      </c>
      <c r="G16" s="67">
        <v>704</v>
      </c>
      <c r="H16" s="67">
        <v>0</v>
      </c>
      <c r="I16" s="67">
        <v>35</v>
      </c>
      <c r="J16" s="46" t="s">
        <v>144</v>
      </c>
      <c r="K16" s="46" t="s">
        <v>143</v>
      </c>
      <c r="L16" s="47">
        <v>45433.496817129599</v>
      </c>
      <c r="M16" s="67">
        <v>0</v>
      </c>
      <c r="N16" s="67">
        <v>0</v>
      </c>
      <c r="O16" s="67">
        <v>0</v>
      </c>
      <c r="R16" s="67" t="s">
        <v>24</v>
      </c>
      <c r="S16" s="67" t="b">
        <v>0</v>
      </c>
      <c r="T16" s="67">
        <v>0.01</v>
      </c>
      <c r="U16" s="69">
        <v>9</v>
      </c>
      <c r="V16" s="67">
        <v>0.01</v>
      </c>
      <c r="W16" s="67">
        <v>0</v>
      </c>
      <c r="X16" s="67">
        <v>2000</v>
      </c>
      <c r="Y16" s="67">
        <v>0</v>
      </c>
      <c r="Z16" s="67">
        <v>10</v>
      </c>
      <c r="AA16" s="67">
        <v>0</v>
      </c>
      <c r="AB16" s="85">
        <v>70</v>
      </c>
      <c r="AC16" s="67">
        <v>0</v>
      </c>
      <c r="AD16" s="67">
        <v>10</v>
      </c>
      <c r="AE16" s="67">
        <v>0</v>
      </c>
      <c r="AF16" s="67">
        <v>2000</v>
      </c>
      <c r="AG16" s="67">
        <v>2</v>
      </c>
      <c r="AH16" s="67">
        <v>9.1999999999999993</v>
      </c>
      <c r="AI16" s="67">
        <v>580</v>
      </c>
      <c r="AJ16" s="67">
        <v>0</v>
      </c>
      <c r="AK16" s="67">
        <v>354</v>
      </c>
      <c r="AL16" s="67">
        <v>0</v>
      </c>
      <c r="AM16" s="67" t="s">
        <v>2</v>
      </c>
      <c r="AN16" s="67">
        <v>0</v>
      </c>
      <c r="AO16" s="67">
        <v>70</v>
      </c>
      <c r="AP16" s="67">
        <v>0</v>
      </c>
      <c r="AW16" s="67" t="b">
        <v>0</v>
      </c>
      <c r="AZ16" s="67" t="s">
        <v>24</v>
      </c>
      <c r="BB16" s="31"/>
      <c r="BC16" s="67">
        <v>23</v>
      </c>
      <c r="BD16" s="84"/>
      <c r="BE16" s="31"/>
      <c r="BF16" s="67">
        <v>1.2</v>
      </c>
      <c r="BG16" s="67">
        <v>0</v>
      </c>
      <c r="BH16" s="67">
        <v>0</v>
      </c>
      <c r="BI16" s="67">
        <v>0</v>
      </c>
      <c r="BJ16" s="67">
        <v>1.2</v>
      </c>
      <c r="BK16" s="67">
        <v>5.5</v>
      </c>
      <c r="BL16" s="67">
        <v>6</v>
      </c>
      <c r="BM16" s="67" t="s">
        <v>1</v>
      </c>
      <c r="BN16" s="57">
        <f t="shared" si="0"/>
        <v>60</v>
      </c>
      <c r="BO16" s="71">
        <f t="shared" si="1"/>
        <v>9</v>
      </c>
      <c r="BP16" s="72">
        <v>200</v>
      </c>
      <c r="BQ16" s="73">
        <v>7.36</v>
      </c>
      <c r="BR16" s="73">
        <v>7.774</v>
      </c>
      <c r="BS16" s="73">
        <v>7.5670000000000002</v>
      </c>
      <c r="BT16" s="37"/>
      <c r="BU16" s="37"/>
      <c r="BV16" s="74">
        <v>0</v>
      </c>
      <c r="BW16" s="37"/>
      <c r="BX16" s="74">
        <v>0</v>
      </c>
      <c r="BY16" s="37"/>
      <c r="BZ16" s="74"/>
      <c r="CA16" s="37"/>
      <c r="CB16" s="74"/>
      <c r="CC16" s="37"/>
      <c r="CD16" s="37"/>
      <c r="CE16" s="75"/>
      <c r="CF16" s="76" t="s">
        <v>90</v>
      </c>
      <c r="CG16" s="67">
        <v>7.5670000000000002</v>
      </c>
      <c r="CH16" s="67" t="str">
        <f t="shared" si="2"/>
        <v xml:space="preserve"> </v>
      </c>
      <c r="CI16" s="67">
        <f t="shared" si="3"/>
        <v>4.57</v>
      </c>
      <c r="CJ16" s="67">
        <v>0</v>
      </c>
      <c r="CK16" s="67">
        <v>0</v>
      </c>
      <c r="CL16" s="67">
        <v>0</v>
      </c>
      <c r="CM16" s="67">
        <v>0</v>
      </c>
      <c r="CN16" s="67">
        <v>0</v>
      </c>
      <c r="CO16" s="67">
        <v>0</v>
      </c>
      <c r="CP16" s="67">
        <v>0</v>
      </c>
      <c r="CQ16" s="67">
        <v>0</v>
      </c>
      <c r="CR16" s="67">
        <v>0</v>
      </c>
      <c r="CS16" s="67">
        <v>0</v>
      </c>
      <c r="CT16" s="67">
        <v>0</v>
      </c>
      <c r="CU16" s="78">
        <v>0</v>
      </c>
      <c r="CV16" s="67">
        <v>0</v>
      </c>
      <c r="CW16" s="67">
        <v>0</v>
      </c>
      <c r="CX16" s="67">
        <v>0</v>
      </c>
      <c r="CY16" s="67">
        <v>0</v>
      </c>
      <c r="CZ16" s="67">
        <v>0</v>
      </c>
      <c r="DA16" s="67">
        <v>0</v>
      </c>
      <c r="DB16" s="67">
        <v>0</v>
      </c>
      <c r="DC16" s="15">
        <f t="shared" si="4"/>
        <v>0</v>
      </c>
      <c r="DD16" s="79">
        <v>0</v>
      </c>
      <c r="DE16" s="67">
        <v>2835.0000000000005</v>
      </c>
      <c r="DF16" s="67">
        <v>0</v>
      </c>
      <c r="DG16" s="67">
        <v>0</v>
      </c>
      <c r="DH16" s="79">
        <v>2835.0000000000005</v>
      </c>
      <c r="DI16" s="67" t="s">
        <v>0</v>
      </c>
    </row>
    <row r="17" spans="1:113" s="67" customFormat="1" ht="15.75" thickBot="1" x14ac:dyDescent="0.3">
      <c r="A17" s="67">
        <v>129405</v>
      </c>
      <c r="B17" s="67" t="s">
        <v>6</v>
      </c>
      <c r="C17" s="68">
        <v>60</v>
      </c>
      <c r="D17" s="67">
        <v>60</v>
      </c>
      <c r="E17" s="67">
        <v>0</v>
      </c>
      <c r="F17" s="67">
        <v>60</v>
      </c>
      <c r="G17" s="67">
        <v>706</v>
      </c>
      <c r="H17" s="67">
        <v>0</v>
      </c>
      <c r="I17" s="67">
        <v>35</v>
      </c>
      <c r="J17" s="46" t="s">
        <v>142</v>
      </c>
      <c r="K17" s="46" t="s">
        <v>141</v>
      </c>
      <c r="L17" s="47">
        <v>45433.496932870403</v>
      </c>
      <c r="M17" s="67">
        <v>0</v>
      </c>
      <c r="N17" s="67">
        <v>0</v>
      </c>
      <c r="O17" s="67">
        <v>0</v>
      </c>
      <c r="R17" s="67" t="s">
        <v>24</v>
      </c>
      <c r="S17" s="67" t="b">
        <v>0</v>
      </c>
      <c r="T17" s="67">
        <v>0.01</v>
      </c>
      <c r="U17" s="69">
        <v>9</v>
      </c>
      <c r="V17" s="67">
        <v>0.01</v>
      </c>
      <c r="W17" s="67">
        <v>0</v>
      </c>
      <c r="X17" s="67">
        <v>2000</v>
      </c>
      <c r="Y17" s="67">
        <v>0</v>
      </c>
      <c r="Z17" s="67">
        <v>10</v>
      </c>
      <c r="AA17" s="67">
        <v>0</v>
      </c>
      <c r="AB17" s="85">
        <v>70</v>
      </c>
      <c r="AC17" s="67">
        <v>0</v>
      </c>
      <c r="AD17" s="67">
        <v>10</v>
      </c>
      <c r="AE17" s="67">
        <v>0</v>
      </c>
      <c r="AF17" s="67">
        <v>2000</v>
      </c>
      <c r="AG17" s="67">
        <v>2</v>
      </c>
      <c r="AH17" s="67">
        <v>9.1999999999999993</v>
      </c>
      <c r="AI17" s="67">
        <v>584</v>
      </c>
      <c r="AJ17" s="67">
        <v>0</v>
      </c>
      <c r="AK17" s="67">
        <v>356</v>
      </c>
      <c r="AL17" s="67">
        <v>0</v>
      </c>
      <c r="AM17" s="67" t="s">
        <v>2</v>
      </c>
      <c r="AN17" s="67">
        <v>0</v>
      </c>
      <c r="AO17" s="67">
        <v>70</v>
      </c>
      <c r="AP17" s="67">
        <v>0</v>
      </c>
      <c r="AW17" s="67" t="b">
        <v>0</v>
      </c>
      <c r="AZ17" s="67" t="s">
        <v>24</v>
      </c>
      <c r="BB17" s="31"/>
      <c r="BC17" s="67">
        <v>24</v>
      </c>
      <c r="BD17" s="84"/>
      <c r="BE17" s="31"/>
      <c r="BF17" s="67">
        <v>1.2</v>
      </c>
      <c r="BG17" s="67">
        <v>0</v>
      </c>
      <c r="BH17" s="67">
        <v>0</v>
      </c>
      <c r="BI17" s="67">
        <v>0</v>
      </c>
      <c r="BJ17" s="67">
        <v>1.2</v>
      </c>
      <c r="BK17" s="67">
        <v>5.5</v>
      </c>
      <c r="BL17" s="67">
        <v>6</v>
      </c>
      <c r="BM17" s="67" t="s">
        <v>1</v>
      </c>
      <c r="BN17" s="57">
        <f t="shared" si="0"/>
        <v>60</v>
      </c>
      <c r="BO17" s="71">
        <f t="shared" si="1"/>
        <v>9</v>
      </c>
      <c r="BP17" s="72">
        <v>200</v>
      </c>
      <c r="BQ17" s="73">
        <v>7.5220000000000002</v>
      </c>
      <c r="BR17" s="73">
        <v>6.8559999999999999</v>
      </c>
      <c r="BS17" s="73">
        <v>7.1890000000000001</v>
      </c>
      <c r="BT17" s="37"/>
      <c r="BU17" s="37"/>
      <c r="BV17" s="74">
        <v>0</v>
      </c>
      <c r="BW17" s="37"/>
      <c r="BX17" s="74">
        <v>0</v>
      </c>
      <c r="BY17" s="37"/>
      <c r="BZ17" s="74"/>
      <c r="CA17" s="37"/>
      <c r="CB17" s="74"/>
      <c r="CC17" s="37"/>
      <c r="CD17" s="37"/>
      <c r="CE17" s="75"/>
      <c r="CF17" s="76" t="s">
        <v>90</v>
      </c>
      <c r="CG17" s="83">
        <v>7.1890000000000001</v>
      </c>
      <c r="CH17" s="83" t="str">
        <f t="shared" si="2"/>
        <v xml:space="preserve"> </v>
      </c>
      <c r="CI17" s="67">
        <f t="shared" si="3"/>
        <v>4.57</v>
      </c>
      <c r="CJ17" s="67">
        <v>0</v>
      </c>
      <c r="CK17" s="67">
        <v>0</v>
      </c>
      <c r="CL17" s="67">
        <v>0</v>
      </c>
      <c r="CM17" s="67">
        <v>0</v>
      </c>
      <c r="CN17" s="67">
        <v>0</v>
      </c>
      <c r="CO17" s="67">
        <v>0</v>
      </c>
      <c r="CP17" s="67">
        <v>0</v>
      </c>
      <c r="CQ17" s="67">
        <v>0</v>
      </c>
      <c r="CR17" s="67">
        <v>0</v>
      </c>
      <c r="CS17" s="67">
        <v>0</v>
      </c>
      <c r="CT17" s="67">
        <v>0</v>
      </c>
      <c r="CU17" s="78">
        <v>0</v>
      </c>
      <c r="CV17" s="67">
        <v>0</v>
      </c>
      <c r="CW17" s="67">
        <v>0</v>
      </c>
      <c r="CX17" s="67">
        <v>0</v>
      </c>
      <c r="CY17" s="67">
        <v>0</v>
      </c>
      <c r="CZ17" s="67">
        <v>0</v>
      </c>
      <c r="DA17" s="67">
        <v>0</v>
      </c>
      <c r="DB17" s="67">
        <v>0</v>
      </c>
      <c r="DC17" s="15">
        <f t="shared" si="4"/>
        <v>0</v>
      </c>
      <c r="DD17" s="79">
        <v>0</v>
      </c>
      <c r="DE17" s="67">
        <v>2835.0000000000005</v>
      </c>
      <c r="DF17" s="67">
        <v>0</v>
      </c>
      <c r="DG17" s="67">
        <v>0</v>
      </c>
      <c r="DH17" s="79">
        <v>2835.0000000000005</v>
      </c>
      <c r="DI17" s="67" t="s">
        <v>0</v>
      </c>
    </row>
    <row r="18" spans="1:113" s="67" customFormat="1" ht="15.75" thickBot="1" x14ac:dyDescent="0.3">
      <c r="A18" s="67">
        <v>132003</v>
      </c>
      <c r="B18" s="67" t="s">
        <v>6</v>
      </c>
      <c r="C18" s="68">
        <v>60</v>
      </c>
      <c r="D18" s="67">
        <v>60</v>
      </c>
      <c r="E18" s="67">
        <v>0</v>
      </c>
      <c r="F18" s="67">
        <v>60</v>
      </c>
      <c r="G18" s="67">
        <v>664</v>
      </c>
      <c r="H18" s="67">
        <v>0</v>
      </c>
      <c r="I18" s="67">
        <v>15</v>
      </c>
      <c r="J18" s="46" t="s">
        <v>140</v>
      </c>
      <c r="K18" s="46" t="s">
        <v>139</v>
      </c>
      <c r="L18" s="47">
        <v>45436.400162037004</v>
      </c>
      <c r="M18" s="67">
        <v>0</v>
      </c>
      <c r="N18" s="67">
        <v>0</v>
      </c>
      <c r="O18" s="67">
        <v>0</v>
      </c>
      <c r="R18" s="67" t="s">
        <v>24</v>
      </c>
      <c r="S18" s="67" t="b">
        <v>0</v>
      </c>
      <c r="T18" s="67">
        <v>0.01</v>
      </c>
      <c r="U18" s="80">
        <v>5</v>
      </c>
      <c r="V18" s="67">
        <v>0.01</v>
      </c>
      <c r="W18" s="67">
        <v>0</v>
      </c>
      <c r="X18" s="67">
        <v>2000</v>
      </c>
      <c r="Y18" s="67">
        <v>0</v>
      </c>
      <c r="Z18" s="67">
        <v>10</v>
      </c>
      <c r="AA18" s="67">
        <v>0</v>
      </c>
      <c r="AB18" s="70">
        <v>30</v>
      </c>
      <c r="AC18" s="67">
        <v>0</v>
      </c>
      <c r="AD18" s="67">
        <v>10</v>
      </c>
      <c r="AE18" s="67">
        <v>0</v>
      </c>
      <c r="AF18" s="67">
        <v>2000</v>
      </c>
      <c r="AG18" s="67">
        <v>2</v>
      </c>
      <c r="AH18" s="67">
        <v>5.19</v>
      </c>
      <c r="AI18" s="67">
        <v>529</v>
      </c>
      <c r="AJ18" s="67">
        <v>0</v>
      </c>
      <c r="AK18" s="67">
        <v>62</v>
      </c>
      <c r="AL18" s="67">
        <v>0</v>
      </c>
      <c r="AM18" s="67" t="s">
        <v>2</v>
      </c>
      <c r="AN18" s="67">
        <v>0</v>
      </c>
      <c r="AO18" s="67">
        <v>30</v>
      </c>
      <c r="AP18" s="67">
        <v>0</v>
      </c>
      <c r="AW18" s="67" t="b">
        <v>0</v>
      </c>
      <c r="BB18" s="31"/>
      <c r="BC18" s="67">
        <v>25</v>
      </c>
      <c r="BD18" s="86"/>
      <c r="BE18" s="31"/>
      <c r="BF18" s="67">
        <v>1.2</v>
      </c>
      <c r="BG18" s="67">
        <v>0</v>
      </c>
      <c r="BH18" s="67">
        <v>0</v>
      </c>
      <c r="BI18" s="67">
        <v>0</v>
      </c>
      <c r="BJ18" s="67">
        <v>1.2</v>
      </c>
      <c r="BK18" s="67">
        <v>5.5</v>
      </c>
      <c r="BL18" s="67">
        <v>6</v>
      </c>
      <c r="BM18" s="67" t="s">
        <v>1</v>
      </c>
      <c r="BN18" s="57">
        <f t="shared" si="0"/>
        <v>60</v>
      </c>
      <c r="BO18" s="81">
        <f t="shared" si="1"/>
        <v>5</v>
      </c>
      <c r="BP18" s="72">
        <v>200</v>
      </c>
      <c r="BQ18" s="73">
        <v>0</v>
      </c>
      <c r="BR18" s="73">
        <v>0</v>
      </c>
      <c r="BS18" s="73">
        <v>0</v>
      </c>
      <c r="BT18" s="37"/>
      <c r="BU18" s="37"/>
      <c r="BV18" s="74">
        <v>0</v>
      </c>
      <c r="BW18" s="37"/>
      <c r="BX18" s="74">
        <v>0</v>
      </c>
      <c r="BY18" s="37"/>
      <c r="BZ18" s="74"/>
      <c r="CA18" s="37"/>
      <c r="CB18" s="74"/>
      <c r="CC18" s="37"/>
      <c r="CD18" s="37"/>
      <c r="CE18" s="75"/>
      <c r="CF18" s="76" t="s">
        <v>12</v>
      </c>
      <c r="CG18" s="67">
        <v>0</v>
      </c>
      <c r="CH18" s="67" t="str">
        <f t="shared" si="2"/>
        <v xml:space="preserve"> </v>
      </c>
      <c r="CI18" s="67">
        <f t="shared" si="3"/>
        <v>4.57</v>
      </c>
      <c r="CJ18" s="78">
        <v>0</v>
      </c>
      <c r="CK18" s="67">
        <v>0</v>
      </c>
      <c r="CL18" s="67">
        <v>0</v>
      </c>
      <c r="CM18" s="67">
        <v>0</v>
      </c>
      <c r="CN18" s="67">
        <v>0</v>
      </c>
      <c r="CO18" s="67">
        <v>0</v>
      </c>
      <c r="CP18" s="67">
        <v>0</v>
      </c>
      <c r="CQ18" s="67">
        <v>0</v>
      </c>
      <c r="CR18" s="67">
        <v>0</v>
      </c>
      <c r="CS18" s="67">
        <v>0</v>
      </c>
      <c r="CT18" s="67">
        <v>0</v>
      </c>
      <c r="CU18" s="78">
        <v>1</v>
      </c>
      <c r="CV18" s="67">
        <v>0</v>
      </c>
      <c r="CW18" s="67">
        <v>0</v>
      </c>
      <c r="CX18" s="67">
        <v>0</v>
      </c>
      <c r="CY18" s="67">
        <v>0</v>
      </c>
      <c r="CZ18" s="67">
        <v>0</v>
      </c>
      <c r="DA18" s="67">
        <v>0</v>
      </c>
      <c r="DB18" s="67">
        <v>0</v>
      </c>
      <c r="DC18" s="15">
        <f t="shared" si="4"/>
        <v>1</v>
      </c>
      <c r="DD18" s="79">
        <v>2</v>
      </c>
      <c r="DE18" s="67">
        <v>375</v>
      </c>
      <c r="DF18" s="67">
        <v>0</v>
      </c>
      <c r="DG18" s="67">
        <v>0</v>
      </c>
      <c r="DH18" s="79">
        <v>375</v>
      </c>
      <c r="DI18" s="67" t="s">
        <v>0</v>
      </c>
    </row>
    <row r="19" spans="1:113" s="67" customFormat="1" ht="15.75" thickBot="1" x14ac:dyDescent="0.3">
      <c r="A19" s="67">
        <v>132005</v>
      </c>
      <c r="B19" s="67" t="s">
        <v>6</v>
      </c>
      <c r="C19" s="68">
        <v>60</v>
      </c>
      <c r="D19" s="67">
        <v>60</v>
      </c>
      <c r="E19" s="67">
        <v>0</v>
      </c>
      <c r="F19" s="67">
        <v>60</v>
      </c>
      <c r="G19" s="67">
        <v>666</v>
      </c>
      <c r="H19" s="67">
        <v>0</v>
      </c>
      <c r="I19" s="67">
        <v>15</v>
      </c>
      <c r="J19" s="46" t="s">
        <v>138</v>
      </c>
      <c r="K19" s="46" t="s">
        <v>137</v>
      </c>
      <c r="L19" s="47">
        <v>45436.400289351899</v>
      </c>
      <c r="M19" s="67">
        <v>0</v>
      </c>
      <c r="N19" s="67">
        <v>0</v>
      </c>
      <c r="O19" s="67">
        <v>0</v>
      </c>
      <c r="R19" s="67" t="s">
        <v>24</v>
      </c>
      <c r="S19" s="67" t="b">
        <v>0</v>
      </c>
      <c r="T19" s="67">
        <v>0.01</v>
      </c>
      <c r="U19" s="80">
        <v>5</v>
      </c>
      <c r="V19" s="67">
        <v>0.01</v>
      </c>
      <c r="W19" s="67">
        <v>0</v>
      </c>
      <c r="X19" s="67">
        <v>2000</v>
      </c>
      <c r="Y19" s="67">
        <v>0</v>
      </c>
      <c r="Z19" s="67">
        <v>10</v>
      </c>
      <c r="AA19" s="67">
        <v>0</v>
      </c>
      <c r="AB19" s="70">
        <v>30</v>
      </c>
      <c r="AC19" s="67">
        <v>0</v>
      </c>
      <c r="AD19" s="67">
        <v>10</v>
      </c>
      <c r="AE19" s="67">
        <v>0</v>
      </c>
      <c r="AF19" s="67">
        <v>2000</v>
      </c>
      <c r="AG19" s="67">
        <v>2</v>
      </c>
      <c r="AH19" s="67">
        <v>5.17</v>
      </c>
      <c r="AI19" s="67">
        <v>533</v>
      </c>
      <c r="AJ19" s="67">
        <v>0</v>
      </c>
      <c r="AK19" s="67">
        <v>64</v>
      </c>
      <c r="AL19" s="67">
        <v>0</v>
      </c>
      <c r="AM19" s="67" t="s">
        <v>2</v>
      </c>
      <c r="AN19" s="67">
        <v>0</v>
      </c>
      <c r="AO19" s="67">
        <v>30</v>
      </c>
      <c r="AP19" s="67">
        <v>0</v>
      </c>
      <c r="AW19" s="67" t="b">
        <v>0</v>
      </c>
      <c r="BB19" s="31"/>
      <c r="BC19" s="67">
        <v>26</v>
      </c>
      <c r="BD19" s="86"/>
      <c r="BE19" s="31"/>
      <c r="BF19" s="67">
        <v>1.2</v>
      </c>
      <c r="BG19" s="67">
        <v>0</v>
      </c>
      <c r="BH19" s="67">
        <v>0</v>
      </c>
      <c r="BI19" s="67">
        <v>0</v>
      </c>
      <c r="BJ19" s="67">
        <v>1.2</v>
      </c>
      <c r="BK19" s="67">
        <v>5.5</v>
      </c>
      <c r="BL19" s="67">
        <v>6</v>
      </c>
      <c r="BM19" s="67" t="s">
        <v>1</v>
      </c>
      <c r="BN19" s="57">
        <f t="shared" si="0"/>
        <v>60</v>
      </c>
      <c r="BO19" s="81">
        <f t="shared" si="1"/>
        <v>5</v>
      </c>
      <c r="BP19" s="72">
        <v>200</v>
      </c>
      <c r="BQ19" s="73">
        <v>0</v>
      </c>
      <c r="BR19" s="73">
        <v>0</v>
      </c>
      <c r="BS19" s="73">
        <v>0</v>
      </c>
      <c r="BT19" s="37"/>
      <c r="BU19" s="37"/>
      <c r="BV19" s="74">
        <v>0</v>
      </c>
      <c r="BW19" s="37"/>
      <c r="BX19" s="74">
        <v>0</v>
      </c>
      <c r="BY19" s="37"/>
      <c r="BZ19" s="74"/>
      <c r="CA19" s="37"/>
      <c r="CB19" s="74"/>
      <c r="CC19" s="37"/>
      <c r="CD19" s="37"/>
      <c r="CE19" s="75"/>
      <c r="CF19" s="76" t="s">
        <v>12</v>
      </c>
      <c r="CG19" s="83">
        <v>0</v>
      </c>
      <c r="CH19" s="83" t="str">
        <f t="shared" si="2"/>
        <v xml:space="preserve"> </v>
      </c>
      <c r="CI19" s="67">
        <f t="shared" si="3"/>
        <v>4.57</v>
      </c>
      <c r="CJ19" s="78">
        <v>0</v>
      </c>
      <c r="CK19" s="67">
        <v>0</v>
      </c>
      <c r="CL19" s="67">
        <v>0</v>
      </c>
      <c r="CM19" s="67">
        <v>0</v>
      </c>
      <c r="CN19" s="67">
        <v>0</v>
      </c>
      <c r="CO19" s="67">
        <v>0</v>
      </c>
      <c r="CP19" s="67">
        <v>0</v>
      </c>
      <c r="CQ19" s="67">
        <v>0</v>
      </c>
      <c r="CR19" s="67">
        <v>0</v>
      </c>
      <c r="CS19" s="67">
        <v>0</v>
      </c>
      <c r="CT19" s="67">
        <v>0</v>
      </c>
      <c r="CU19" s="78">
        <v>1</v>
      </c>
      <c r="CV19" s="67">
        <v>0</v>
      </c>
      <c r="CW19" s="67">
        <v>0</v>
      </c>
      <c r="CX19" s="67">
        <v>0</v>
      </c>
      <c r="CY19" s="67">
        <v>0</v>
      </c>
      <c r="CZ19" s="67">
        <v>0</v>
      </c>
      <c r="DA19" s="67">
        <v>0</v>
      </c>
      <c r="DB19" s="67">
        <v>0</v>
      </c>
      <c r="DC19" s="15">
        <f t="shared" si="4"/>
        <v>1</v>
      </c>
      <c r="DD19" s="79">
        <v>2</v>
      </c>
      <c r="DE19" s="67">
        <v>375</v>
      </c>
      <c r="DF19" s="67">
        <v>0</v>
      </c>
      <c r="DG19" s="67">
        <v>0</v>
      </c>
      <c r="DH19" s="79">
        <v>375</v>
      </c>
      <c r="DI19" s="67" t="s">
        <v>0</v>
      </c>
    </row>
    <row r="20" spans="1:113" s="67" customFormat="1" ht="15.75" thickBot="1" x14ac:dyDescent="0.3">
      <c r="A20" s="67">
        <v>132007</v>
      </c>
      <c r="B20" s="67" t="s">
        <v>6</v>
      </c>
      <c r="C20" s="68">
        <v>60</v>
      </c>
      <c r="D20" s="67">
        <v>60</v>
      </c>
      <c r="E20" s="67">
        <v>0</v>
      </c>
      <c r="F20" s="67">
        <v>60</v>
      </c>
      <c r="G20" s="67">
        <v>668</v>
      </c>
      <c r="H20" s="67">
        <v>0</v>
      </c>
      <c r="I20" s="67">
        <v>15</v>
      </c>
      <c r="J20" s="46" t="s">
        <v>136</v>
      </c>
      <c r="K20" s="46" t="s">
        <v>135</v>
      </c>
      <c r="L20" s="47">
        <v>45436.401770833298</v>
      </c>
      <c r="M20" s="67">
        <v>0</v>
      </c>
      <c r="N20" s="67">
        <v>0</v>
      </c>
      <c r="O20" s="67">
        <v>0</v>
      </c>
      <c r="R20" s="67" t="s">
        <v>24</v>
      </c>
      <c r="S20" s="67" t="b">
        <v>0</v>
      </c>
      <c r="T20" s="67">
        <v>0.01</v>
      </c>
      <c r="U20" s="80">
        <v>4.5</v>
      </c>
      <c r="V20" s="67">
        <v>0.01</v>
      </c>
      <c r="W20" s="67">
        <v>0</v>
      </c>
      <c r="X20" s="67">
        <v>2000</v>
      </c>
      <c r="Y20" s="67">
        <v>0</v>
      </c>
      <c r="Z20" s="67">
        <v>10</v>
      </c>
      <c r="AA20" s="67">
        <v>0</v>
      </c>
      <c r="AB20" s="70">
        <v>30</v>
      </c>
      <c r="AC20" s="67">
        <v>0</v>
      </c>
      <c r="AD20" s="67">
        <v>10</v>
      </c>
      <c r="AE20" s="67">
        <v>0</v>
      </c>
      <c r="AF20" s="67">
        <v>2000</v>
      </c>
      <c r="AG20" s="67">
        <v>2</v>
      </c>
      <c r="AH20" s="67">
        <v>4.59</v>
      </c>
      <c r="AI20" s="67">
        <v>508</v>
      </c>
      <c r="AJ20" s="67">
        <v>0</v>
      </c>
      <c r="AK20" s="67">
        <v>53</v>
      </c>
      <c r="AL20" s="67">
        <v>0</v>
      </c>
      <c r="AM20" s="67" t="s">
        <v>2</v>
      </c>
      <c r="AN20" s="67">
        <v>0</v>
      </c>
      <c r="AO20" s="67">
        <v>30</v>
      </c>
      <c r="AP20" s="67">
        <v>0</v>
      </c>
      <c r="AW20" s="67" t="b">
        <v>0</v>
      </c>
      <c r="BB20" s="31"/>
      <c r="BC20" s="67">
        <v>27</v>
      </c>
      <c r="BD20" s="86"/>
      <c r="BE20" s="31"/>
      <c r="BF20" s="67">
        <v>1.2</v>
      </c>
      <c r="BG20" s="67">
        <v>0</v>
      </c>
      <c r="BH20" s="67">
        <v>0</v>
      </c>
      <c r="BI20" s="67">
        <v>0</v>
      </c>
      <c r="BJ20" s="67">
        <v>1.2</v>
      </c>
      <c r="BK20" s="67">
        <v>5.5</v>
      </c>
      <c r="BL20" s="67">
        <v>6</v>
      </c>
      <c r="BM20" s="67" t="s">
        <v>1</v>
      </c>
      <c r="BN20" s="57">
        <f t="shared" si="0"/>
        <v>60</v>
      </c>
      <c r="BO20" s="81">
        <f t="shared" si="1"/>
        <v>4.5</v>
      </c>
      <c r="BP20" s="72">
        <v>200</v>
      </c>
      <c r="BQ20" s="73">
        <v>0</v>
      </c>
      <c r="BR20" s="73">
        <v>0</v>
      </c>
      <c r="BS20" s="73">
        <v>0</v>
      </c>
      <c r="BT20" s="37"/>
      <c r="BU20" s="37"/>
      <c r="BV20" s="74">
        <v>0</v>
      </c>
      <c r="BW20" s="37"/>
      <c r="BX20" s="74">
        <v>0</v>
      </c>
      <c r="BY20" s="37"/>
      <c r="BZ20" s="74"/>
      <c r="CA20" s="37"/>
      <c r="CB20" s="74"/>
      <c r="CC20" s="37"/>
      <c r="CD20" s="37"/>
      <c r="CE20" s="75"/>
      <c r="CF20" s="76" t="s">
        <v>12</v>
      </c>
      <c r="CG20" s="67">
        <v>0</v>
      </c>
      <c r="CH20" s="67" t="str">
        <f t="shared" si="2"/>
        <v xml:space="preserve"> </v>
      </c>
      <c r="CI20" s="67">
        <f t="shared" si="3"/>
        <v>4.57</v>
      </c>
      <c r="CJ20" s="78">
        <v>0</v>
      </c>
      <c r="CK20" s="67">
        <v>0</v>
      </c>
      <c r="CL20" s="67">
        <v>0</v>
      </c>
      <c r="CM20" s="67">
        <v>0</v>
      </c>
      <c r="CN20" s="67">
        <v>0</v>
      </c>
      <c r="CO20" s="67">
        <v>0</v>
      </c>
      <c r="CP20" s="67">
        <v>0</v>
      </c>
      <c r="CQ20" s="67">
        <v>0</v>
      </c>
      <c r="CR20" s="67">
        <v>0</v>
      </c>
      <c r="CS20" s="67">
        <v>0</v>
      </c>
      <c r="CT20" s="67">
        <v>0</v>
      </c>
      <c r="CU20" s="78">
        <v>1</v>
      </c>
      <c r="CV20" s="67">
        <v>0</v>
      </c>
      <c r="CW20" s="67">
        <v>0</v>
      </c>
      <c r="CX20" s="67">
        <v>0</v>
      </c>
      <c r="CY20" s="67">
        <v>0</v>
      </c>
      <c r="CZ20" s="67">
        <v>0</v>
      </c>
      <c r="DA20" s="67">
        <v>0</v>
      </c>
      <c r="DB20" s="67">
        <v>0</v>
      </c>
      <c r="DC20" s="15">
        <f t="shared" si="4"/>
        <v>1</v>
      </c>
      <c r="DD20" s="79">
        <v>2</v>
      </c>
      <c r="DE20" s="67">
        <v>303.75</v>
      </c>
      <c r="DF20" s="67">
        <v>0</v>
      </c>
      <c r="DG20" s="67">
        <v>0</v>
      </c>
      <c r="DH20" s="79">
        <v>303.75</v>
      </c>
      <c r="DI20" s="67" t="s">
        <v>0</v>
      </c>
    </row>
    <row r="21" spans="1:113" s="67" customFormat="1" ht="15.75" thickBot="1" x14ac:dyDescent="0.3">
      <c r="A21" s="67">
        <v>132009</v>
      </c>
      <c r="B21" s="67" t="s">
        <v>6</v>
      </c>
      <c r="C21" s="68">
        <v>60</v>
      </c>
      <c r="D21" s="67">
        <v>60</v>
      </c>
      <c r="E21" s="67">
        <v>0</v>
      </c>
      <c r="F21" s="67">
        <v>60</v>
      </c>
      <c r="G21" s="67">
        <v>670</v>
      </c>
      <c r="H21" s="67">
        <v>0</v>
      </c>
      <c r="I21" s="67">
        <v>15</v>
      </c>
      <c r="J21" s="46" t="s">
        <v>134</v>
      </c>
      <c r="K21" s="46" t="s">
        <v>133</v>
      </c>
      <c r="L21" s="47">
        <v>45436.401875000003</v>
      </c>
      <c r="M21" s="67">
        <v>0</v>
      </c>
      <c r="N21" s="67">
        <v>0</v>
      </c>
      <c r="O21" s="67">
        <v>0</v>
      </c>
      <c r="R21" s="67" t="s">
        <v>24</v>
      </c>
      <c r="S21" s="67" t="b">
        <v>0</v>
      </c>
      <c r="T21" s="67">
        <v>0.01</v>
      </c>
      <c r="U21" s="80">
        <v>4.5</v>
      </c>
      <c r="V21" s="67">
        <v>0.01</v>
      </c>
      <c r="W21" s="67">
        <v>0</v>
      </c>
      <c r="X21" s="67">
        <v>2000</v>
      </c>
      <c r="Y21" s="67">
        <v>0</v>
      </c>
      <c r="Z21" s="67">
        <v>10</v>
      </c>
      <c r="AA21" s="67">
        <v>0</v>
      </c>
      <c r="AB21" s="70">
        <v>30</v>
      </c>
      <c r="AC21" s="67">
        <v>0</v>
      </c>
      <c r="AD21" s="67">
        <v>10</v>
      </c>
      <c r="AE21" s="67">
        <v>0</v>
      </c>
      <c r="AF21" s="67">
        <v>2000</v>
      </c>
      <c r="AG21" s="67">
        <v>2</v>
      </c>
      <c r="AH21" s="67">
        <v>4</v>
      </c>
      <c r="AI21" s="67">
        <v>478</v>
      </c>
      <c r="AJ21" s="67">
        <v>0</v>
      </c>
      <c r="AK21" s="67">
        <v>43</v>
      </c>
      <c r="AL21" s="67">
        <v>0</v>
      </c>
      <c r="AM21" s="67" t="s">
        <v>2</v>
      </c>
      <c r="AN21" s="67">
        <v>0</v>
      </c>
      <c r="AO21" s="67">
        <v>30</v>
      </c>
      <c r="AP21" s="67">
        <v>0</v>
      </c>
      <c r="AW21" s="67" t="b">
        <v>0</v>
      </c>
      <c r="BB21" s="31"/>
      <c r="BC21" s="67">
        <v>28</v>
      </c>
      <c r="BD21" s="86"/>
      <c r="BE21" s="31"/>
      <c r="BF21" s="67">
        <v>1.2</v>
      </c>
      <c r="BG21" s="67">
        <v>0</v>
      </c>
      <c r="BH21" s="67">
        <v>0</v>
      </c>
      <c r="BI21" s="67">
        <v>0</v>
      </c>
      <c r="BJ21" s="67">
        <v>1.2</v>
      </c>
      <c r="BK21" s="67">
        <v>5.5</v>
      </c>
      <c r="BL21" s="67">
        <v>6</v>
      </c>
      <c r="BM21" s="67" t="s">
        <v>1</v>
      </c>
      <c r="BN21" s="57">
        <f t="shared" si="0"/>
        <v>60</v>
      </c>
      <c r="BO21" s="81">
        <f t="shared" si="1"/>
        <v>4.5</v>
      </c>
      <c r="BP21" s="72">
        <v>200</v>
      </c>
      <c r="BQ21" s="73">
        <v>0</v>
      </c>
      <c r="BR21" s="73">
        <v>0</v>
      </c>
      <c r="BS21" s="73">
        <v>0</v>
      </c>
      <c r="BT21" s="37"/>
      <c r="BU21" s="37"/>
      <c r="BV21" s="74">
        <v>0</v>
      </c>
      <c r="BW21" s="37"/>
      <c r="BX21" s="74">
        <v>0</v>
      </c>
      <c r="BY21" s="37"/>
      <c r="BZ21" s="74"/>
      <c r="CA21" s="37"/>
      <c r="CB21" s="74"/>
      <c r="CC21" s="37"/>
      <c r="CD21" s="37"/>
      <c r="CE21" s="75"/>
      <c r="CF21" s="76" t="s">
        <v>12</v>
      </c>
      <c r="CG21" s="83">
        <v>0</v>
      </c>
      <c r="CH21" s="83" t="str">
        <f t="shared" si="2"/>
        <v xml:space="preserve"> </v>
      </c>
      <c r="CI21" s="67">
        <f t="shared" si="3"/>
        <v>4.57</v>
      </c>
      <c r="CJ21" s="78">
        <v>0</v>
      </c>
      <c r="CK21" s="67">
        <v>0</v>
      </c>
      <c r="CL21" s="67">
        <v>0</v>
      </c>
      <c r="CM21" s="67">
        <v>0</v>
      </c>
      <c r="CN21" s="67">
        <v>0</v>
      </c>
      <c r="CO21" s="67">
        <v>0</v>
      </c>
      <c r="CP21" s="67">
        <v>0</v>
      </c>
      <c r="CQ21" s="67">
        <v>0</v>
      </c>
      <c r="CR21" s="67">
        <v>0</v>
      </c>
      <c r="CS21" s="67">
        <v>0</v>
      </c>
      <c r="CT21" s="67">
        <v>0</v>
      </c>
      <c r="CU21" s="78">
        <v>1</v>
      </c>
      <c r="CV21" s="67">
        <v>0</v>
      </c>
      <c r="CW21" s="67">
        <v>0</v>
      </c>
      <c r="CX21" s="67">
        <v>0</v>
      </c>
      <c r="CY21" s="67">
        <v>0</v>
      </c>
      <c r="CZ21" s="67">
        <v>0</v>
      </c>
      <c r="DA21" s="67">
        <v>0</v>
      </c>
      <c r="DB21" s="67">
        <v>0</v>
      </c>
      <c r="DC21" s="15">
        <f t="shared" si="4"/>
        <v>1</v>
      </c>
      <c r="DD21" s="79">
        <v>2</v>
      </c>
      <c r="DE21" s="67">
        <v>303.75</v>
      </c>
      <c r="DF21" s="67">
        <v>0</v>
      </c>
      <c r="DG21" s="67">
        <v>0</v>
      </c>
      <c r="DH21" s="79">
        <v>303.75</v>
      </c>
      <c r="DI21" s="67" t="s">
        <v>0</v>
      </c>
    </row>
    <row r="22" spans="1:113" s="67" customFormat="1" ht="15.75" thickBot="1" x14ac:dyDescent="0.3">
      <c r="A22" s="67">
        <v>132011</v>
      </c>
      <c r="B22" s="67" t="s">
        <v>6</v>
      </c>
      <c r="C22" s="68">
        <v>60</v>
      </c>
      <c r="D22" s="67">
        <v>60</v>
      </c>
      <c r="E22" s="67">
        <v>0</v>
      </c>
      <c r="F22" s="67">
        <v>60</v>
      </c>
      <c r="G22" s="67">
        <v>672</v>
      </c>
      <c r="H22" s="67">
        <v>0</v>
      </c>
      <c r="I22" s="67">
        <v>15</v>
      </c>
      <c r="J22" s="46" t="s">
        <v>132</v>
      </c>
      <c r="K22" s="46" t="s">
        <v>131</v>
      </c>
      <c r="L22" s="47">
        <v>45436.402488425898</v>
      </c>
      <c r="M22" s="67">
        <v>0</v>
      </c>
      <c r="N22" s="67">
        <v>0</v>
      </c>
      <c r="O22" s="67">
        <v>0</v>
      </c>
      <c r="R22" s="67" t="s">
        <v>24</v>
      </c>
      <c r="S22" s="67" t="b">
        <v>0</v>
      </c>
      <c r="T22" s="67">
        <v>0.01</v>
      </c>
      <c r="U22" s="80">
        <v>4</v>
      </c>
      <c r="V22" s="67">
        <v>0.01</v>
      </c>
      <c r="W22" s="67">
        <v>0</v>
      </c>
      <c r="X22" s="67">
        <v>2000</v>
      </c>
      <c r="Y22" s="67">
        <v>0</v>
      </c>
      <c r="Z22" s="67">
        <v>10</v>
      </c>
      <c r="AA22" s="67">
        <v>0</v>
      </c>
      <c r="AB22" s="70">
        <v>30</v>
      </c>
      <c r="AC22" s="67">
        <v>0</v>
      </c>
      <c r="AD22" s="67">
        <v>10</v>
      </c>
      <c r="AE22" s="67">
        <v>0</v>
      </c>
      <c r="AF22" s="67">
        <v>2000</v>
      </c>
      <c r="AG22" s="67">
        <v>2</v>
      </c>
      <c r="AH22" s="67">
        <v>3.96</v>
      </c>
      <c r="AI22" s="67">
        <v>474</v>
      </c>
      <c r="AJ22" s="67">
        <v>0</v>
      </c>
      <c r="AK22" s="67">
        <v>43</v>
      </c>
      <c r="AL22" s="67">
        <v>0</v>
      </c>
      <c r="AM22" s="67" t="s">
        <v>2</v>
      </c>
      <c r="AN22" s="67">
        <v>0</v>
      </c>
      <c r="AO22" s="67">
        <v>30</v>
      </c>
      <c r="AP22" s="67">
        <v>0</v>
      </c>
      <c r="AW22" s="67" t="b">
        <v>0</v>
      </c>
      <c r="BB22" s="31"/>
      <c r="BC22" s="67">
        <v>29</v>
      </c>
      <c r="BD22" s="86"/>
      <c r="BE22" s="31"/>
      <c r="BF22" s="67">
        <v>1.2</v>
      </c>
      <c r="BG22" s="67">
        <v>0</v>
      </c>
      <c r="BH22" s="67">
        <v>0</v>
      </c>
      <c r="BI22" s="67">
        <v>0</v>
      </c>
      <c r="BJ22" s="67">
        <v>1.2</v>
      </c>
      <c r="BK22" s="67">
        <v>5.5</v>
      </c>
      <c r="BL22" s="67">
        <v>6</v>
      </c>
      <c r="BM22" s="67" t="s">
        <v>1</v>
      </c>
      <c r="BN22" s="57">
        <f t="shared" si="0"/>
        <v>60</v>
      </c>
      <c r="BO22" s="81">
        <f t="shared" si="1"/>
        <v>4</v>
      </c>
      <c r="BP22" s="72">
        <v>200</v>
      </c>
      <c r="BQ22" s="73">
        <v>0</v>
      </c>
      <c r="BR22" s="73">
        <v>0</v>
      </c>
      <c r="BS22" s="73">
        <v>0</v>
      </c>
      <c r="BT22" s="37"/>
      <c r="BU22" s="37"/>
      <c r="BV22" s="74">
        <v>0</v>
      </c>
      <c r="BW22" s="37"/>
      <c r="BX22" s="74">
        <v>0</v>
      </c>
      <c r="BY22" s="37"/>
      <c r="BZ22" s="74"/>
      <c r="CA22" s="37"/>
      <c r="CB22" s="74"/>
      <c r="CC22" s="37"/>
      <c r="CD22" s="37"/>
      <c r="CE22" s="75"/>
      <c r="CF22" s="76" t="s">
        <v>12</v>
      </c>
      <c r="CG22" s="67">
        <v>0</v>
      </c>
      <c r="CH22" s="67" t="str">
        <f t="shared" si="2"/>
        <v xml:space="preserve"> </v>
      </c>
      <c r="CI22" s="67">
        <f t="shared" si="3"/>
        <v>4.57</v>
      </c>
      <c r="CJ22" s="78">
        <v>0</v>
      </c>
      <c r="CK22" s="67">
        <v>0</v>
      </c>
      <c r="CL22" s="67">
        <v>0</v>
      </c>
      <c r="CM22" s="67">
        <v>0</v>
      </c>
      <c r="CN22" s="67">
        <v>0</v>
      </c>
      <c r="CO22" s="67">
        <v>0</v>
      </c>
      <c r="CP22" s="67">
        <v>0</v>
      </c>
      <c r="CQ22" s="67">
        <v>0</v>
      </c>
      <c r="CR22" s="67">
        <v>0</v>
      </c>
      <c r="CS22" s="67">
        <v>0</v>
      </c>
      <c r="CT22" s="67">
        <v>0</v>
      </c>
      <c r="CU22" s="78">
        <v>1</v>
      </c>
      <c r="CV22" s="67">
        <v>0</v>
      </c>
      <c r="CW22" s="67">
        <v>0</v>
      </c>
      <c r="CX22" s="67">
        <v>0</v>
      </c>
      <c r="CY22" s="67">
        <v>0</v>
      </c>
      <c r="CZ22" s="67">
        <v>0</v>
      </c>
      <c r="DA22" s="67">
        <v>0</v>
      </c>
      <c r="DB22" s="67">
        <v>0</v>
      </c>
      <c r="DC22" s="15">
        <f t="shared" si="4"/>
        <v>1</v>
      </c>
      <c r="DD22" s="79">
        <v>2</v>
      </c>
      <c r="DE22" s="67">
        <v>240</v>
      </c>
      <c r="DF22" s="67">
        <v>0</v>
      </c>
      <c r="DG22" s="67">
        <v>0</v>
      </c>
      <c r="DH22" s="79">
        <v>240</v>
      </c>
      <c r="DI22" s="67" t="s">
        <v>0</v>
      </c>
    </row>
    <row r="23" spans="1:113" s="67" customFormat="1" ht="15.75" thickBot="1" x14ac:dyDescent="0.3">
      <c r="A23" s="67">
        <v>132013</v>
      </c>
      <c r="B23" s="67" t="s">
        <v>6</v>
      </c>
      <c r="C23" s="68">
        <v>60</v>
      </c>
      <c r="D23" s="67">
        <v>60</v>
      </c>
      <c r="E23" s="67">
        <v>0</v>
      </c>
      <c r="F23" s="67">
        <v>60</v>
      </c>
      <c r="G23" s="67">
        <v>674</v>
      </c>
      <c r="H23" s="67">
        <v>0</v>
      </c>
      <c r="I23" s="67">
        <v>15</v>
      </c>
      <c r="J23" s="46" t="s">
        <v>130</v>
      </c>
      <c r="K23" s="46" t="s">
        <v>129</v>
      </c>
      <c r="L23" s="47">
        <v>45436.402592592603</v>
      </c>
      <c r="M23" s="67">
        <v>0</v>
      </c>
      <c r="N23" s="67">
        <v>0</v>
      </c>
      <c r="O23" s="67">
        <v>0</v>
      </c>
      <c r="R23" s="67" t="s">
        <v>24</v>
      </c>
      <c r="S23" s="67" t="b">
        <v>0</v>
      </c>
      <c r="T23" s="67">
        <v>0.01</v>
      </c>
      <c r="U23" s="80">
        <v>4</v>
      </c>
      <c r="V23" s="67">
        <v>0.01</v>
      </c>
      <c r="W23" s="67">
        <v>0</v>
      </c>
      <c r="X23" s="67">
        <v>2000</v>
      </c>
      <c r="Y23" s="67">
        <v>0</v>
      </c>
      <c r="Z23" s="67">
        <v>10</v>
      </c>
      <c r="AA23" s="67">
        <v>0</v>
      </c>
      <c r="AB23" s="70">
        <v>30</v>
      </c>
      <c r="AC23" s="67">
        <v>0</v>
      </c>
      <c r="AD23" s="67">
        <v>10</v>
      </c>
      <c r="AE23" s="67">
        <v>0</v>
      </c>
      <c r="AF23" s="67">
        <v>2000</v>
      </c>
      <c r="AG23" s="67">
        <v>2</v>
      </c>
      <c r="AH23" s="67">
        <v>4.08</v>
      </c>
      <c r="AI23" s="67">
        <v>499</v>
      </c>
      <c r="AJ23" s="67">
        <v>0</v>
      </c>
      <c r="AK23" s="67">
        <v>45</v>
      </c>
      <c r="AL23" s="67">
        <v>0</v>
      </c>
      <c r="AM23" s="67" t="s">
        <v>2</v>
      </c>
      <c r="AN23" s="67">
        <v>0</v>
      </c>
      <c r="AO23" s="67">
        <v>30</v>
      </c>
      <c r="AP23" s="67">
        <v>0</v>
      </c>
      <c r="AW23" s="67" t="b">
        <v>0</v>
      </c>
      <c r="BB23" s="31"/>
      <c r="BC23" s="67">
        <v>30</v>
      </c>
      <c r="BD23" s="86"/>
      <c r="BE23" s="31"/>
      <c r="BF23" s="67">
        <v>1.2</v>
      </c>
      <c r="BG23" s="67">
        <v>0</v>
      </c>
      <c r="BH23" s="67">
        <v>0</v>
      </c>
      <c r="BI23" s="67">
        <v>0</v>
      </c>
      <c r="BJ23" s="67">
        <v>1.2</v>
      </c>
      <c r="BK23" s="67">
        <v>5.5</v>
      </c>
      <c r="BL23" s="67">
        <v>6</v>
      </c>
      <c r="BM23" s="67" t="s">
        <v>1</v>
      </c>
      <c r="BN23" s="57">
        <f t="shared" si="0"/>
        <v>60</v>
      </c>
      <c r="BO23" s="81">
        <f t="shared" si="1"/>
        <v>4</v>
      </c>
      <c r="BP23" s="72">
        <v>200</v>
      </c>
      <c r="BQ23" s="73">
        <v>0</v>
      </c>
      <c r="BR23" s="73">
        <v>0</v>
      </c>
      <c r="BS23" s="73">
        <v>0</v>
      </c>
      <c r="BT23" s="37"/>
      <c r="BU23" s="37"/>
      <c r="BV23" s="74">
        <v>0</v>
      </c>
      <c r="BW23" s="37"/>
      <c r="BX23" s="74">
        <v>0</v>
      </c>
      <c r="BY23" s="37"/>
      <c r="BZ23" s="74"/>
      <c r="CA23" s="37"/>
      <c r="CB23" s="74"/>
      <c r="CC23" s="37"/>
      <c r="CD23" s="37"/>
      <c r="CE23" s="75"/>
      <c r="CF23" s="76" t="s">
        <v>12</v>
      </c>
      <c r="CG23" s="83">
        <v>0</v>
      </c>
      <c r="CH23" s="83" t="str">
        <f t="shared" si="2"/>
        <v xml:space="preserve"> </v>
      </c>
      <c r="CI23" s="67">
        <f t="shared" si="3"/>
        <v>4.57</v>
      </c>
      <c r="CJ23" s="78">
        <v>0</v>
      </c>
      <c r="CK23" s="67">
        <v>0</v>
      </c>
      <c r="CL23" s="67">
        <v>0</v>
      </c>
      <c r="CM23" s="67">
        <v>0</v>
      </c>
      <c r="CN23" s="67">
        <v>0</v>
      </c>
      <c r="CO23" s="67">
        <v>0</v>
      </c>
      <c r="CP23" s="67">
        <v>0</v>
      </c>
      <c r="CQ23" s="67">
        <v>0</v>
      </c>
      <c r="CR23" s="67">
        <v>0</v>
      </c>
      <c r="CS23" s="67">
        <v>0</v>
      </c>
      <c r="CT23" s="67">
        <v>0</v>
      </c>
      <c r="CU23" s="78">
        <v>1</v>
      </c>
      <c r="CV23" s="67">
        <v>0</v>
      </c>
      <c r="CW23" s="67">
        <v>0</v>
      </c>
      <c r="CX23" s="67">
        <v>0</v>
      </c>
      <c r="CY23" s="67">
        <v>0</v>
      </c>
      <c r="CZ23" s="67">
        <v>0</v>
      </c>
      <c r="DA23" s="67">
        <v>0</v>
      </c>
      <c r="DB23" s="67">
        <v>0</v>
      </c>
      <c r="DC23" s="15">
        <f t="shared" si="4"/>
        <v>1</v>
      </c>
      <c r="DD23" s="79">
        <v>2</v>
      </c>
      <c r="DE23" s="67">
        <v>240</v>
      </c>
      <c r="DF23" s="67">
        <v>0</v>
      </c>
      <c r="DG23" s="67">
        <v>0</v>
      </c>
      <c r="DH23" s="79">
        <v>240</v>
      </c>
      <c r="DI23" s="67" t="s">
        <v>0</v>
      </c>
    </row>
    <row r="24" spans="1:113" s="67" customFormat="1" ht="15.75" thickBot="1" x14ac:dyDescent="0.3">
      <c r="A24" s="67">
        <v>132015</v>
      </c>
      <c r="B24" s="67" t="s">
        <v>6</v>
      </c>
      <c r="C24" s="68">
        <v>60</v>
      </c>
      <c r="D24" s="67">
        <v>60</v>
      </c>
      <c r="E24" s="67">
        <v>0</v>
      </c>
      <c r="F24" s="67">
        <v>60</v>
      </c>
      <c r="G24" s="67">
        <v>676</v>
      </c>
      <c r="H24" s="67">
        <v>0</v>
      </c>
      <c r="I24" s="67">
        <v>15</v>
      </c>
      <c r="J24" s="46" t="s">
        <v>128</v>
      </c>
      <c r="K24" s="46" t="s">
        <v>127</v>
      </c>
      <c r="L24" s="47">
        <v>45436.403101851902</v>
      </c>
      <c r="M24" s="67">
        <v>0</v>
      </c>
      <c r="N24" s="67">
        <v>0</v>
      </c>
      <c r="O24" s="67">
        <v>0</v>
      </c>
      <c r="R24" s="67" t="s">
        <v>24</v>
      </c>
      <c r="S24" s="67" t="b">
        <v>0</v>
      </c>
      <c r="T24" s="67">
        <v>0.01</v>
      </c>
      <c r="U24" s="80">
        <v>3.5</v>
      </c>
      <c r="V24" s="67">
        <v>0.01</v>
      </c>
      <c r="W24" s="67">
        <v>0</v>
      </c>
      <c r="X24" s="67">
        <v>2000</v>
      </c>
      <c r="Y24" s="67">
        <v>0</v>
      </c>
      <c r="Z24" s="67">
        <v>10</v>
      </c>
      <c r="AA24" s="67">
        <v>0</v>
      </c>
      <c r="AB24" s="70">
        <v>30</v>
      </c>
      <c r="AC24" s="67">
        <v>0</v>
      </c>
      <c r="AD24" s="67">
        <v>10</v>
      </c>
      <c r="AE24" s="67">
        <v>0</v>
      </c>
      <c r="AF24" s="67">
        <v>2000</v>
      </c>
      <c r="AG24" s="67">
        <v>2</v>
      </c>
      <c r="AH24" s="67">
        <v>3.38</v>
      </c>
      <c r="AI24" s="67">
        <v>402</v>
      </c>
      <c r="AJ24" s="67">
        <v>0</v>
      </c>
      <c r="AK24" s="67">
        <v>31</v>
      </c>
      <c r="AL24" s="67">
        <v>0</v>
      </c>
      <c r="AM24" s="67" t="s">
        <v>2</v>
      </c>
      <c r="AN24" s="67">
        <v>0</v>
      </c>
      <c r="AO24" s="67">
        <v>30</v>
      </c>
      <c r="AP24" s="67">
        <v>0</v>
      </c>
      <c r="AW24" s="67" t="b">
        <v>0</v>
      </c>
      <c r="BB24" s="31"/>
      <c r="BC24" s="67">
        <v>31</v>
      </c>
      <c r="BD24" s="86"/>
      <c r="BE24" s="31"/>
      <c r="BF24" s="67">
        <v>1.2</v>
      </c>
      <c r="BG24" s="67">
        <v>0</v>
      </c>
      <c r="BH24" s="67">
        <v>0</v>
      </c>
      <c r="BI24" s="67">
        <v>0</v>
      </c>
      <c r="BJ24" s="67">
        <v>1.2</v>
      </c>
      <c r="BK24" s="67">
        <v>5.5</v>
      </c>
      <c r="BL24" s="67">
        <v>6</v>
      </c>
      <c r="BM24" s="67" t="s">
        <v>1</v>
      </c>
      <c r="BN24" s="57">
        <f t="shared" si="0"/>
        <v>60</v>
      </c>
      <c r="BO24" s="81">
        <f t="shared" si="1"/>
        <v>3.5</v>
      </c>
      <c r="BP24" s="72">
        <v>200</v>
      </c>
      <c r="BQ24" s="73">
        <v>0</v>
      </c>
      <c r="BR24" s="73">
        <v>0</v>
      </c>
      <c r="BS24" s="73">
        <v>0</v>
      </c>
      <c r="BT24" s="37"/>
      <c r="BU24" s="37"/>
      <c r="BV24" s="74">
        <v>0</v>
      </c>
      <c r="BW24" s="37"/>
      <c r="BX24" s="74">
        <v>0</v>
      </c>
      <c r="BY24" s="37"/>
      <c r="BZ24" s="74"/>
      <c r="CA24" s="37"/>
      <c r="CB24" s="74"/>
      <c r="CC24" s="37"/>
      <c r="CD24" s="37"/>
      <c r="CE24" s="75"/>
      <c r="CF24" s="76" t="s">
        <v>12</v>
      </c>
      <c r="CG24" s="67">
        <v>0</v>
      </c>
      <c r="CH24" s="67" t="str">
        <f t="shared" si="2"/>
        <v xml:space="preserve"> </v>
      </c>
      <c r="CI24" s="67">
        <f t="shared" si="3"/>
        <v>4.57</v>
      </c>
      <c r="CJ24" s="78">
        <v>0</v>
      </c>
      <c r="CK24" s="67">
        <v>0</v>
      </c>
      <c r="CL24" s="67">
        <v>0</v>
      </c>
      <c r="CM24" s="67">
        <v>0</v>
      </c>
      <c r="CN24" s="67">
        <v>0</v>
      </c>
      <c r="CO24" s="67">
        <v>0</v>
      </c>
      <c r="CP24" s="67">
        <v>0</v>
      </c>
      <c r="CQ24" s="67">
        <v>0</v>
      </c>
      <c r="CR24" s="67">
        <v>0</v>
      </c>
      <c r="CS24" s="67">
        <v>0</v>
      </c>
      <c r="CT24" s="67">
        <v>0</v>
      </c>
      <c r="CU24" s="78">
        <v>1</v>
      </c>
      <c r="CV24" s="67">
        <v>0</v>
      </c>
      <c r="CW24" s="67">
        <v>0</v>
      </c>
      <c r="CX24" s="67">
        <v>0</v>
      </c>
      <c r="CY24" s="67">
        <v>0</v>
      </c>
      <c r="CZ24" s="67">
        <v>0</v>
      </c>
      <c r="DA24" s="67">
        <v>0</v>
      </c>
      <c r="DB24" s="67">
        <v>0</v>
      </c>
      <c r="DC24" s="15">
        <f t="shared" si="4"/>
        <v>1</v>
      </c>
      <c r="DD24" s="79">
        <v>2</v>
      </c>
      <c r="DE24" s="67">
        <v>183.75</v>
      </c>
      <c r="DF24" s="67">
        <v>0</v>
      </c>
      <c r="DG24" s="67">
        <v>0</v>
      </c>
      <c r="DH24" s="79">
        <v>183.75</v>
      </c>
      <c r="DI24" s="67" t="s">
        <v>0</v>
      </c>
    </row>
    <row r="25" spans="1:113" s="67" customFormat="1" ht="15.75" thickBot="1" x14ac:dyDescent="0.3">
      <c r="A25" s="67">
        <v>132017</v>
      </c>
      <c r="B25" s="67" t="s">
        <v>6</v>
      </c>
      <c r="C25" s="68">
        <v>60</v>
      </c>
      <c r="D25" s="67">
        <v>60</v>
      </c>
      <c r="E25" s="67">
        <v>0</v>
      </c>
      <c r="F25" s="67">
        <v>60</v>
      </c>
      <c r="G25" s="67">
        <v>678</v>
      </c>
      <c r="H25" s="67">
        <v>0</v>
      </c>
      <c r="I25" s="67">
        <v>15</v>
      </c>
      <c r="J25" s="46" t="s">
        <v>126</v>
      </c>
      <c r="K25" s="46" t="s">
        <v>125</v>
      </c>
      <c r="L25" s="47">
        <v>45436.403240740699</v>
      </c>
      <c r="M25" s="67">
        <v>0</v>
      </c>
      <c r="N25" s="67">
        <v>0</v>
      </c>
      <c r="O25" s="67">
        <v>0</v>
      </c>
      <c r="R25" s="67" t="s">
        <v>24</v>
      </c>
      <c r="S25" s="67" t="b">
        <v>0</v>
      </c>
      <c r="T25" s="67">
        <v>0.01</v>
      </c>
      <c r="U25" s="80">
        <v>3.5</v>
      </c>
      <c r="V25" s="67">
        <v>0.01</v>
      </c>
      <c r="W25" s="67">
        <v>0</v>
      </c>
      <c r="X25" s="67">
        <v>2000</v>
      </c>
      <c r="Y25" s="67">
        <v>0</v>
      </c>
      <c r="Z25" s="67">
        <v>10</v>
      </c>
      <c r="AA25" s="67">
        <v>0</v>
      </c>
      <c r="AB25" s="70">
        <v>30</v>
      </c>
      <c r="AC25" s="67">
        <v>0</v>
      </c>
      <c r="AD25" s="67">
        <v>10</v>
      </c>
      <c r="AE25" s="67">
        <v>0</v>
      </c>
      <c r="AF25" s="67">
        <v>2000</v>
      </c>
      <c r="AG25" s="67">
        <v>2</v>
      </c>
      <c r="AH25" s="67">
        <v>3.44</v>
      </c>
      <c r="AI25" s="67">
        <v>436</v>
      </c>
      <c r="AJ25" s="67">
        <v>0</v>
      </c>
      <c r="AK25" s="67">
        <v>34</v>
      </c>
      <c r="AL25" s="67">
        <v>0</v>
      </c>
      <c r="AM25" s="67" t="s">
        <v>2</v>
      </c>
      <c r="AN25" s="67">
        <v>0</v>
      </c>
      <c r="AO25" s="67">
        <v>30</v>
      </c>
      <c r="AP25" s="67">
        <v>0</v>
      </c>
      <c r="AW25" s="67" t="b">
        <v>0</v>
      </c>
      <c r="BB25" s="31"/>
      <c r="BC25" s="67">
        <v>32</v>
      </c>
      <c r="BD25" s="86"/>
      <c r="BE25" s="31"/>
      <c r="BF25" s="67">
        <v>1.2</v>
      </c>
      <c r="BG25" s="67">
        <v>0</v>
      </c>
      <c r="BH25" s="67">
        <v>0</v>
      </c>
      <c r="BI25" s="67">
        <v>0</v>
      </c>
      <c r="BJ25" s="67">
        <v>1.2</v>
      </c>
      <c r="BK25" s="67">
        <v>5.5</v>
      </c>
      <c r="BL25" s="67">
        <v>6</v>
      </c>
      <c r="BM25" s="67" t="s">
        <v>1</v>
      </c>
      <c r="BN25" s="57">
        <f t="shared" si="0"/>
        <v>60</v>
      </c>
      <c r="BO25" s="81">
        <f t="shared" si="1"/>
        <v>3.5</v>
      </c>
      <c r="BP25" s="72">
        <v>200</v>
      </c>
      <c r="BQ25" s="73">
        <v>0</v>
      </c>
      <c r="BR25" s="73">
        <v>0</v>
      </c>
      <c r="BS25" s="73">
        <v>0</v>
      </c>
      <c r="BT25" s="37"/>
      <c r="BU25" s="37"/>
      <c r="BV25" s="74">
        <v>0</v>
      </c>
      <c r="BW25" s="37"/>
      <c r="BX25" s="74">
        <v>0</v>
      </c>
      <c r="BY25" s="37"/>
      <c r="BZ25" s="74"/>
      <c r="CA25" s="37"/>
      <c r="CB25" s="74"/>
      <c r="CC25" s="37"/>
      <c r="CD25" s="37"/>
      <c r="CE25" s="75"/>
      <c r="CF25" s="76" t="s">
        <v>12</v>
      </c>
      <c r="CG25" s="83">
        <v>0</v>
      </c>
      <c r="CH25" s="83" t="str">
        <f t="shared" si="2"/>
        <v xml:space="preserve"> </v>
      </c>
      <c r="CI25" s="67">
        <f t="shared" si="3"/>
        <v>4.57</v>
      </c>
      <c r="CJ25" s="78">
        <v>0</v>
      </c>
      <c r="CK25" s="67">
        <v>0</v>
      </c>
      <c r="CL25" s="67">
        <v>0</v>
      </c>
      <c r="CM25" s="67">
        <v>0</v>
      </c>
      <c r="CN25" s="67">
        <v>0</v>
      </c>
      <c r="CO25" s="67">
        <v>0</v>
      </c>
      <c r="CP25" s="67">
        <v>0</v>
      </c>
      <c r="CQ25" s="67">
        <v>0</v>
      </c>
      <c r="CR25" s="67">
        <v>0</v>
      </c>
      <c r="CS25" s="67">
        <v>0</v>
      </c>
      <c r="CT25" s="67">
        <v>0</v>
      </c>
      <c r="CU25" s="78">
        <v>1</v>
      </c>
      <c r="CV25" s="67">
        <v>0</v>
      </c>
      <c r="CW25" s="67">
        <v>0</v>
      </c>
      <c r="CX25" s="67">
        <v>0</v>
      </c>
      <c r="CY25" s="67">
        <v>0</v>
      </c>
      <c r="CZ25" s="67">
        <v>0</v>
      </c>
      <c r="DA25" s="67">
        <v>0</v>
      </c>
      <c r="DB25" s="67">
        <v>0</v>
      </c>
      <c r="DC25" s="15">
        <f t="shared" si="4"/>
        <v>1</v>
      </c>
      <c r="DD25" s="79">
        <v>2</v>
      </c>
      <c r="DE25" s="67">
        <v>183.75</v>
      </c>
      <c r="DF25" s="67">
        <v>0</v>
      </c>
      <c r="DG25" s="67">
        <v>0</v>
      </c>
      <c r="DH25" s="79">
        <v>183.75</v>
      </c>
      <c r="DI25" s="67" t="s">
        <v>0</v>
      </c>
    </row>
    <row r="26" spans="1:113" s="67" customFormat="1" ht="15.75" thickBot="1" x14ac:dyDescent="0.3">
      <c r="A26" s="67">
        <v>132023</v>
      </c>
      <c r="B26" s="67" t="s">
        <v>6</v>
      </c>
      <c r="C26" s="68">
        <v>60</v>
      </c>
      <c r="D26" s="67">
        <v>60</v>
      </c>
      <c r="E26" s="67">
        <v>0</v>
      </c>
      <c r="F26" s="67">
        <v>60</v>
      </c>
      <c r="G26" s="67">
        <v>684</v>
      </c>
      <c r="H26" s="67">
        <v>0</v>
      </c>
      <c r="I26" s="67">
        <v>15</v>
      </c>
      <c r="J26" s="46" t="s">
        <v>124</v>
      </c>
      <c r="K26" s="46" t="s">
        <v>123</v>
      </c>
      <c r="L26" s="47">
        <v>45436.408391203702</v>
      </c>
      <c r="M26" s="67">
        <v>0</v>
      </c>
      <c r="N26" s="67">
        <v>0</v>
      </c>
      <c r="O26" s="67">
        <v>0</v>
      </c>
      <c r="R26" s="67" t="s">
        <v>24</v>
      </c>
      <c r="S26" s="67" t="b">
        <v>0</v>
      </c>
      <c r="T26" s="67">
        <v>0.01</v>
      </c>
      <c r="U26" s="69">
        <v>9</v>
      </c>
      <c r="V26" s="67">
        <v>0.01</v>
      </c>
      <c r="W26" s="67">
        <v>0</v>
      </c>
      <c r="X26" s="67">
        <v>2000</v>
      </c>
      <c r="Y26" s="67">
        <v>0</v>
      </c>
      <c r="Z26" s="67">
        <v>10</v>
      </c>
      <c r="AA26" s="67">
        <v>0</v>
      </c>
      <c r="AB26" s="70">
        <v>30</v>
      </c>
      <c r="AC26" s="67">
        <v>0</v>
      </c>
      <c r="AD26" s="67">
        <v>10</v>
      </c>
      <c r="AE26" s="67">
        <v>0</v>
      </c>
      <c r="AF26" s="67">
        <v>2000</v>
      </c>
      <c r="AG26" s="67">
        <v>2</v>
      </c>
      <c r="AH26" s="67">
        <v>9.4</v>
      </c>
      <c r="AI26" s="67">
        <v>576</v>
      </c>
      <c r="AJ26" s="67">
        <v>0</v>
      </c>
      <c r="AK26" s="67">
        <v>130</v>
      </c>
      <c r="AL26" s="67">
        <v>0</v>
      </c>
      <c r="AM26" s="67" t="s">
        <v>2</v>
      </c>
      <c r="AN26" s="67">
        <v>0</v>
      </c>
      <c r="AO26" s="67">
        <v>30</v>
      </c>
      <c r="AP26" s="67">
        <v>0</v>
      </c>
      <c r="AW26" s="67" t="b">
        <v>0</v>
      </c>
      <c r="BB26" s="31"/>
      <c r="BC26" s="67">
        <v>33</v>
      </c>
      <c r="BD26" s="86"/>
      <c r="BE26" s="31"/>
      <c r="BF26" s="67">
        <v>1.2</v>
      </c>
      <c r="BG26" s="67">
        <v>0</v>
      </c>
      <c r="BH26" s="67">
        <v>0</v>
      </c>
      <c r="BI26" s="67">
        <v>0</v>
      </c>
      <c r="BJ26" s="67">
        <v>1.2</v>
      </c>
      <c r="BK26" s="67">
        <v>5.5</v>
      </c>
      <c r="BL26" s="67">
        <v>6</v>
      </c>
      <c r="BM26" s="67" t="s">
        <v>1</v>
      </c>
      <c r="BN26" s="57">
        <f t="shared" si="0"/>
        <v>60</v>
      </c>
      <c r="BO26" s="71">
        <f t="shared" si="1"/>
        <v>9</v>
      </c>
      <c r="BP26" s="87">
        <v>400</v>
      </c>
      <c r="BQ26" s="73">
        <v>6.3209999999999997</v>
      </c>
      <c r="BR26" s="73">
        <v>6.1449999999999996</v>
      </c>
      <c r="BS26" s="73">
        <v>6.2329999999999997</v>
      </c>
      <c r="BT26" s="37"/>
      <c r="BU26" s="37"/>
      <c r="BV26" s="74">
        <v>0</v>
      </c>
      <c r="BW26" s="37"/>
      <c r="BX26" s="74">
        <v>0</v>
      </c>
      <c r="BY26" s="37"/>
      <c r="BZ26" s="74"/>
      <c r="CA26" s="37"/>
      <c r="CB26" s="74"/>
      <c r="CC26" s="37"/>
      <c r="CD26" s="37"/>
      <c r="CE26" s="75"/>
      <c r="CF26" s="76" t="s">
        <v>99</v>
      </c>
      <c r="CG26" s="67">
        <v>6.2329999999999997</v>
      </c>
      <c r="CH26" s="67" t="str">
        <f t="shared" si="2"/>
        <v xml:space="preserve"> </v>
      </c>
      <c r="CI26" s="67">
        <f t="shared" si="3"/>
        <v>4.57</v>
      </c>
      <c r="CJ26" s="67">
        <v>1</v>
      </c>
      <c r="CK26" s="67">
        <v>0</v>
      </c>
      <c r="CL26" s="67">
        <v>0</v>
      </c>
      <c r="CM26" s="67">
        <v>0</v>
      </c>
      <c r="CN26" s="67">
        <v>0</v>
      </c>
      <c r="CO26" s="67">
        <v>0</v>
      </c>
      <c r="CP26" s="67">
        <v>0</v>
      </c>
      <c r="CQ26" s="67">
        <v>0</v>
      </c>
      <c r="CR26" s="77">
        <v>1</v>
      </c>
      <c r="CS26" s="67">
        <v>0</v>
      </c>
      <c r="CT26" s="67">
        <v>0</v>
      </c>
      <c r="CU26" s="78">
        <v>0</v>
      </c>
      <c r="CV26" s="67">
        <v>0</v>
      </c>
      <c r="CW26" s="67">
        <v>0</v>
      </c>
      <c r="CX26" s="67">
        <v>0</v>
      </c>
      <c r="CY26" s="67">
        <v>0</v>
      </c>
      <c r="CZ26" s="67">
        <v>0</v>
      </c>
      <c r="DA26" s="67">
        <v>0</v>
      </c>
      <c r="DB26" s="67">
        <v>0</v>
      </c>
      <c r="DC26" s="15">
        <f t="shared" si="4"/>
        <v>1</v>
      </c>
      <c r="DD26" s="79">
        <v>1</v>
      </c>
      <c r="DE26" s="67">
        <v>607.5</v>
      </c>
      <c r="DF26" s="67">
        <v>0</v>
      </c>
      <c r="DG26" s="67">
        <v>0</v>
      </c>
      <c r="DH26" s="79">
        <v>607.5</v>
      </c>
      <c r="DI26" s="67" t="s">
        <v>0</v>
      </c>
    </row>
    <row r="27" spans="1:113" s="67" customFormat="1" ht="15.75" thickBot="1" x14ac:dyDescent="0.3">
      <c r="A27" s="67">
        <v>132025</v>
      </c>
      <c r="B27" s="67" t="s">
        <v>6</v>
      </c>
      <c r="C27" s="68">
        <v>60</v>
      </c>
      <c r="D27" s="67">
        <v>60</v>
      </c>
      <c r="E27" s="67">
        <v>0</v>
      </c>
      <c r="F27" s="67">
        <v>60</v>
      </c>
      <c r="G27" s="67">
        <v>686</v>
      </c>
      <c r="H27" s="67">
        <v>0</v>
      </c>
      <c r="I27" s="67">
        <v>15</v>
      </c>
      <c r="J27" s="46" t="s">
        <v>122</v>
      </c>
      <c r="K27" s="46" t="s">
        <v>121</v>
      </c>
      <c r="L27" s="47">
        <v>45436.4084953704</v>
      </c>
      <c r="M27" s="67">
        <v>0</v>
      </c>
      <c r="N27" s="67">
        <v>0</v>
      </c>
      <c r="O27" s="67">
        <v>0</v>
      </c>
      <c r="R27" s="67" t="s">
        <v>24</v>
      </c>
      <c r="S27" s="67" t="b">
        <v>0</v>
      </c>
      <c r="T27" s="67">
        <v>0.01</v>
      </c>
      <c r="U27" s="69">
        <v>9</v>
      </c>
      <c r="V27" s="67">
        <v>0.01</v>
      </c>
      <c r="W27" s="67">
        <v>0</v>
      </c>
      <c r="X27" s="67">
        <v>2000</v>
      </c>
      <c r="Y27" s="67">
        <v>0</v>
      </c>
      <c r="Z27" s="67">
        <v>10</v>
      </c>
      <c r="AA27" s="67">
        <v>0</v>
      </c>
      <c r="AB27" s="70">
        <v>30</v>
      </c>
      <c r="AC27" s="67">
        <v>0</v>
      </c>
      <c r="AD27" s="67">
        <v>10</v>
      </c>
      <c r="AE27" s="67">
        <v>0</v>
      </c>
      <c r="AF27" s="67">
        <v>2000</v>
      </c>
      <c r="AG27" s="67">
        <v>2</v>
      </c>
      <c r="AH27" s="67">
        <v>9.4600000000000009</v>
      </c>
      <c r="AI27" s="67">
        <v>584</v>
      </c>
      <c r="AJ27" s="67">
        <v>0</v>
      </c>
      <c r="AK27" s="67">
        <v>132</v>
      </c>
      <c r="AL27" s="67">
        <v>0</v>
      </c>
      <c r="AM27" s="67" t="s">
        <v>2</v>
      </c>
      <c r="AN27" s="67">
        <v>0</v>
      </c>
      <c r="AO27" s="67">
        <v>30</v>
      </c>
      <c r="AP27" s="67">
        <v>0</v>
      </c>
      <c r="AW27" s="67" t="b">
        <v>0</v>
      </c>
      <c r="BB27" s="31"/>
      <c r="BC27" s="67">
        <v>34</v>
      </c>
      <c r="BD27" s="86"/>
      <c r="BE27" s="31"/>
      <c r="BF27" s="67">
        <v>1.2</v>
      </c>
      <c r="BG27" s="67">
        <v>0</v>
      </c>
      <c r="BH27" s="67">
        <v>0</v>
      </c>
      <c r="BI27" s="67">
        <v>0</v>
      </c>
      <c r="BJ27" s="67">
        <v>1.2</v>
      </c>
      <c r="BK27" s="67">
        <v>5.5</v>
      </c>
      <c r="BL27" s="67">
        <v>6</v>
      </c>
      <c r="BM27" s="67" t="s">
        <v>1</v>
      </c>
      <c r="BN27" s="57">
        <f t="shared" si="0"/>
        <v>60</v>
      </c>
      <c r="BO27" s="71">
        <f t="shared" si="1"/>
        <v>9</v>
      </c>
      <c r="BP27" s="87">
        <v>400</v>
      </c>
      <c r="BQ27" s="73">
        <v>5.84</v>
      </c>
      <c r="BR27" s="73">
        <v>6.1070000000000002</v>
      </c>
      <c r="BS27" s="73">
        <v>5.9734999999999996</v>
      </c>
      <c r="BT27" s="37"/>
      <c r="BU27" s="37"/>
      <c r="BV27" s="74">
        <v>0</v>
      </c>
      <c r="BW27" s="37"/>
      <c r="BX27" s="74">
        <v>0</v>
      </c>
      <c r="BY27" s="37"/>
      <c r="BZ27" s="74"/>
      <c r="CA27" s="37"/>
      <c r="CB27" s="74"/>
      <c r="CC27" s="37"/>
      <c r="CD27" s="37"/>
      <c r="CE27" s="75"/>
      <c r="CF27" s="76" t="s">
        <v>120</v>
      </c>
      <c r="CG27" s="83">
        <v>5.9734999999999996</v>
      </c>
      <c r="CH27" s="83" t="str">
        <f t="shared" si="2"/>
        <v xml:space="preserve"> </v>
      </c>
      <c r="CI27" s="67">
        <f t="shared" si="3"/>
        <v>4.57</v>
      </c>
      <c r="CJ27" s="67">
        <v>0</v>
      </c>
      <c r="CK27" s="67">
        <v>0</v>
      </c>
      <c r="CL27" s="67">
        <v>0</v>
      </c>
      <c r="CM27" s="67">
        <v>0</v>
      </c>
      <c r="CN27" s="67">
        <v>0</v>
      </c>
      <c r="CO27" s="67">
        <v>0</v>
      </c>
      <c r="CP27" s="67">
        <v>0</v>
      </c>
      <c r="CQ27" s="67">
        <v>0</v>
      </c>
      <c r="CR27" s="77">
        <v>1</v>
      </c>
      <c r="CS27" s="67">
        <v>0</v>
      </c>
      <c r="CT27" s="67">
        <v>0</v>
      </c>
      <c r="CU27" s="78">
        <v>1</v>
      </c>
      <c r="CV27" s="67">
        <v>0</v>
      </c>
      <c r="CW27" s="67">
        <v>0</v>
      </c>
      <c r="CX27" s="67">
        <v>0</v>
      </c>
      <c r="CY27" s="67">
        <v>0</v>
      </c>
      <c r="CZ27" s="67">
        <v>0</v>
      </c>
      <c r="DA27" s="67">
        <v>0</v>
      </c>
      <c r="DB27" s="67">
        <v>0</v>
      </c>
      <c r="DC27" s="15">
        <f t="shared" si="4"/>
        <v>1</v>
      </c>
      <c r="DD27" s="79">
        <v>1</v>
      </c>
      <c r="DE27" s="67">
        <v>607.5</v>
      </c>
      <c r="DF27" s="67">
        <v>0</v>
      </c>
      <c r="DG27" s="67">
        <v>0</v>
      </c>
      <c r="DH27" s="79">
        <v>607.5</v>
      </c>
      <c r="DI27" s="67" t="s">
        <v>0</v>
      </c>
    </row>
    <row r="28" spans="1:113" s="67" customFormat="1" ht="15.75" thickBot="1" x14ac:dyDescent="0.3">
      <c r="A28" s="67">
        <v>133860</v>
      </c>
      <c r="B28" s="67" t="s">
        <v>6</v>
      </c>
      <c r="C28" s="68" t="s">
        <v>15</v>
      </c>
      <c r="D28" s="67">
        <v>60</v>
      </c>
      <c r="E28" s="67">
        <v>0</v>
      </c>
      <c r="F28" s="67">
        <v>60</v>
      </c>
      <c r="G28" s="67">
        <v>668</v>
      </c>
      <c r="H28" s="67">
        <v>0</v>
      </c>
      <c r="I28" s="67">
        <v>25</v>
      </c>
      <c r="J28" s="46" t="s">
        <v>119</v>
      </c>
      <c r="K28" s="46" t="s">
        <v>118</v>
      </c>
      <c r="L28" s="47">
        <v>45442.418206018498</v>
      </c>
      <c r="M28" s="67">
        <v>0</v>
      </c>
      <c r="N28" s="67">
        <v>0</v>
      </c>
      <c r="O28" s="67">
        <v>0</v>
      </c>
      <c r="R28" s="67" t="s">
        <v>24</v>
      </c>
      <c r="S28" s="67" t="b">
        <v>0</v>
      </c>
      <c r="T28" s="67">
        <v>0.01</v>
      </c>
      <c r="U28" s="80">
        <v>3.5</v>
      </c>
      <c r="V28" s="67">
        <v>0.01</v>
      </c>
      <c r="W28" s="67">
        <v>0</v>
      </c>
      <c r="X28" s="67">
        <v>1000</v>
      </c>
      <c r="Y28" s="67">
        <v>0</v>
      </c>
      <c r="Z28" s="67">
        <v>10</v>
      </c>
      <c r="AA28" s="67">
        <v>0</v>
      </c>
      <c r="AB28" s="70">
        <v>50</v>
      </c>
      <c r="AC28" s="67">
        <v>0</v>
      </c>
      <c r="AD28" s="67">
        <v>10</v>
      </c>
      <c r="AE28" s="67">
        <v>0</v>
      </c>
      <c r="AF28" s="67">
        <v>2000</v>
      </c>
      <c r="AG28" s="67">
        <v>2</v>
      </c>
      <c r="AH28" s="67">
        <v>3.54</v>
      </c>
      <c r="AI28" s="67">
        <v>529</v>
      </c>
      <c r="AJ28" s="67">
        <v>0</v>
      </c>
      <c r="AK28" s="67">
        <v>81</v>
      </c>
      <c r="AL28" s="67">
        <v>0</v>
      </c>
      <c r="AM28" s="67" t="s">
        <v>2</v>
      </c>
      <c r="AN28" s="67">
        <v>0</v>
      </c>
      <c r="AO28" s="67">
        <v>50</v>
      </c>
      <c r="AP28" s="67">
        <v>0</v>
      </c>
      <c r="AW28" s="67" t="b">
        <v>0</v>
      </c>
      <c r="AZ28" s="67" t="s">
        <v>24</v>
      </c>
      <c r="BB28" s="31"/>
      <c r="BC28" s="67">
        <v>37</v>
      </c>
      <c r="BD28" s="88"/>
      <c r="BE28" s="31"/>
      <c r="BF28" s="67">
        <v>1</v>
      </c>
      <c r="BG28" s="67">
        <v>1</v>
      </c>
      <c r="BH28" s="67">
        <v>0</v>
      </c>
      <c r="BI28" s="67">
        <v>0</v>
      </c>
      <c r="BJ28" s="67">
        <v>0.55000000000000004</v>
      </c>
      <c r="BK28" s="67">
        <v>5.5</v>
      </c>
      <c r="BL28" s="67">
        <v>6</v>
      </c>
      <c r="BM28" s="67" t="s">
        <v>1</v>
      </c>
      <c r="BN28" s="57">
        <f t="shared" ref="BN28:BN49" si="5">D28</f>
        <v>60</v>
      </c>
      <c r="BO28" s="81">
        <f t="shared" ref="BO28:BO49" si="6">U28</f>
        <v>3.5</v>
      </c>
      <c r="BP28" s="72">
        <v>200</v>
      </c>
      <c r="BQ28" s="73">
        <v>3.145</v>
      </c>
      <c r="BR28" s="73">
        <v>3.0859999999999999</v>
      </c>
      <c r="BS28" s="73">
        <v>3.1154999999999999</v>
      </c>
      <c r="BT28" s="37"/>
      <c r="BU28" s="37"/>
      <c r="BV28" s="74">
        <v>0</v>
      </c>
      <c r="BW28" s="37"/>
      <c r="BX28" s="74">
        <v>0</v>
      </c>
      <c r="BY28" s="37"/>
      <c r="BZ28" s="74"/>
      <c r="CA28" s="37"/>
      <c r="CB28" s="74"/>
      <c r="CC28" s="37"/>
      <c r="CD28" s="37"/>
      <c r="CE28" s="75"/>
      <c r="CF28" s="76" t="s">
        <v>99</v>
      </c>
      <c r="CG28" s="67">
        <v>3.1154999999999999</v>
      </c>
      <c r="CH28" s="67" t="str">
        <f t="shared" ref="CH28:CH49" si="7" xml:space="preserve"> IF(DI28="D", " ",BT28)</f>
        <v xml:space="preserve"> </v>
      </c>
      <c r="CI28" s="67">
        <f t="shared" ref="CI28:CI49" si="8">IF(MIN(BF28,BJ28)=0.55,  2.68,          IF(MIN(BF28,BJ28)=0.8,     3.56,          IF(MIN(BF28,BJ28)=0.9,      3.81,             IF(MIN(BF28,BJ28)=1,     4.06,                IF(MIN(BF28,BJ28)=1.2,        4.57,             IF(MIN(BF28,BJ28)=1.6,          5.08  ))))))</f>
        <v>2.68</v>
      </c>
      <c r="CJ28" s="67">
        <v>1</v>
      </c>
      <c r="CK28" s="67">
        <v>0</v>
      </c>
      <c r="CL28" s="67">
        <v>0</v>
      </c>
      <c r="CM28" s="67">
        <v>0</v>
      </c>
      <c r="CN28" s="77">
        <v>1</v>
      </c>
      <c r="CO28" s="67">
        <v>0</v>
      </c>
      <c r="CP28" s="67">
        <v>0</v>
      </c>
      <c r="CQ28" s="67">
        <v>0</v>
      </c>
      <c r="CR28" s="67">
        <v>0</v>
      </c>
      <c r="CS28" s="67">
        <v>0</v>
      </c>
      <c r="CT28" s="67">
        <v>0</v>
      </c>
      <c r="CU28" s="78">
        <v>0</v>
      </c>
      <c r="CV28" s="67">
        <v>0</v>
      </c>
      <c r="CW28" s="67">
        <v>0</v>
      </c>
      <c r="CX28" s="67">
        <v>0</v>
      </c>
      <c r="CY28" s="67">
        <v>0</v>
      </c>
      <c r="CZ28" s="67">
        <v>0</v>
      </c>
      <c r="DA28" s="67">
        <v>0</v>
      </c>
      <c r="DB28" s="67">
        <v>0</v>
      </c>
      <c r="DC28" s="15">
        <f t="shared" ref="DC28:DC49" si="9">IF(CR28 + CU28 + CJ28 &gt; 0, 1,0)</f>
        <v>1</v>
      </c>
      <c r="DD28" s="79">
        <v>0</v>
      </c>
      <c r="DE28" s="67">
        <v>306.25</v>
      </c>
      <c r="DF28" s="67">
        <v>0</v>
      </c>
      <c r="DG28" s="67">
        <v>0</v>
      </c>
      <c r="DH28" s="79">
        <v>306.25</v>
      </c>
      <c r="DI28" s="67" t="s">
        <v>0</v>
      </c>
    </row>
    <row r="29" spans="1:113" s="67" customFormat="1" ht="15.75" thickBot="1" x14ac:dyDescent="0.3">
      <c r="A29" s="67">
        <v>133862</v>
      </c>
      <c r="B29" s="67" t="s">
        <v>6</v>
      </c>
      <c r="C29" s="68" t="s">
        <v>15</v>
      </c>
      <c r="D29" s="67">
        <v>60</v>
      </c>
      <c r="E29" s="67">
        <v>0</v>
      </c>
      <c r="F29" s="67">
        <v>60</v>
      </c>
      <c r="G29" s="67">
        <v>670</v>
      </c>
      <c r="H29" s="67">
        <v>0</v>
      </c>
      <c r="I29" s="67">
        <v>25</v>
      </c>
      <c r="J29" s="46" t="s">
        <v>117</v>
      </c>
      <c r="K29" s="46" t="s">
        <v>116</v>
      </c>
      <c r="L29" s="47">
        <v>45442.418310185203</v>
      </c>
      <c r="M29" s="67">
        <v>0</v>
      </c>
      <c r="N29" s="67">
        <v>0</v>
      </c>
      <c r="O29" s="67">
        <v>0</v>
      </c>
      <c r="R29" s="67" t="s">
        <v>24</v>
      </c>
      <c r="S29" s="67" t="b">
        <v>0</v>
      </c>
      <c r="T29" s="67">
        <v>0.01</v>
      </c>
      <c r="U29" s="80">
        <v>3.5</v>
      </c>
      <c r="V29" s="67">
        <v>0.01</v>
      </c>
      <c r="W29" s="67">
        <v>0</v>
      </c>
      <c r="X29" s="67">
        <v>1000</v>
      </c>
      <c r="Y29" s="67">
        <v>0</v>
      </c>
      <c r="Z29" s="67">
        <v>10</v>
      </c>
      <c r="AA29" s="67">
        <v>0</v>
      </c>
      <c r="AB29" s="70">
        <v>50</v>
      </c>
      <c r="AC29" s="67">
        <v>0</v>
      </c>
      <c r="AD29" s="67">
        <v>10</v>
      </c>
      <c r="AE29" s="67">
        <v>0</v>
      </c>
      <c r="AF29" s="67">
        <v>2000</v>
      </c>
      <c r="AG29" s="67">
        <v>2</v>
      </c>
      <c r="AH29" s="67">
        <v>3.51</v>
      </c>
      <c r="AI29" s="67">
        <v>521</v>
      </c>
      <c r="AJ29" s="67">
        <v>0</v>
      </c>
      <c r="AK29" s="67">
        <v>79</v>
      </c>
      <c r="AL29" s="67">
        <v>0</v>
      </c>
      <c r="AM29" s="67" t="s">
        <v>2</v>
      </c>
      <c r="AN29" s="67">
        <v>0</v>
      </c>
      <c r="AO29" s="67">
        <v>50</v>
      </c>
      <c r="AP29" s="67">
        <v>0</v>
      </c>
      <c r="AW29" s="67" t="b">
        <v>0</v>
      </c>
      <c r="AZ29" s="67" t="s">
        <v>24</v>
      </c>
      <c r="BB29" s="31"/>
      <c r="BC29" s="67">
        <v>38</v>
      </c>
      <c r="BD29" s="88"/>
      <c r="BE29" s="31"/>
      <c r="BF29" s="67">
        <v>1</v>
      </c>
      <c r="BG29" s="67">
        <v>1</v>
      </c>
      <c r="BH29" s="67">
        <v>0</v>
      </c>
      <c r="BI29" s="67">
        <v>0</v>
      </c>
      <c r="BJ29" s="67">
        <v>0.55000000000000004</v>
      </c>
      <c r="BK29" s="67">
        <v>5.5</v>
      </c>
      <c r="BL29" s="67">
        <v>6</v>
      </c>
      <c r="BM29" s="67" t="s">
        <v>1</v>
      </c>
      <c r="BN29" s="57">
        <f t="shared" si="5"/>
        <v>60</v>
      </c>
      <c r="BO29" s="81">
        <f t="shared" si="6"/>
        <v>3.5</v>
      </c>
      <c r="BP29" s="72">
        <v>200</v>
      </c>
      <c r="BQ29" s="73">
        <v>3.22</v>
      </c>
      <c r="BR29" s="73">
        <v>3.22</v>
      </c>
      <c r="BS29" s="73">
        <v>3.22</v>
      </c>
      <c r="BT29" s="37"/>
      <c r="BU29" s="37"/>
      <c r="BV29" s="74">
        <v>0</v>
      </c>
      <c r="BW29" s="37"/>
      <c r="BX29" s="74">
        <v>0</v>
      </c>
      <c r="BY29" s="37"/>
      <c r="BZ29" s="74"/>
      <c r="CA29" s="37"/>
      <c r="CB29" s="74"/>
      <c r="CC29" s="37"/>
      <c r="CD29" s="37"/>
      <c r="CE29" s="75"/>
      <c r="CF29" s="76" t="s">
        <v>90</v>
      </c>
      <c r="CG29" s="83">
        <v>3.22</v>
      </c>
      <c r="CH29" s="83" t="str">
        <f t="shared" si="7"/>
        <v xml:space="preserve"> </v>
      </c>
      <c r="CI29" s="67">
        <f t="shared" si="8"/>
        <v>2.68</v>
      </c>
      <c r="CJ29" s="67">
        <v>0</v>
      </c>
      <c r="CK29" s="67">
        <v>0</v>
      </c>
      <c r="CL29" s="67">
        <v>0</v>
      </c>
      <c r="CM29" s="67">
        <v>0</v>
      </c>
      <c r="CN29" s="67">
        <v>0</v>
      </c>
      <c r="CO29" s="67">
        <v>0</v>
      </c>
      <c r="CP29" s="67">
        <v>0</v>
      </c>
      <c r="CQ29" s="67">
        <v>0</v>
      </c>
      <c r="CR29" s="67">
        <v>0</v>
      </c>
      <c r="CS29" s="67">
        <v>0</v>
      </c>
      <c r="CT29" s="67">
        <v>0</v>
      </c>
      <c r="CU29" s="78">
        <v>0</v>
      </c>
      <c r="CV29" s="67">
        <v>0</v>
      </c>
      <c r="CW29" s="67">
        <v>0</v>
      </c>
      <c r="CX29" s="67">
        <v>0</v>
      </c>
      <c r="CY29" s="67">
        <v>0</v>
      </c>
      <c r="CZ29" s="67">
        <v>0</v>
      </c>
      <c r="DA29" s="67">
        <v>0</v>
      </c>
      <c r="DB29" s="67">
        <v>0</v>
      </c>
      <c r="DC29" s="15">
        <f t="shared" si="9"/>
        <v>0</v>
      </c>
      <c r="DD29" s="79">
        <v>0</v>
      </c>
      <c r="DE29" s="67">
        <v>306.25</v>
      </c>
      <c r="DF29" s="67">
        <v>0</v>
      </c>
      <c r="DG29" s="67">
        <v>0</v>
      </c>
      <c r="DH29" s="79">
        <v>306.25</v>
      </c>
      <c r="DI29" s="67" t="s">
        <v>0</v>
      </c>
    </row>
    <row r="30" spans="1:113" s="67" customFormat="1" ht="15.75" thickBot="1" x14ac:dyDescent="0.3">
      <c r="A30" s="67">
        <v>133864</v>
      </c>
      <c r="B30" s="67" t="s">
        <v>6</v>
      </c>
      <c r="C30" s="68" t="s">
        <v>15</v>
      </c>
      <c r="D30" s="67">
        <v>60</v>
      </c>
      <c r="E30" s="67">
        <v>0</v>
      </c>
      <c r="F30" s="67">
        <v>60</v>
      </c>
      <c r="G30" s="67">
        <v>672</v>
      </c>
      <c r="H30" s="67">
        <v>0</v>
      </c>
      <c r="I30" s="67">
        <v>25</v>
      </c>
      <c r="J30" s="46" t="s">
        <v>115</v>
      </c>
      <c r="K30" s="46" t="s">
        <v>114</v>
      </c>
      <c r="L30" s="47">
        <v>45442.418969907398</v>
      </c>
      <c r="M30" s="67">
        <v>0</v>
      </c>
      <c r="N30" s="67">
        <v>0</v>
      </c>
      <c r="O30" s="67">
        <v>0</v>
      </c>
      <c r="R30" s="67" t="s">
        <v>24</v>
      </c>
      <c r="S30" s="67" t="b">
        <v>0</v>
      </c>
      <c r="T30" s="67">
        <v>0.01</v>
      </c>
      <c r="U30" s="80">
        <v>4.5</v>
      </c>
      <c r="V30" s="67">
        <v>0.01</v>
      </c>
      <c r="W30" s="67">
        <v>0</v>
      </c>
      <c r="X30" s="67">
        <v>1000</v>
      </c>
      <c r="Y30" s="67">
        <v>0</v>
      </c>
      <c r="Z30" s="67">
        <v>10</v>
      </c>
      <c r="AA30" s="67">
        <v>0</v>
      </c>
      <c r="AB30" s="70">
        <v>50</v>
      </c>
      <c r="AC30" s="67">
        <v>0</v>
      </c>
      <c r="AD30" s="67">
        <v>10</v>
      </c>
      <c r="AE30" s="67">
        <v>0</v>
      </c>
      <c r="AF30" s="67">
        <v>2000</v>
      </c>
      <c r="AG30" s="67">
        <v>2</v>
      </c>
      <c r="AH30" s="67">
        <v>4.59</v>
      </c>
      <c r="AI30" s="67">
        <v>580</v>
      </c>
      <c r="AJ30" s="67">
        <v>0</v>
      </c>
      <c r="AK30" s="67">
        <v>118</v>
      </c>
      <c r="AL30" s="67">
        <v>0</v>
      </c>
      <c r="AM30" s="67" t="s">
        <v>2</v>
      </c>
      <c r="AN30" s="67">
        <v>0</v>
      </c>
      <c r="AO30" s="67">
        <v>50</v>
      </c>
      <c r="AP30" s="67">
        <v>0</v>
      </c>
      <c r="AW30" s="67" t="b">
        <v>0</v>
      </c>
      <c r="AZ30" s="67" t="s">
        <v>24</v>
      </c>
      <c r="BB30" s="31"/>
      <c r="BC30" s="67">
        <v>39</v>
      </c>
      <c r="BD30" s="88"/>
      <c r="BE30" s="31"/>
      <c r="BF30" s="67">
        <v>1</v>
      </c>
      <c r="BG30" s="67">
        <v>1</v>
      </c>
      <c r="BH30" s="67">
        <v>0</v>
      </c>
      <c r="BI30" s="67">
        <v>0</v>
      </c>
      <c r="BJ30" s="67">
        <v>0.55000000000000004</v>
      </c>
      <c r="BK30" s="67">
        <v>5.5</v>
      </c>
      <c r="BL30" s="67">
        <v>6</v>
      </c>
      <c r="BM30" s="67" t="s">
        <v>1</v>
      </c>
      <c r="BN30" s="57">
        <f t="shared" si="5"/>
        <v>60</v>
      </c>
      <c r="BO30" s="81">
        <f t="shared" si="6"/>
        <v>4.5</v>
      </c>
      <c r="BP30" s="72">
        <v>200</v>
      </c>
      <c r="BQ30" s="73">
        <v>3.7240000000000002</v>
      </c>
      <c r="BR30" s="73">
        <v>3.7839999999999998</v>
      </c>
      <c r="BS30" s="73">
        <v>3.754</v>
      </c>
      <c r="BT30" s="37"/>
      <c r="BU30" s="37"/>
      <c r="BV30" s="74">
        <v>0</v>
      </c>
      <c r="BW30" s="37"/>
      <c r="BX30" s="74">
        <v>0</v>
      </c>
      <c r="BY30" s="37"/>
      <c r="BZ30" s="74"/>
      <c r="CA30" s="37"/>
      <c r="CB30" s="74"/>
      <c r="CC30" s="37"/>
      <c r="CD30" s="37"/>
      <c r="CE30" s="75"/>
      <c r="CF30" s="76" t="s">
        <v>99</v>
      </c>
      <c r="CG30" s="67">
        <v>3.754</v>
      </c>
      <c r="CH30" s="67" t="str">
        <f t="shared" si="7"/>
        <v xml:space="preserve"> </v>
      </c>
      <c r="CI30" s="67">
        <f t="shared" si="8"/>
        <v>2.68</v>
      </c>
      <c r="CJ30" s="67">
        <v>1</v>
      </c>
      <c r="CK30" s="67">
        <v>0</v>
      </c>
      <c r="CL30" s="67">
        <v>0</v>
      </c>
      <c r="CM30" s="67">
        <v>0</v>
      </c>
      <c r="CN30" s="77">
        <v>1</v>
      </c>
      <c r="CO30" s="67">
        <v>0</v>
      </c>
      <c r="CP30" s="67">
        <v>0</v>
      </c>
      <c r="CQ30" s="67">
        <v>0</v>
      </c>
      <c r="CR30" s="67">
        <v>0</v>
      </c>
      <c r="CS30" s="67">
        <v>0</v>
      </c>
      <c r="CT30" s="67">
        <v>0</v>
      </c>
      <c r="CU30" s="78">
        <v>0</v>
      </c>
      <c r="CV30" s="67">
        <v>0</v>
      </c>
      <c r="CW30" s="67">
        <v>0</v>
      </c>
      <c r="CX30" s="67">
        <v>0</v>
      </c>
      <c r="CY30" s="67">
        <v>0</v>
      </c>
      <c r="CZ30" s="67">
        <v>0</v>
      </c>
      <c r="DA30" s="67">
        <v>0</v>
      </c>
      <c r="DB30" s="67">
        <v>0</v>
      </c>
      <c r="DC30" s="15">
        <f t="shared" si="9"/>
        <v>1</v>
      </c>
      <c r="DD30" s="79">
        <v>0</v>
      </c>
      <c r="DE30" s="67">
        <v>506.25</v>
      </c>
      <c r="DF30" s="67">
        <v>0</v>
      </c>
      <c r="DG30" s="67">
        <v>0</v>
      </c>
      <c r="DH30" s="79">
        <v>506.25</v>
      </c>
      <c r="DI30" s="67" t="s">
        <v>0</v>
      </c>
    </row>
    <row r="31" spans="1:113" s="67" customFormat="1" ht="15.75" thickBot="1" x14ac:dyDescent="0.3">
      <c r="A31" s="67">
        <v>133866</v>
      </c>
      <c r="B31" s="67" t="s">
        <v>6</v>
      </c>
      <c r="C31" s="68" t="s">
        <v>15</v>
      </c>
      <c r="D31" s="67">
        <v>60</v>
      </c>
      <c r="E31" s="67">
        <v>0</v>
      </c>
      <c r="F31" s="67">
        <v>60</v>
      </c>
      <c r="G31" s="67">
        <v>674</v>
      </c>
      <c r="H31" s="67">
        <v>0</v>
      </c>
      <c r="I31" s="67">
        <v>25</v>
      </c>
      <c r="J31" s="46" t="s">
        <v>113</v>
      </c>
      <c r="K31" s="46" t="s">
        <v>112</v>
      </c>
      <c r="L31" s="47">
        <v>45442.419062499997</v>
      </c>
      <c r="M31" s="67">
        <v>0</v>
      </c>
      <c r="N31" s="67">
        <v>0</v>
      </c>
      <c r="O31" s="67">
        <v>0</v>
      </c>
      <c r="R31" s="67" t="s">
        <v>24</v>
      </c>
      <c r="S31" s="67" t="b">
        <v>0</v>
      </c>
      <c r="T31" s="67">
        <v>0.01</v>
      </c>
      <c r="U31" s="80">
        <v>4.5</v>
      </c>
      <c r="V31" s="67">
        <v>0.01</v>
      </c>
      <c r="W31" s="67">
        <v>0</v>
      </c>
      <c r="X31" s="67">
        <v>1000</v>
      </c>
      <c r="Y31" s="67">
        <v>0</v>
      </c>
      <c r="Z31" s="67">
        <v>10</v>
      </c>
      <c r="AA31" s="67">
        <v>0</v>
      </c>
      <c r="AB31" s="70">
        <v>50</v>
      </c>
      <c r="AC31" s="67">
        <v>0</v>
      </c>
      <c r="AD31" s="67">
        <v>10</v>
      </c>
      <c r="AE31" s="67">
        <v>0</v>
      </c>
      <c r="AF31" s="67">
        <v>2000</v>
      </c>
      <c r="AG31" s="67">
        <v>2</v>
      </c>
      <c r="AH31" s="67">
        <v>4.5999999999999996</v>
      </c>
      <c r="AI31" s="67">
        <v>580</v>
      </c>
      <c r="AJ31" s="67">
        <v>0</v>
      </c>
      <c r="AK31" s="67">
        <v>117</v>
      </c>
      <c r="AL31" s="67">
        <v>0</v>
      </c>
      <c r="AM31" s="67" t="s">
        <v>2</v>
      </c>
      <c r="AN31" s="67">
        <v>0</v>
      </c>
      <c r="AO31" s="67">
        <v>50</v>
      </c>
      <c r="AP31" s="67">
        <v>0</v>
      </c>
      <c r="AW31" s="67" t="b">
        <v>0</v>
      </c>
      <c r="AZ31" s="67" t="s">
        <v>24</v>
      </c>
      <c r="BB31" s="31"/>
      <c r="BC31" s="67">
        <v>40</v>
      </c>
      <c r="BD31" s="88"/>
      <c r="BE31" s="31"/>
      <c r="BF31" s="67">
        <v>1</v>
      </c>
      <c r="BG31" s="67">
        <v>1</v>
      </c>
      <c r="BH31" s="67">
        <v>0</v>
      </c>
      <c r="BI31" s="67">
        <v>0</v>
      </c>
      <c r="BJ31" s="67">
        <v>0.55000000000000004</v>
      </c>
      <c r="BK31" s="67">
        <v>5.5</v>
      </c>
      <c r="BL31" s="67">
        <v>6</v>
      </c>
      <c r="BM31" s="67" t="s">
        <v>1</v>
      </c>
      <c r="BN31" s="57">
        <f t="shared" si="5"/>
        <v>60</v>
      </c>
      <c r="BO31" s="81">
        <f t="shared" si="6"/>
        <v>4.5</v>
      </c>
      <c r="BP31" s="72">
        <v>200</v>
      </c>
      <c r="BQ31" s="73">
        <v>4.2450000000000001</v>
      </c>
      <c r="BR31" s="73">
        <v>4.2779999999999996</v>
      </c>
      <c r="BS31" s="73">
        <v>4.2614999999999998</v>
      </c>
      <c r="BT31" s="37"/>
      <c r="BU31" s="37"/>
      <c r="BV31" s="74">
        <v>0</v>
      </c>
      <c r="BW31" s="37"/>
      <c r="BX31" s="74">
        <v>0</v>
      </c>
      <c r="BY31" s="37"/>
      <c r="BZ31" s="74"/>
      <c r="CA31" s="37"/>
      <c r="CB31" s="74"/>
      <c r="CC31" s="37"/>
      <c r="CD31" s="37"/>
      <c r="CE31" s="75"/>
      <c r="CF31" s="76" t="s">
        <v>90</v>
      </c>
      <c r="CG31" s="83">
        <v>4.2614999999999998</v>
      </c>
      <c r="CH31" s="83" t="str">
        <f t="shared" si="7"/>
        <v xml:space="preserve"> </v>
      </c>
      <c r="CI31" s="67">
        <f t="shared" si="8"/>
        <v>2.68</v>
      </c>
      <c r="CJ31" s="67">
        <v>0</v>
      </c>
      <c r="CK31" s="67">
        <v>0</v>
      </c>
      <c r="CL31" s="67">
        <v>0</v>
      </c>
      <c r="CM31" s="67">
        <v>0</v>
      </c>
      <c r="CN31" s="67">
        <v>0</v>
      </c>
      <c r="CO31" s="67">
        <v>0</v>
      </c>
      <c r="CP31" s="67">
        <v>0</v>
      </c>
      <c r="CQ31" s="67">
        <v>0</v>
      </c>
      <c r="CR31" s="67">
        <v>0</v>
      </c>
      <c r="CS31" s="67">
        <v>0</v>
      </c>
      <c r="CT31" s="67">
        <v>0</v>
      </c>
      <c r="CU31" s="78">
        <v>0</v>
      </c>
      <c r="CV31" s="67">
        <v>0</v>
      </c>
      <c r="CW31" s="67">
        <v>0</v>
      </c>
      <c r="CX31" s="67">
        <v>0</v>
      </c>
      <c r="CY31" s="67">
        <v>0</v>
      </c>
      <c r="CZ31" s="67">
        <v>0</v>
      </c>
      <c r="DA31" s="67">
        <v>0</v>
      </c>
      <c r="DB31" s="67">
        <v>0</v>
      </c>
      <c r="DC31" s="15">
        <f t="shared" si="9"/>
        <v>0</v>
      </c>
      <c r="DD31" s="79">
        <v>0</v>
      </c>
      <c r="DE31" s="67">
        <v>506.25</v>
      </c>
      <c r="DF31" s="67">
        <v>0</v>
      </c>
      <c r="DG31" s="67">
        <v>0</v>
      </c>
      <c r="DH31" s="79">
        <v>506.25</v>
      </c>
      <c r="DI31" s="67" t="s">
        <v>0</v>
      </c>
    </row>
    <row r="32" spans="1:113" s="67" customFormat="1" ht="15.75" thickBot="1" x14ac:dyDescent="0.3">
      <c r="A32" s="67">
        <v>133868</v>
      </c>
      <c r="B32" s="67" t="s">
        <v>6</v>
      </c>
      <c r="C32" s="68" t="s">
        <v>15</v>
      </c>
      <c r="D32" s="67">
        <v>60</v>
      </c>
      <c r="E32" s="67">
        <v>0</v>
      </c>
      <c r="F32" s="67">
        <v>60</v>
      </c>
      <c r="G32" s="67">
        <v>676</v>
      </c>
      <c r="H32" s="67">
        <v>0</v>
      </c>
      <c r="I32" s="67">
        <v>25</v>
      </c>
      <c r="J32" s="46" t="s">
        <v>111</v>
      </c>
      <c r="K32" s="46" t="s">
        <v>110</v>
      </c>
      <c r="L32" s="47">
        <v>45442.4194907407</v>
      </c>
      <c r="M32" s="67">
        <v>0</v>
      </c>
      <c r="N32" s="67">
        <v>0</v>
      </c>
      <c r="O32" s="67">
        <v>0</v>
      </c>
      <c r="R32" s="67" t="s">
        <v>24</v>
      </c>
      <c r="S32" s="67" t="b">
        <v>0</v>
      </c>
      <c r="T32" s="67">
        <v>0.01</v>
      </c>
      <c r="U32" s="69">
        <v>6</v>
      </c>
      <c r="V32" s="67">
        <v>0.01</v>
      </c>
      <c r="W32" s="67">
        <v>0</v>
      </c>
      <c r="X32" s="67">
        <v>1000</v>
      </c>
      <c r="Y32" s="67">
        <v>0</v>
      </c>
      <c r="Z32" s="67">
        <v>10</v>
      </c>
      <c r="AA32" s="67">
        <v>0</v>
      </c>
      <c r="AB32" s="70">
        <v>50</v>
      </c>
      <c r="AC32" s="67">
        <v>0</v>
      </c>
      <c r="AD32" s="67">
        <v>10</v>
      </c>
      <c r="AE32" s="67">
        <v>0</v>
      </c>
      <c r="AF32" s="67">
        <v>2000</v>
      </c>
      <c r="AG32" s="67">
        <v>2</v>
      </c>
      <c r="AH32" s="67">
        <v>6.17</v>
      </c>
      <c r="AI32" s="67">
        <v>626</v>
      </c>
      <c r="AJ32" s="67">
        <v>0</v>
      </c>
      <c r="AK32" s="67">
        <v>173</v>
      </c>
      <c r="AL32" s="67">
        <v>0</v>
      </c>
      <c r="AM32" s="67" t="s">
        <v>2</v>
      </c>
      <c r="AN32" s="67">
        <v>0</v>
      </c>
      <c r="AO32" s="67">
        <v>50</v>
      </c>
      <c r="AP32" s="67">
        <v>0</v>
      </c>
      <c r="AW32" s="67" t="b">
        <v>0</v>
      </c>
      <c r="AZ32" s="67" t="s">
        <v>24</v>
      </c>
      <c r="BB32" s="31"/>
      <c r="BC32" s="67">
        <v>41</v>
      </c>
      <c r="BD32" s="88"/>
      <c r="BE32" s="31"/>
      <c r="BF32" s="67">
        <v>1</v>
      </c>
      <c r="BG32" s="67">
        <v>1</v>
      </c>
      <c r="BH32" s="67">
        <v>0</v>
      </c>
      <c r="BI32" s="67">
        <v>0</v>
      </c>
      <c r="BJ32" s="67">
        <v>0.55000000000000004</v>
      </c>
      <c r="BK32" s="67">
        <v>5.5</v>
      </c>
      <c r="BL32" s="67">
        <v>6</v>
      </c>
      <c r="BM32" s="67" t="s">
        <v>1</v>
      </c>
      <c r="BN32" s="57">
        <f t="shared" si="5"/>
        <v>60</v>
      </c>
      <c r="BO32" s="71">
        <f t="shared" si="6"/>
        <v>6</v>
      </c>
      <c r="BP32" s="72">
        <v>200</v>
      </c>
      <c r="BQ32" s="73">
        <v>4.5970000000000004</v>
      </c>
      <c r="BR32" s="73">
        <v>4.2949999999999999</v>
      </c>
      <c r="BS32" s="73">
        <v>4.4459999999999997</v>
      </c>
      <c r="BT32" s="37"/>
      <c r="BU32" s="37"/>
      <c r="BV32" s="74">
        <v>0</v>
      </c>
      <c r="BW32" s="37"/>
      <c r="BX32" s="74">
        <v>0</v>
      </c>
      <c r="BY32" s="37"/>
      <c r="BZ32" s="74"/>
      <c r="CA32" s="37"/>
      <c r="CB32" s="74"/>
      <c r="CC32" s="37"/>
      <c r="CD32" s="37"/>
      <c r="CE32" s="75"/>
      <c r="CF32" s="76" t="s">
        <v>90</v>
      </c>
      <c r="CG32" s="67">
        <v>4.4459999999999997</v>
      </c>
      <c r="CH32" s="67" t="str">
        <f t="shared" si="7"/>
        <v xml:space="preserve"> </v>
      </c>
      <c r="CI32" s="67">
        <f t="shared" si="8"/>
        <v>2.68</v>
      </c>
      <c r="CJ32" s="67">
        <v>0</v>
      </c>
      <c r="CK32" s="67">
        <v>0</v>
      </c>
      <c r="CL32" s="67">
        <v>0</v>
      </c>
      <c r="CM32" s="67">
        <v>0</v>
      </c>
      <c r="CN32" s="67">
        <v>0</v>
      </c>
      <c r="CO32" s="67">
        <v>0</v>
      </c>
      <c r="CP32" s="67">
        <v>0</v>
      </c>
      <c r="CQ32" s="67">
        <v>0</v>
      </c>
      <c r="CR32" s="15">
        <v>0</v>
      </c>
      <c r="CS32" s="67">
        <v>0</v>
      </c>
      <c r="CT32" s="67">
        <v>0</v>
      </c>
      <c r="CU32" s="78">
        <v>0</v>
      </c>
      <c r="CV32" s="67">
        <v>0</v>
      </c>
      <c r="CW32" s="67">
        <v>0</v>
      </c>
      <c r="CX32" s="67">
        <v>0</v>
      </c>
      <c r="CY32" s="67">
        <v>0</v>
      </c>
      <c r="CZ32" s="67">
        <v>0</v>
      </c>
      <c r="DA32" s="67">
        <v>0</v>
      </c>
      <c r="DB32" s="67">
        <v>0</v>
      </c>
      <c r="DC32" s="15">
        <f t="shared" si="9"/>
        <v>0</v>
      </c>
      <c r="DD32" s="79">
        <v>0</v>
      </c>
      <c r="DE32" s="67">
        <v>900</v>
      </c>
      <c r="DF32" s="67">
        <v>0</v>
      </c>
      <c r="DG32" s="67">
        <v>0</v>
      </c>
      <c r="DH32" s="79">
        <v>900</v>
      </c>
      <c r="DI32" s="67" t="s">
        <v>0</v>
      </c>
    </row>
    <row r="33" spans="1:113" s="67" customFormat="1" ht="15.75" thickBot="1" x14ac:dyDescent="0.3">
      <c r="A33" s="67">
        <v>133870</v>
      </c>
      <c r="B33" s="67" t="s">
        <v>6</v>
      </c>
      <c r="C33" s="68" t="s">
        <v>15</v>
      </c>
      <c r="D33" s="67">
        <v>60</v>
      </c>
      <c r="E33" s="67">
        <v>0</v>
      </c>
      <c r="F33" s="67">
        <v>60</v>
      </c>
      <c r="G33" s="67">
        <v>678</v>
      </c>
      <c r="H33" s="67">
        <v>0</v>
      </c>
      <c r="I33" s="67">
        <v>25</v>
      </c>
      <c r="J33" s="46" t="s">
        <v>109</v>
      </c>
      <c r="K33" s="46" t="s">
        <v>108</v>
      </c>
      <c r="L33" s="47">
        <v>45442.4195833333</v>
      </c>
      <c r="M33" s="67">
        <v>0</v>
      </c>
      <c r="N33" s="67">
        <v>0</v>
      </c>
      <c r="O33" s="67">
        <v>0</v>
      </c>
      <c r="R33" s="67" t="s">
        <v>24</v>
      </c>
      <c r="S33" s="67" t="b">
        <v>0</v>
      </c>
      <c r="T33" s="67">
        <v>0.01</v>
      </c>
      <c r="U33" s="69">
        <v>6</v>
      </c>
      <c r="V33" s="67">
        <v>0.01</v>
      </c>
      <c r="W33" s="67">
        <v>0</v>
      </c>
      <c r="X33" s="67">
        <v>1000</v>
      </c>
      <c r="Y33" s="67">
        <v>0</v>
      </c>
      <c r="Z33" s="67">
        <v>10</v>
      </c>
      <c r="AA33" s="67">
        <v>0</v>
      </c>
      <c r="AB33" s="70">
        <v>50</v>
      </c>
      <c r="AC33" s="67">
        <v>0</v>
      </c>
      <c r="AD33" s="67">
        <v>10</v>
      </c>
      <c r="AE33" s="67">
        <v>0</v>
      </c>
      <c r="AF33" s="67">
        <v>2000</v>
      </c>
      <c r="AG33" s="67">
        <v>2</v>
      </c>
      <c r="AH33" s="67">
        <v>6.18</v>
      </c>
      <c r="AI33" s="67">
        <v>610</v>
      </c>
      <c r="AJ33" s="67">
        <v>0</v>
      </c>
      <c r="AK33" s="67">
        <v>168</v>
      </c>
      <c r="AL33" s="67">
        <v>0</v>
      </c>
      <c r="AM33" s="67" t="s">
        <v>2</v>
      </c>
      <c r="AN33" s="67">
        <v>0</v>
      </c>
      <c r="AO33" s="67">
        <v>50</v>
      </c>
      <c r="AP33" s="67">
        <v>0</v>
      </c>
      <c r="AW33" s="67" t="b">
        <v>0</v>
      </c>
      <c r="AZ33" s="67" t="s">
        <v>24</v>
      </c>
      <c r="BB33" s="31"/>
      <c r="BC33" s="67">
        <v>42</v>
      </c>
      <c r="BD33" s="88"/>
      <c r="BE33" s="31"/>
      <c r="BF33" s="67">
        <v>1</v>
      </c>
      <c r="BG33" s="67">
        <v>1</v>
      </c>
      <c r="BH33" s="67">
        <v>0</v>
      </c>
      <c r="BI33" s="67">
        <v>0</v>
      </c>
      <c r="BJ33" s="67">
        <v>0.55000000000000004</v>
      </c>
      <c r="BK33" s="67">
        <v>5.5</v>
      </c>
      <c r="BL33" s="67">
        <v>6</v>
      </c>
      <c r="BM33" s="67" t="s">
        <v>1</v>
      </c>
      <c r="BN33" s="57">
        <f t="shared" si="5"/>
        <v>60</v>
      </c>
      <c r="BO33" s="71">
        <f t="shared" si="6"/>
        <v>6</v>
      </c>
      <c r="BP33" s="72">
        <v>200</v>
      </c>
      <c r="BQ33" s="73">
        <v>4.7809999999999997</v>
      </c>
      <c r="BR33" s="73">
        <v>4.8150000000000004</v>
      </c>
      <c r="BS33" s="73">
        <v>4.798</v>
      </c>
      <c r="BT33" s="37"/>
      <c r="BU33" s="37"/>
      <c r="BV33" s="74">
        <v>0</v>
      </c>
      <c r="BW33" s="37"/>
      <c r="BX33" s="74">
        <v>0</v>
      </c>
      <c r="BY33" s="37"/>
      <c r="BZ33" s="74"/>
      <c r="CA33" s="37"/>
      <c r="CB33" s="74"/>
      <c r="CC33" s="37"/>
      <c r="CD33" s="37"/>
      <c r="CE33" s="75"/>
      <c r="CF33" s="76" t="s">
        <v>90</v>
      </c>
      <c r="CG33" s="83">
        <v>4.798</v>
      </c>
      <c r="CH33" s="83" t="str">
        <f t="shared" si="7"/>
        <v xml:space="preserve"> </v>
      </c>
      <c r="CI33" s="67">
        <f t="shared" si="8"/>
        <v>2.68</v>
      </c>
      <c r="CJ33" s="67">
        <v>0</v>
      </c>
      <c r="CK33" s="67">
        <v>0</v>
      </c>
      <c r="CL33" s="67">
        <v>0</v>
      </c>
      <c r="CM33" s="67">
        <v>0</v>
      </c>
      <c r="CN33" s="67">
        <v>0</v>
      </c>
      <c r="CO33" s="67">
        <v>0</v>
      </c>
      <c r="CP33" s="67">
        <v>0</v>
      </c>
      <c r="CQ33" s="67">
        <v>0</v>
      </c>
      <c r="CR33" s="67">
        <v>0</v>
      </c>
      <c r="CS33" s="67">
        <v>0</v>
      </c>
      <c r="CT33" s="67">
        <v>0</v>
      </c>
      <c r="CU33" s="78">
        <v>0</v>
      </c>
      <c r="CV33" s="67">
        <v>0</v>
      </c>
      <c r="CW33" s="67">
        <v>0</v>
      </c>
      <c r="CX33" s="67">
        <v>0</v>
      </c>
      <c r="CY33" s="67">
        <v>0</v>
      </c>
      <c r="CZ33" s="67">
        <v>0</v>
      </c>
      <c r="DA33" s="67">
        <v>0</v>
      </c>
      <c r="DB33" s="67">
        <v>0</v>
      </c>
      <c r="DC33" s="15">
        <f t="shared" si="9"/>
        <v>0</v>
      </c>
      <c r="DD33" s="79">
        <v>0</v>
      </c>
      <c r="DE33" s="67">
        <v>900</v>
      </c>
      <c r="DF33" s="67">
        <v>0</v>
      </c>
      <c r="DG33" s="67">
        <v>0</v>
      </c>
      <c r="DH33" s="79">
        <v>900</v>
      </c>
      <c r="DI33" s="67" t="s">
        <v>0</v>
      </c>
    </row>
    <row r="34" spans="1:113" s="67" customFormat="1" ht="15.75" thickBot="1" x14ac:dyDescent="0.3">
      <c r="A34" s="67">
        <v>133874</v>
      </c>
      <c r="B34" s="67" t="s">
        <v>6</v>
      </c>
      <c r="C34" s="68" t="s">
        <v>15</v>
      </c>
      <c r="D34" s="67">
        <v>60</v>
      </c>
      <c r="E34" s="67">
        <v>0</v>
      </c>
      <c r="F34" s="67">
        <v>60</v>
      </c>
      <c r="G34" s="67">
        <v>682</v>
      </c>
      <c r="H34" s="67">
        <v>0</v>
      </c>
      <c r="I34" s="67">
        <v>25</v>
      </c>
      <c r="J34" s="46" t="s">
        <v>107</v>
      </c>
      <c r="K34" s="46" t="s">
        <v>106</v>
      </c>
      <c r="L34" s="47">
        <v>45442.420081018499</v>
      </c>
      <c r="M34" s="67">
        <v>0</v>
      </c>
      <c r="N34" s="67">
        <v>0</v>
      </c>
      <c r="O34" s="67">
        <v>0</v>
      </c>
      <c r="R34" s="67" t="s">
        <v>24</v>
      </c>
      <c r="S34" s="67" t="b">
        <v>0</v>
      </c>
      <c r="T34" s="67">
        <v>0.01</v>
      </c>
      <c r="U34" s="80">
        <v>7.5</v>
      </c>
      <c r="V34" s="67">
        <v>0.01</v>
      </c>
      <c r="W34" s="67">
        <v>0</v>
      </c>
      <c r="X34" s="67">
        <v>1000</v>
      </c>
      <c r="Y34" s="67">
        <v>0</v>
      </c>
      <c r="Z34" s="67">
        <v>10</v>
      </c>
      <c r="AA34" s="67">
        <v>0</v>
      </c>
      <c r="AB34" s="70">
        <v>50</v>
      </c>
      <c r="AC34" s="67">
        <v>0</v>
      </c>
      <c r="AD34" s="67">
        <v>10</v>
      </c>
      <c r="AE34" s="67">
        <v>0</v>
      </c>
      <c r="AF34" s="67">
        <v>2000</v>
      </c>
      <c r="AG34" s="67">
        <v>2</v>
      </c>
      <c r="AH34" s="67">
        <v>7.77</v>
      </c>
      <c r="AI34" s="67">
        <v>652</v>
      </c>
      <c r="AJ34" s="67">
        <v>0</v>
      </c>
      <c r="AK34" s="67">
        <v>229</v>
      </c>
      <c r="AL34" s="67">
        <v>0</v>
      </c>
      <c r="AM34" s="67" t="s">
        <v>2</v>
      </c>
      <c r="AN34" s="67">
        <v>0</v>
      </c>
      <c r="AO34" s="67">
        <v>50</v>
      </c>
      <c r="AP34" s="67">
        <v>0</v>
      </c>
      <c r="AW34" s="67" t="b">
        <v>0</v>
      </c>
      <c r="AZ34" s="67" t="s">
        <v>24</v>
      </c>
      <c r="BB34" s="31"/>
      <c r="BC34" s="67">
        <v>44</v>
      </c>
      <c r="BD34" s="88"/>
      <c r="BE34" s="31"/>
      <c r="BF34" s="67">
        <v>1</v>
      </c>
      <c r="BG34" s="67">
        <v>1</v>
      </c>
      <c r="BH34" s="67">
        <v>0</v>
      </c>
      <c r="BI34" s="67">
        <v>0</v>
      </c>
      <c r="BJ34" s="67">
        <v>0.55000000000000004</v>
      </c>
      <c r="BK34" s="67">
        <v>5.5</v>
      </c>
      <c r="BL34" s="67">
        <v>6</v>
      </c>
      <c r="BM34" s="67" t="s">
        <v>1</v>
      </c>
      <c r="BN34" s="57">
        <f t="shared" si="5"/>
        <v>60</v>
      </c>
      <c r="BO34" s="81">
        <f t="shared" si="6"/>
        <v>7.5</v>
      </c>
      <c r="BP34" s="72">
        <v>200</v>
      </c>
      <c r="BQ34" s="73">
        <v>5.4589999999999996</v>
      </c>
      <c r="BR34" s="73">
        <v>5.1680000000000001</v>
      </c>
      <c r="BS34" s="73">
        <v>5.3134999999999994</v>
      </c>
      <c r="BT34" s="37"/>
      <c r="BU34" s="37"/>
      <c r="BV34" s="74">
        <v>0</v>
      </c>
      <c r="BW34" s="37"/>
      <c r="BX34" s="74">
        <v>0</v>
      </c>
      <c r="BY34" s="37"/>
      <c r="BZ34" s="74"/>
      <c r="CA34" s="37"/>
      <c r="CB34" s="74"/>
      <c r="CC34" s="37"/>
      <c r="CD34" s="37"/>
      <c r="CE34" s="75"/>
      <c r="CF34" s="76" t="s">
        <v>90</v>
      </c>
      <c r="CG34" s="83">
        <v>5.3134999999999994</v>
      </c>
      <c r="CH34" s="83" t="str">
        <f t="shared" si="7"/>
        <v xml:space="preserve"> </v>
      </c>
      <c r="CI34" s="67">
        <f t="shared" si="8"/>
        <v>2.68</v>
      </c>
      <c r="CJ34" s="67">
        <v>0</v>
      </c>
      <c r="CK34" s="67">
        <v>0</v>
      </c>
      <c r="CL34" s="67">
        <v>0</v>
      </c>
      <c r="CM34" s="67">
        <v>0</v>
      </c>
      <c r="CN34" s="67">
        <v>0</v>
      </c>
      <c r="CO34" s="67">
        <v>0</v>
      </c>
      <c r="CP34" s="67">
        <v>0</v>
      </c>
      <c r="CQ34" s="67">
        <v>0</v>
      </c>
      <c r="CR34" s="15">
        <v>0</v>
      </c>
      <c r="CS34" s="67">
        <v>0</v>
      </c>
      <c r="CT34" s="67">
        <v>0</v>
      </c>
      <c r="CU34" s="78">
        <v>0</v>
      </c>
      <c r="CV34" s="67">
        <v>0</v>
      </c>
      <c r="CW34" s="67">
        <v>0</v>
      </c>
      <c r="CX34" s="67">
        <v>0</v>
      </c>
      <c r="CY34" s="67">
        <v>0</v>
      </c>
      <c r="CZ34" s="67">
        <v>0</v>
      </c>
      <c r="DA34" s="67">
        <v>0</v>
      </c>
      <c r="DB34" s="67">
        <v>0</v>
      </c>
      <c r="DC34" s="15">
        <f t="shared" si="9"/>
        <v>0</v>
      </c>
      <c r="DD34" s="79">
        <v>0</v>
      </c>
      <c r="DE34" s="67">
        <v>1406.25</v>
      </c>
      <c r="DF34" s="67">
        <v>0</v>
      </c>
      <c r="DG34" s="67">
        <v>0</v>
      </c>
      <c r="DH34" s="79">
        <v>1406.25</v>
      </c>
      <c r="DI34" s="67" t="s">
        <v>0</v>
      </c>
    </row>
    <row r="35" spans="1:113" s="67" customFormat="1" ht="15.75" thickBot="1" x14ac:dyDescent="0.3">
      <c r="A35" s="67">
        <v>133878</v>
      </c>
      <c r="B35" s="67" t="s">
        <v>6</v>
      </c>
      <c r="C35" s="68" t="s">
        <v>15</v>
      </c>
      <c r="D35" s="67">
        <v>60</v>
      </c>
      <c r="E35" s="67">
        <v>0</v>
      </c>
      <c r="F35" s="67">
        <v>60</v>
      </c>
      <c r="G35" s="67">
        <v>686</v>
      </c>
      <c r="H35" s="67">
        <v>0</v>
      </c>
      <c r="I35" s="67">
        <v>25</v>
      </c>
      <c r="J35" s="46" t="s">
        <v>105</v>
      </c>
      <c r="K35" s="46" t="s">
        <v>104</v>
      </c>
      <c r="L35" s="47">
        <v>45442.420543981498</v>
      </c>
      <c r="M35" s="67">
        <v>0</v>
      </c>
      <c r="N35" s="67">
        <v>0</v>
      </c>
      <c r="O35" s="67">
        <v>0</v>
      </c>
      <c r="R35" s="67" t="s">
        <v>24</v>
      </c>
      <c r="S35" s="67" t="b">
        <v>0</v>
      </c>
      <c r="T35" s="67">
        <v>0.01</v>
      </c>
      <c r="U35" s="80">
        <v>9</v>
      </c>
      <c r="V35" s="67">
        <v>0.01</v>
      </c>
      <c r="W35" s="67">
        <v>0</v>
      </c>
      <c r="X35" s="67">
        <v>1000</v>
      </c>
      <c r="Y35" s="67">
        <v>0</v>
      </c>
      <c r="Z35" s="67">
        <v>10</v>
      </c>
      <c r="AA35" s="67">
        <v>0</v>
      </c>
      <c r="AB35" s="70">
        <v>50</v>
      </c>
      <c r="AC35" s="67">
        <v>0</v>
      </c>
      <c r="AD35" s="67">
        <v>10</v>
      </c>
      <c r="AE35" s="67">
        <v>0</v>
      </c>
      <c r="AF35" s="67">
        <v>2000</v>
      </c>
      <c r="AG35" s="67">
        <v>2</v>
      </c>
      <c r="AH35" s="67">
        <v>9.33</v>
      </c>
      <c r="AI35" s="67">
        <v>677</v>
      </c>
      <c r="AJ35" s="67">
        <v>0</v>
      </c>
      <c r="AK35" s="67">
        <v>285</v>
      </c>
      <c r="AL35" s="67">
        <v>0</v>
      </c>
      <c r="AM35" s="67" t="s">
        <v>2</v>
      </c>
      <c r="AN35" s="67">
        <v>0</v>
      </c>
      <c r="AO35" s="67">
        <v>50</v>
      </c>
      <c r="AP35" s="67">
        <v>0</v>
      </c>
      <c r="AW35" s="67" t="b">
        <v>0</v>
      </c>
      <c r="AZ35" s="67" t="s">
        <v>24</v>
      </c>
      <c r="BB35" s="31"/>
      <c r="BC35" s="67">
        <v>46</v>
      </c>
      <c r="BD35" s="88"/>
      <c r="BE35" s="31"/>
      <c r="BF35" s="67">
        <v>1</v>
      </c>
      <c r="BG35" s="67">
        <v>1</v>
      </c>
      <c r="BH35" s="67">
        <v>0</v>
      </c>
      <c r="BI35" s="67">
        <v>0</v>
      </c>
      <c r="BJ35" s="67">
        <v>0.55000000000000004</v>
      </c>
      <c r="BK35" s="67">
        <v>5.5</v>
      </c>
      <c r="BL35" s="67">
        <v>6</v>
      </c>
      <c r="BM35" s="67" t="s">
        <v>1</v>
      </c>
      <c r="BN35" s="57">
        <f t="shared" si="5"/>
        <v>60</v>
      </c>
      <c r="BO35" s="81">
        <f t="shared" si="6"/>
        <v>9</v>
      </c>
      <c r="BP35" s="72">
        <v>200</v>
      </c>
      <c r="BQ35" s="73">
        <v>6.4589999999999996</v>
      </c>
      <c r="BR35" s="73">
        <v>6.4080000000000004</v>
      </c>
      <c r="BS35" s="73">
        <v>6.4335000000000004</v>
      </c>
      <c r="BT35" s="37"/>
      <c r="BU35" s="37"/>
      <c r="BV35" s="74">
        <v>0</v>
      </c>
      <c r="BW35" s="37"/>
      <c r="BX35" s="74">
        <v>0</v>
      </c>
      <c r="BY35" s="37"/>
      <c r="BZ35" s="74"/>
      <c r="CA35" s="37"/>
      <c r="CB35" s="74"/>
      <c r="CC35" s="37"/>
      <c r="CD35" s="37"/>
      <c r="CE35" s="75"/>
      <c r="CF35" s="76" t="s">
        <v>90</v>
      </c>
      <c r="CG35" s="83">
        <v>6.4335000000000004</v>
      </c>
      <c r="CH35" s="83" t="str">
        <f t="shared" si="7"/>
        <v xml:space="preserve"> </v>
      </c>
      <c r="CI35" s="67">
        <f t="shared" si="8"/>
        <v>2.68</v>
      </c>
      <c r="CJ35" s="67">
        <v>0</v>
      </c>
      <c r="CK35" s="67">
        <v>0</v>
      </c>
      <c r="CL35" s="67">
        <v>0</v>
      </c>
      <c r="CM35" s="67">
        <v>0</v>
      </c>
      <c r="CN35" s="67">
        <v>0</v>
      </c>
      <c r="CO35" s="67">
        <v>0</v>
      </c>
      <c r="CP35" s="67">
        <v>0</v>
      </c>
      <c r="CQ35" s="67">
        <v>0</v>
      </c>
      <c r="CR35" s="15">
        <v>0</v>
      </c>
      <c r="CS35" s="67">
        <v>0</v>
      </c>
      <c r="CT35" s="67">
        <v>0</v>
      </c>
      <c r="CU35" s="78">
        <v>0</v>
      </c>
      <c r="CV35" s="67">
        <v>0</v>
      </c>
      <c r="CW35" s="67">
        <v>0</v>
      </c>
      <c r="CX35" s="67">
        <v>0</v>
      </c>
      <c r="CY35" s="67">
        <v>0</v>
      </c>
      <c r="CZ35" s="67">
        <v>0</v>
      </c>
      <c r="DA35" s="67">
        <v>0</v>
      </c>
      <c r="DB35" s="67">
        <v>0</v>
      </c>
      <c r="DC35" s="15">
        <f t="shared" si="9"/>
        <v>0</v>
      </c>
      <c r="DD35" s="79">
        <v>0</v>
      </c>
      <c r="DE35" s="67">
        <v>2025</v>
      </c>
      <c r="DF35" s="67">
        <v>0</v>
      </c>
      <c r="DG35" s="67">
        <v>0</v>
      </c>
      <c r="DH35" s="79">
        <v>2025</v>
      </c>
      <c r="DI35" s="67" t="s">
        <v>0</v>
      </c>
    </row>
    <row r="36" spans="1:113" s="67" customFormat="1" ht="15.75" thickBot="1" x14ac:dyDescent="0.3">
      <c r="A36" s="67">
        <v>133880</v>
      </c>
      <c r="B36" s="67" t="s">
        <v>6</v>
      </c>
      <c r="C36" s="68" t="s">
        <v>15</v>
      </c>
      <c r="D36" s="67">
        <v>60</v>
      </c>
      <c r="E36" s="67">
        <v>0</v>
      </c>
      <c r="F36" s="67">
        <v>60</v>
      </c>
      <c r="G36" s="67">
        <v>688</v>
      </c>
      <c r="H36" s="67">
        <v>0</v>
      </c>
      <c r="I36" s="67">
        <v>15</v>
      </c>
      <c r="J36" s="46" t="s">
        <v>103</v>
      </c>
      <c r="K36" s="46" t="s">
        <v>102</v>
      </c>
      <c r="L36" s="47">
        <v>45442.420949074076</v>
      </c>
      <c r="M36" s="67">
        <v>0</v>
      </c>
      <c r="N36" s="67">
        <v>0</v>
      </c>
      <c r="O36" s="67">
        <v>0</v>
      </c>
      <c r="R36" s="67" t="s">
        <v>24</v>
      </c>
      <c r="S36" s="67" t="b">
        <v>0</v>
      </c>
      <c r="T36" s="67">
        <v>0.01</v>
      </c>
      <c r="U36" s="69">
        <v>6</v>
      </c>
      <c r="V36" s="67">
        <v>0.01</v>
      </c>
      <c r="W36" s="67">
        <v>0</v>
      </c>
      <c r="X36" s="67">
        <v>1000</v>
      </c>
      <c r="Y36" s="67">
        <v>0</v>
      </c>
      <c r="Z36" s="67">
        <v>10</v>
      </c>
      <c r="AA36" s="67">
        <v>0</v>
      </c>
      <c r="AB36" s="85">
        <v>30</v>
      </c>
      <c r="AC36" s="67">
        <v>0</v>
      </c>
      <c r="AD36" s="67">
        <v>10</v>
      </c>
      <c r="AE36" s="67">
        <v>0</v>
      </c>
      <c r="AF36" s="67">
        <v>2000</v>
      </c>
      <c r="AG36" s="67">
        <v>2</v>
      </c>
      <c r="AH36" s="67">
        <v>6.27</v>
      </c>
      <c r="AI36" s="67">
        <v>610</v>
      </c>
      <c r="AJ36" s="67">
        <v>0</v>
      </c>
      <c r="AK36" s="67">
        <v>89</v>
      </c>
      <c r="AL36" s="67">
        <v>0</v>
      </c>
      <c r="AM36" s="67" t="s">
        <v>2</v>
      </c>
      <c r="AN36" s="67">
        <v>0</v>
      </c>
      <c r="AO36" s="67">
        <v>30</v>
      </c>
      <c r="AP36" s="67">
        <v>0</v>
      </c>
      <c r="AW36" s="67" t="b">
        <v>0</v>
      </c>
      <c r="AZ36" s="67" t="s">
        <v>24</v>
      </c>
      <c r="BB36" s="31"/>
      <c r="BC36" s="67">
        <v>47</v>
      </c>
      <c r="BD36" s="88"/>
      <c r="BE36" s="31"/>
      <c r="BF36" s="67">
        <v>1</v>
      </c>
      <c r="BG36" s="67">
        <v>1</v>
      </c>
      <c r="BH36" s="67">
        <v>0</v>
      </c>
      <c r="BI36" s="67">
        <v>0</v>
      </c>
      <c r="BJ36" s="67">
        <v>0.55000000000000004</v>
      </c>
      <c r="BK36" s="67">
        <v>5.5</v>
      </c>
      <c r="BL36" s="67">
        <v>6</v>
      </c>
      <c r="BM36" s="67" t="s">
        <v>1</v>
      </c>
      <c r="BN36" s="57">
        <f t="shared" si="5"/>
        <v>60</v>
      </c>
      <c r="BO36" s="71">
        <f t="shared" si="6"/>
        <v>6</v>
      </c>
      <c r="BP36" s="72">
        <v>200</v>
      </c>
      <c r="BQ36" s="73">
        <v>3.9020000000000001</v>
      </c>
      <c r="BR36" s="73">
        <v>4.07</v>
      </c>
      <c r="BS36" s="73">
        <v>3.9860000000000002</v>
      </c>
      <c r="BT36" s="37"/>
      <c r="BU36" s="37"/>
      <c r="BV36" s="74">
        <v>0</v>
      </c>
      <c r="BW36" s="37"/>
      <c r="BX36" s="74">
        <v>0</v>
      </c>
      <c r="BY36" s="37"/>
      <c r="BZ36" s="74"/>
      <c r="CA36" s="37"/>
      <c r="CB36" s="74"/>
      <c r="CC36" s="37"/>
      <c r="CD36" s="37"/>
      <c r="CE36" s="75"/>
      <c r="CF36" s="76" t="s">
        <v>99</v>
      </c>
      <c r="CG36" s="67">
        <v>3.9860000000000002</v>
      </c>
      <c r="CH36" s="67" t="str">
        <f t="shared" si="7"/>
        <v xml:space="preserve"> </v>
      </c>
      <c r="CI36" s="67">
        <f t="shared" si="8"/>
        <v>2.68</v>
      </c>
      <c r="CJ36" s="67">
        <v>0</v>
      </c>
      <c r="CK36" s="67">
        <v>0</v>
      </c>
      <c r="CL36" s="67">
        <v>0</v>
      </c>
      <c r="CM36" s="67">
        <v>0</v>
      </c>
      <c r="CN36" s="67">
        <v>0</v>
      </c>
      <c r="CO36" s="77">
        <v>1</v>
      </c>
      <c r="CP36" s="67">
        <v>0</v>
      </c>
      <c r="CQ36" s="67">
        <v>0</v>
      </c>
      <c r="CR36" s="15">
        <v>0</v>
      </c>
      <c r="CS36" s="67">
        <v>0</v>
      </c>
      <c r="CT36" s="67">
        <v>0</v>
      </c>
      <c r="CU36" s="78">
        <v>0</v>
      </c>
      <c r="CV36" s="67">
        <v>0</v>
      </c>
      <c r="CW36" s="67">
        <v>0</v>
      </c>
      <c r="CX36" s="67">
        <v>0</v>
      </c>
      <c r="CY36" s="67">
        <v>0</v>
      </c>
      <c r="CZ36" s="67">
        <v>0</v>
      </c>
      <c r="DA36" s="67">
        <v>0</v>
      </c>
      <c r="DB36" s="67">
        <v>0</v>
      </c>
      <c r="DC36" s="15">
        <f t="shared" si="9"/>
        <v>0</v>
      </c>
      <c r="DD36" s="79">
        <v>0</v>
      </c>
      <c r="DE36" s="67">
        <v>540</v>
      </c>
      <c r="DF36" s="67">
        <v>0</v>
      </c>
      <c r="DG36" s="67">
        <v>0</v>
      </c>
      <c r="DH36" s="79">
        <v>540</v>
      </c>
      <c r="DI36" s="67" t="s">
        <v>0</v>
      </c>
    </row>
    <row r="37" spans="1:113" s="67" customFormat="1" ht="15.75" thickBot="1" x14ac:dyDescent="0.3">
      <c r="A37" s="67">
        <v>133882</v>
      </c>
      <c r="B37" s="67" t="s">
        <v>6</v>
      </c>
      <c r="C37" s="68" t="s">
        <v>15</v>
      </c>
      <c r="D37" s="67">
        <v>60</v>
      </c>
      <c r="E37" s="67">
        <v>0</v>
      </c>
      <c r="F37" s="67">
        <v>60</v>
      </c>
      <c r="G37" s="67">
        <v>690</v>
      </c>
      <c r="H37" s="67">
        <v>0</v>
      </c>
      <c r="I37" s="67">
        <v>15</v>
      </c>
      <c r="J37" s="46" t="s">
        <v>101</v>
      </c>
      <c r="K37" s="46" t="s">
        <v>100</v>
      </c>
      <c r="L37" s="47">
        <v>45442.421041666697</v>
      </c>
      <c r="M37" s="67">
        <v>0</v>
      </c>
      <c r="N37" s="67">
        <v>0</v>
      </c>
      <c r="O37" s="67">
        <v>0</v>
      </c>
      <c r="R37" s="67" t="s">
        <v>24</v>
      </c>
      <c r="S37" s="67" t="b">
        <v>0</v>
      </c>
      <c r="T37" s="67">
        <v>0.01</v>
      </c>
      <c r="U37" s="69">
        <v>6</v>
      </c>
      <c r="V37" s="67">
        <v>0.01</v>
      </c>
      <c r="W37" s="67">
        <v>0</v>
      </c>
      <c r="X37" s="67">
        <v>1000</v>
      </c>
      <c r="Y37" s="67">
        <v>0</v>
      </c>
      <c r="Z37" s="67">
        <v>10</v>
      </c>
      <c r="AA37" s="67">
        <v>0</v>
      </c>
      <c r="AB37" s="85">
        <v>30</v>
      </c>
      <c r="AC37" s="67">
        <v>0</v>
      </c>
      <c r="AD37" s="67">
        <v>10</v>
      </c>
      <c r="AE37" s="67">
        <v>0</v>
      </c>
      <c r="AF37" s="67">
        <v>2000</v>
      </c>
      <c r="AG37" s="67">
        <v>2</v>
      </c>
      <c r="AH37" s="67">
        <v>6.3</v>
      </c>
      <c r="AI37" s="67">
        <v>605</v>
      </c>
      <c r="AJ37" s="67">
        <v>0</v>
      </c>
      <c r="AK37" s="67">
        <v>89</v>
      </c>
      <c r="AL37" s="67">
        <v>0</v>
      </c>
      <c r="AM37" s="67" t="s">
        <v>2</v>
      </c>
      <c r="AN37" s="67">
        <v>0</v>
      </c>
      <c r="AO37" s="67">
        <v>30</v>
      </c>
      <c r="AP37" s="67">
        <v>0</v>
      </c>
      <c r="AW37" s="67" t="b">
        <v>0</v>
      </c>
      <c r="AZ37" s="67" t="s">
        <v>24</v>
      </c>
      <c r="BB37" s="31"/>
      <c r="BC37" s="67">
        <v>48</v>
      </c>
      <c r="BD37" s="88"/>
      <c r="BE37" s="31"/>
      <c r="BF37" s="67">
        <v>1</v>
      </c>
      <c r="BG37" s="67">
        <v>1</v>
      </c>
      <c r="BH37" s="67">
        <v>0</v>
      </c>
      <c r="BI37" s="67">
        <v>0</v>
      </c>
      <c r="BJ37" s="67">
        <v>0.55000000000000004</v>
      </c>
      <c r="BK37" s="67">
        <v>5.5</v>
      </c>
      <c r="BL37" s="67">
        <v>6</v>
      </c>
      <c r="BM37" s="67" t="s">
        <v>1</v>
      </c>
      <c r="BN37" s="57">
        <f t="shared" si="5"/>
        <v>60</v>
      </c>
      <c r="BO37" s="71">
        <f t="shared" si="6"/>
        <v>6</v>
      </c>
      <c r="BP37" s="72">
        <v>200</v>
      </c>
      <c r="BQ37" s="73">
        <v>4.2649999999999997</v>
      </c>
      <c r="BR37" s="73">
        <v>4.1130000000000004</v>
      </c>
      <c r="BS37" s="73">
        <v>4.1890000000000001</v>
      </c>
      <c r="BT37" s="37"/>
      <c r="BU37" s="37"/>
      <c r="BV37" s="74">
        <v>0</v>
      </c>
      <c r="BW37" s="37"/>
      <c r="BX37" s="74">
        <v>0</v>
      </c>
      <c r="BY37" s="37"/>
      <c r="BZ37" s="74"/>
      <c r="CA37" s="37"/>
      <c r="CB37" s="74"/>
      <c r="CC37" s="37"/>
      <c r="CD37" s="37"/>
      <c r="CE37" s="75"/>
      <c r="CF37" s="76" t="s">
        <v>99</v>
      </c>
      <c r="CG37" s="83">
        <v>4.1890000000000001</v>
      </c>
      <c r="CH37" s="83" t="str">
        <f t="shared" si="7"/>
        <v xml:space="preserve"> </v>
      </c>
      <c r="CI37" s="67">
        <f t="shared" si="8"/>
        <v>2.68</v>
      </c>
      <c r="CJ37" s="67">
        <v>0</v>
      </c>
      <c r="CK37" s="67">
        <v>0</v>
      </c>
      <c r="CL37" s="67">
        <v>0</v>
      </c>
      <c r="CM37" s="67">
        <v>0</v>
      </c>
      <c r="CN37" s="67">
        <v>0</v>
      </c>
      <c r="CO37" s="77">
        <v>1</v>
      </c>
      <c r="CP37" s="67">
        <v>0</v>
      </c>
      <c r="CQ37" s="67">
        <v>0</v>
      </c>
      <c r="CR37" s="15">
        <v>0</v>
      </c>
      <c r="CS37" s="67">
        <v>0</v>
      </c>
      <c r="CT37" s="67">
        <v>0</v>
      </c>
      <c r="CU37" s="78">
        <v>0</v>
      </c>
      <c r="CV37" s="67">
        <v>0</v>
      </c>
      <c r="CW37" s="67">
        <v>0</v>
      </c>
      <c r="CX37" s="67">
        <v>0</v>
      </c>
      <c r="CY37" s="67">
        <v>0</v>
      </c>
      <c r="CZ37" s="67">
        <v>0</v>
      </c>
      <c r="DA37" s="67">
        <v>0</v>
      </c>
      <c r="DB37" s="67">
        <v>0</v>
      </c>
      <c r="DC37" s="15">
        <f t="shared" si="9"/>
        <v>0</v>
      </c>
      <c r="DD37" s="79">
        <v>0</v>
      </c>
      <c r="DE37" s="67">
        <v>540</v>
      </c>
      <c r="DF37" s="67">
        <v>0</v>
      </c>
      <c r="DG37" s="67">
        <v>0</v>
      </c>
      <c r="DH37" s="79">
        <v>540</v>
      </c>
      <c r="DI37" s="67" t="s">
        <v>0</v>
      </c>
    </row>
    <row r="38" spans="1:113" s="67" customFormat="1" ht="15.75" thickBot="1" x14ac:dyDescent="0.3">
      <c r="A38" s="67">
        <v>133884</v>
      </c>
      <c r="B38" s="67" t="s">
        <v>6</v>
      </c>
      <c r="C38" s="68" t="s">
        <v>15</v>
      </c>
      <c r="D38" s="67">
        <v>60</v>
      </c>
      <c r="E38" s="67">
        <v>0</v>
      </c>
      <c r="F38" s="67">
        <v>60</v>
      </c>
      <c r="G38" s="67">
        <v>692</v>
      </c>
      <c r="H38" s="67">
        <v>0</v>
      </c>
      <c r="I38" s="67">
        <v>35</v>
      </c>
      <c r="J38" s="46" t="s">
        <v>98</v>
      </c>
      <c r="K38" s="46" t="s">
        <v>97</v>
      </c>
      <c r="L38" s="47">
        <v>45442.421585648102</v>
      </c>
      <c r="M38" s="67">
        <v>0</v>
      </c>
      <c r="N38" s="67">
        <v>0</v>
      </c>
      <c r="O38" s="67">
        <v>0</v>
      </c>
      <c r="R38" s="67" t="s">
        <v>24</v>
      </c>
      <c r="S38" s="67" t="b">
        <v>0</v>
      </c>
      <c r="T38" s="67">
        <v>0.01</v>
      </c>
      <c r="U38" s="69">
        <v>6</v>
      </c>
      <c r="V38" s="67">
        <v>0.01</v>
      </c>
      <c r="W38" s="67">
        <v>0</v>
      </c>
      <c r="X38" s="67">
        <v>1000</v>
      </c>
      <c r="Y38" s="67">
        <v>0</v>
      </c>
      <c r="Z38" s="67">
        <v>10</v>
      </c>
      <c r="AA38" s="67">
        <v>0</v>
      </c>
      <c r="AB38" s="85">
        <v>70</v>
      </c>
      <c r="AC38" s="67">
        <v>0</v>
      </c>
      <c r="AD38" s="67">
        <v>10</v>
      </c>
      <c r="AE38" s="67">
        <v>0</v>
      </c>
      <c r="AF38" s="67">
        <v>2000</v>
      </c>
      <c r="AG38" s="67">
        <v>2</v>
      </c>
      <c r="AH38" s="67">
        <v>6.17</v>
      </c>
      <c r="AI38" s="67">
        <v>601</v>
      </c>
      <c r="AJ38" s="67">
        <v>0</v>
      </c>
      <c r="AK38" s="67">
        <v>242</v>
      </c>
      <c r="AL38" s="67">
        <v>0</v>
      </c>
      <c r="AM38" s="67" t="s">
        <v>2</v>
      </c>
      <c r="AN38" s="67">
        <v>0</v>
      </c>
      <c r="AO38" s="67">
        <v>70</v>
      </c>
      <c r="AP38" s="67">
        <v>0</v>
      </c>
      <c r="AW38" s="67" t="b">
        <v>0</v>
      </c>
      <c r="AZ38" s="67" t="s">
        <v>24</v>
      </c>
      <c r="BB38" s="31"/>
      <c r="BC38" s="67">
        <v>49</v>
      </c>
      <c r="BD38" s="88"/>
      <c r="BE38" s="31"/>
      <c r="BF38" s="67">
        <v>1</v>
      </c>
      <c r="BG38" s="67">
        <v>1</v>
      </c>
      <c r="BH38" s="67">
        <v>0</v>
      </c>
      <c r="BI38" s="67">
        <v>0</v>
      </c>
      <c r="BJ38" s="67">
        <v>0.55000000000000004</v>
      </c>
      <c r="BK38" s="67">
        <v>5.5</v>
      </c>
      <c r="BL38" s="67">
        <v>6</v>
      </c>
      <c r="BM38" s="67" t="s">
        <v>1</v>
      </c>
      <c r="BN38" s="57">
        <f t="shared" si="5"/>
        <v>60</v>
      </c>
      <c r="BO38" s="71">
        <f t="shared" si="6"/>
        <v>6</v>
      </c>
      <c r="BP38" s="72">
        <v>200</v>
      </c>
      <c r="BQ38" s="73">
        <v>4.84</v>
      </c>
      <c r="BR38" s="73">
        <v>4.9800000000000004</v>
      </c>
      <c r="BS38" s="73">
        <v>4.91</v>
      </c>
      <c r="BT38" s="37"/>
      <c r="BU38" s="37"/>
      <c r="BV38" s="74">
        <v>0</v>
      </c>
      <c r="BW38" s="37"/>
      <c r="BX38" s="74">
        <v>0</v>
      </c>
      <c r="BY38" s="37"/>
      <c r="BZ38" s="74"/>
      <c r="CA38" s="37"/>
      <c r="CB38" s="74"/>
      <c r="CC38" s="37"/>
      <c r="CD38" s="37"/>
      <c r="CE38" s="75"/>
      <c r="CF38" s="76" t="s">
        <v>90</v>
      </c>
      <c r="CG38" s="67">
        <v>4.91</v>
      </c>
      <c r="CH38" s="67" t="str">
        <f t="shared" si="7"/>
        <v xml:space="preserve"> </v>
      </c>
      <c r="CI38" s="67">
        <f t="shared" si="8"/>
        <v>2.68</v>
      </c>
      <c r="CJ38" s="67">
        <v>0</v>
      </c>
      <c r="CK38" s="67">
        <v>0</v>
      </c>
      <c r="CL38" s="67">
        <v>0</v>
      </c>
      <c r="CM38" s="67">
        <v>0</v>
      </c>
      <c r="CN38" s="67">
        <v>0</v>
      </c>
      <c r="CO38" s="67">
        <v>0</v>
      </c>
      <c r="CP38" s="67">
        <v>0</v>
      </c>
      <c r="CQ38" s="67">
        <v>0</v>
      </c>
      <c r="CR38" s="15">
        <v>0</v>
      </c>
      <c r="CS38" s="67">
        <v>0</v>
      </c>
      <c r="CT38" s="67">
        <v>0</v>
      </c>
      <c r="CU38" s="78">
        <v>0</v>
      </c>
      <c r="CV38" s="67">
        <v>0</v>
      </c>
      <c r="CW38" s="67">
        <v>0</v>
      </c>
      <c r="CX38" s="67">
        <v>0</v>
      </c>
      <c r="CY38" s="67">
        <v>0</v>
      </c>
      <c r="CZ38" s="67">
        <v>0</v>
      </c>
      <c r="DA38" s="67">
        <v>0</v>
      </c>
      <c r="DB38" s="67">
        <v>0</v>
      </c>
      <c r="DC38" s="15">
        <f t="shared" si="9"/>
        <v>0</v>
      </c>
      <c r="DD38" s="79">
        <v>0</v>
      </c>
      <c r="DE38" s="67">
        <v>1260.0000000000002</v>
      </c>
      <c r="DF38" s="67">
        <v>0</v>
      </c>
      <c r="DG38" s="67">
        <v>0</v>
      </c>
      <c r="DH38" s="79">
        <v>1260.0000000000002</v>
      </c>
      <c r="DI38" s="67" t="s">
        <v>0</v>
      </c>
    </row>
    <row r="39" spans="1:113" s="67" customFormat="1" ht="15.75" thickBot="1" x14ac:dyDescent="0.3">
      <c r="A39" s="67">
        <v>133886</v>
      </c>
      <c r="B39" s="67" t="s">
        <v>6</v>
      </c>
      <c r="C39" s="68" t="s">
        <v>15</v>
      </c>
      <c r="D39" s="67">
        <v>60</v>
      </c>
      <c r="E39" s="67">
        <v>0</v>
      </c>
      <c r="F39" s="67">
        <v>60</v>
      </c>
      <c r="G39" s="67">
        <v>694</v>
      </c>
      <c r="H39" s="67">
        <v>0</v>
      </c>
      <c r="I39" s="67">
        <v>35</v>
      </c>
      <c r="J39" s="46" t="s">
        <v>96</v>
      </c>
      <c r="K39" s="46" t="s">
        <v>95</v>
      </c>
      <c r="L39" s="47">
        <v>45442.421689814801</v>
      </c>
      <c r="M39" s="67">
        <v>0</v>
      </c>
      <c r="N39" s="67">
        <v>0</v>
      </c>
      <c r="O39" s="67">
        <v>0</v>
      </c>
      <c r="R39" s="67" t="s">
        <v>24</v>
      </c>
      <c r="S39" s="67" t="b">
        <v>0</v>
      </c>
      <c r="T39" s="67">
        <v>0.01</v>
      </c>
      <c r="U39" s="69">
        <v>6</v>
      </c>
      <c r="V39" s="67">
        <v>0.01</v>
      </c>
      <c r="W39" s="67">
        <v>0</v>
      </c>
      <c r="X39" s="67">
        <v>1000</v>
      </c>
      <c r="Y39" s="67">
        <v>0</v>
      </c>
      <c r="Z39" s="67">
        <v>10</v>
      </c>
      <c r="AA39" s="67">
        <v>0</v>
      </c>
      <c r="AB39" s="85">
        <v>70</v>
      </c>
      <c r="AC39" s="67">
        <v>0</v>
      </c>
      <c r="AD39" s="67">
        <v>10</v>
      </c>
      <c r="AE39" s="67">
        <v>0</v>
      </c>
      <c r="AF39" s="67">
        <v>2000</v>
      </c>
      <c r="AG39" s="67">
        <v>2</v>
      </c>
      <c r="AH39" s="67">
        <v>6.16</v>
      </c>
      <c r="AI39" s="67">
        <v>593</v>
      </c>
      <c r="AJ39" s="67">
        <v>0</v>
      </c>
      <c r="AK39" s="67">
        <v>239</v>
      </c>
      <c r="AL39" s="67">
        <v>0</v>
      </c>
      <c r="AM39" s="67" t="s">
        <v>2</v>
      </c>
      <c r="AN39" s="67">
        <v>0</v>
      </c>
      <c r="AO39" s="67">
        <v>70</v>
      </c>
      <c r="AP39" s="67">
        <v>0</v>
      </c>
      <c r="AW39" s="67" t="b">
        <v>0</v>
      </c>
      <c r="AZ39" s="67" t="s">
        <v>24</v>
      </c>
      <c r="BB39" s="31"/>
      <c r="BC39" s="67">
        <v>50</v>
      </c>
      <c r="BD39" s="88"/>
      <c r="BE39" s="31"/>
      <c r="BF39" s="67">
        <v>1</v>
      </c>
      <c r="BG39" s="67">
        <v>1</v>
      </c>
      <c r="BH39" s="67">
        <v>0</v>
      </c>
      <c r="BI39" s="67">
        <v>0</v>
      </c>
      <c r="BJ39" s="67">
        <v>0.55000000000000004</v>
      </c>
      <c r="BK39" s="67">
        <v>5.5</v>
      </c>
      <c r="BL39" s="67">
        <v>6</v>
      </c>
      <c r="BM39" s="67" t="s">
        <v>1</v>
      </c>
      <c r="BN39" s="57">
        <f t="shared" si="5"/>
        <v>60</v>
      </c>
      <c r="BO39" s="71">
        <f t="shared" si="6"/>
        <v>6</v>
      </c>
      <c r="BP39" s="72">
        <v>200</v>
      </c>
      <c r="BQ39" s="73">
        <v>5.0350000000000001</v>
      </c>
      <c r="BR39" s="73">
        <v>5.016</v>
      </c>
      <c r="BS39" s="73">
        <v>5.0255000000000001</v>
      </c>
      <c r="BT39" s="37"/>
      <c r="BU39" s="37"/>
      <c r="BV39" s="74">
        <v>0</v>
      </c>
      <c r="BW39" s="37"/>
      <c r="BX39" s="74">
        <v>0</v>
      </c>
      <c r="BY39" s="37"/>
      <c r="BZ39" s="74"/>
      <c r="CA39" s="37"/>
      <c r="CB39" s="74"/>
      <c r="CC39" s="37"/>
      <c r="CD39" s="37"/>
      <c r="CE39" s="75"/>
      <c r="CF39" s="76" t="s">
        <v>90</v>
      </c>
      <c r="CG39" s="83">
        <v>5.0255000000000001</v>
      </c>
      <c r="CH39" s="83" t="str">
        <f t="shared" si="7"/>
        <v xml:space="preserve"> </v>
      </c>
      <c r="CI39" s="67">
        <f t="shared" si="8"/>
        <v>2.68</v>
      </c>
      <c r="CJ39" s="67">
        <v>0</v>
      </c>
      <c r="CK39" s="67">
        <v>0</v>
      </c>
      <c r="CL39" s="67">
        <v>0</v>
      </c>
      <c r="CM39" s="67">
        <v>0</v>
      </c>
      <c r="CN39" s="67">
        <v>0</v>
      </c>
      <c r="CO39" s="67">
        <v>0</v>
      </c>
      <c r="CP39" s="67">
        <v>0</v>
      </c>
      <c r="CQ39" s="67">
        <v>0</v>
      </c>
      <c r="CR39" s="15">
        <v>0</v>
      </c>
      <c r="CS39" s="67">
        <v>0</v>
      </c>
      <c r="CT39" s="67">
        <v>0</v>
      </c>
      <c r="CU39" s="78">
        <v>0</v>
      </c>
      <c r="CV39" s="67">
        <v>0</v>
      </c>
      <c r="CW39" s="67">
        <v>0</v>
      </c>
      <c r="CX39" s="67">
        <v>0</v>
      </c>
      <c r="CY39" s="67">
        <v>0</v>
      </c>
      <c r="CZ39" s="67">
        <v>0</v>
      </c>
      <c r="DA39" s="67">
        <v>0</v>
      </c>
      <c r="DB39" s="67">
        <v>0</v>
      </c>
      <c r="DC39" s="15">
        <f t="shared" si="9"/>
        <v>0</v>
      </c>
      <c r="DD39" s="79">
        <v>0</v>
      </c>
      <c r="DE39" s="67">
        <v>1260.0000000000002</v>
      </c>
      <c r="DF39" s="67">
        <v>0</v>
      </c>
      <c r="DG39" s="67">
        <v>0</v>
      </c>
      <c r="DH39" s="79">
        <v>1260.0000000000002</v>
      </c>
      <c r="DI39" s="67" t="s">
        <v>0</v>
      </c>
    </row>
    <row r="40" spans="1:113" s="67" customFormat="1" ht="15.75" thickBot="1" x14ac:dyDescent="0.3">
      <c r="A40" s="67">
        <v>133888</v>
      </c>
      <c r="B40" s="67" t="s">
        <v>6</v>
      </c>
      <c r="C40" s="68" t="s">
        <v>15</v>
      </c>
      <c r="D40" s="67">
        <v>60</v>
      </c>
      <c r="E40" s="67">
        <v>0</v>
      </c>
      <c r="F40" s="67">
        <v>60</v>
      </c>
      <c r="G40" s="67">
        <v>696</v>
      </c>
      <c r="H40" s="67">
        <v>0</v>
      </c>
      <c r="I40" s="67">
        <v>45</v>
      </c>
      <c r="J40" s="46" t="s">
        <v>94</v>
      </c>
      <c r="K40" s="46" t="s">
        <v>93</v>
      </c>
      <c r="L40" s="47">
        <v>45442.4223726852</v>
      </c>
      <c r="M40" s="67">
        <v>0</v>
      </c>
      <c r="N40" s="67">
        <v>0</v>
      </c>
      <c r="O40" s="67">
        <v>0</v>
      </c>
      <c r="R40" s="67" t="s">
        <v>24</v>
      </c>
      <c r="S40" s="67" t="b">
        <v>0</v>
      </c>
      <c r="T40" s="67">
        <v>0.01</v>
      </c>
      <c r="U40" s="69">
        <v>6</v>
      </c>
      <c r="V40" s="67">
        <v>0.01</v>
      </c>
      <c r="W40" s="67">
        <v>0</v>
      </c>
      <c r="X40" s="67">
        <v>1000</v>
      </c>
      <c r="Y40" s="67">
        <v>0</v>
      </c>
      <c r="Z40" s="67">
        <v>10</v>
      </c>
      <c r="AA40" s="67">
        <v>0</v>
      </c>
      <c r="AB40" s="85">
        <v>90</v>
      </c>
      <c r="AC40" s="67">
        <v>0</v>
      </c>
      <c r="AD40" s="67">
        <v>10</v>
      </c>
      <c r="AE40" s="67">
        <v>0</v>
      </c>
      <c r="AF40" s="67">
        <v>2000</v>
      </c>
      <c r="AG40" s="67">
        <v>2</v>
      </c>
      <c r="AH40" s="67">
        <v>6.12</v>
      </c>
      <c r="AI40" s="67">
        <v>571</v>
      </c>
      <c r="AJ40" s="67">
        <v>0</v>
      </c>
      <c r="AK40" s="67">
        <v>303</v>
      </c>
      <c r="AL40" s="67">
        <v>0</v>
      </c>
      <c r="AM40" s="67" t="s">
        <v>2</v>
      </c>
      <c r="AN40" s="67">
        <v>0</v>
      </c>
      <c r="AO40" s="67">
        <v>90</v>
      </c>
      <c r="AP40" s="67">
        <v>0</v>
      </c>
      <c r="AW40" s="67" t="b">
        <v>0</v>
      </c>
      <c r="AZ40" s="67" t="s">
        <v>24</v>
      </c>
      <c r="BB40" s="31"/>
      <c r="BC40" s="67">
        <v>51</v>
      </c>
      <c r="BD40" s="88"/>
      <c r="BE40" s="31"/>
      <c r="BF40" s="67">
        <v>1</v>
      </c>
      <c r="BG40" s="67">
        <v>1</v>
      </c>
      <c r="BH40" s="67">
        <v>0</v>
      </c>
      <c r="BI40" s="67">
        <v>0</v>
      </c>
      <c r="BJ40" s="67">
        <v>0.55000000000000004</v>
      </c>
      <c r="BK40" s="67">
        <v>5.5</v>
      </c>
      <c r="BL40" s="67">
        <v>6</v>
      </c>
      <c r="BM40" s="67" t="s">
        <v>1</v>
      </c>
      <c r="BN40" s="57">
        <f t="shared" si="5"/>
        <v>60</v>
      </c>
      <c r="BO40" s="71">
        <f t="shared" si="6"/>
        <v>6</v>
      </c>
      <c r="BP40" s="72">
        <v>200</v>
      </c>
      <c r="BQ40" s="73">
        <v>5.5609999999999999</v>
      </c>
      <c r="BR40" s="73">
        <v>5.4550000000000001</v>
      </c>
      <c r="BS40" s="73">
        <v>5.508</v>
      </c>
      <c r="BT40" s="37"/>
      <c r="BU40" s="37"/>
      <c r="BV40" s="74">
        <v>0</v>
      </c>
      <c r="BW40" s="37"/>
      <c r="BX40" s="74">
        <v>0</v>
      </c>
      <c r="BY40" s="37"/>
      <c r="BZ40" s="74"/>
      <c r="CA40" s="37"/>
      <c r="CB40" s="74"/>
      <c r="CC40" s="37"/>
      <c r="CD40" s="37"/>
      <c r="CE40" s="75"/>
      <c r="CF40" s="76" t="s">
        <v>90</v>
      </c>
      <c r="CG40" s="67">
        <v>5.508</v>
      </c>
      <c r="CH40" s="67" t="str">
        <f t="shared" si="7"/>
        <v xml:space="preserve"> </v>
      </c>
      <c r="CI40" s="67">
        <f t="shared" si="8"/>
        <v>2.68</v>
      </c>
      <c r="CJ40" s="67">
        <v>0</v>
      </c>
      <c r="CK40" s="67">
        <v>0</v>
      </c>
      <c r="CL40" s="67">
        <v>0</v>
      </c>
      <c r="CM40" s="67">
        <v>0</v>
      </c>
      <c r="CN40" s="67">
        <v>0</v>
      </c>
      <c r="CO40" s="67">
        <v>0</v>
      </c>
      <c r="CP40" s="67">
        <v>0</v>
      </c>
      <c r="CQ40" s="67">
        <v>0</v>
      </c>
      <c r="CR40" s="67">
        <v>0</v>
      </c>
      <c r="CS40" s="67">
        <v>0</v>
      </c>
      <c r="CT40" s="67">
        <v>0</v>
      </c>
      <c r="CU40" s="78">
        <v>0</v>
      </c>
      <c r="CV40" s="67">
        <v>0</v>
      </c>
      <c r="CW40" s="67">
        <v>0</v>
      </c>
      <c r="CX40" s="67">
        <v>0</v>
      </c>
      <c r="CY40" s="67">
        <v>0</v>
      </c>
      <c r="CZ40" s="67">
        <v>0</v>
      </c>
      <c r="DA40" s="67">
        <v>0</v>
      </c>
      <c r="DB40" s="67">
        <v>0</v>
      </c>
      <c r="DC40" s="15">
        <f t="shared" si="9"/>
        <v>0</v>
      </c>
      <c r="DD40" s="79">
        <v>0</v>
      </c>
      <c r="DE40" s="67">
        <v>1620</v>
      </c>
      <c r="DF40" s="67">
        <v>0</v>
      </c>
      <c r="DG40" s="67">
        <v>0</v>
      </c>
      <c r="DH40" s="79">
        <v>1620</v>
      </c>
      <c r="DI40" s="67" t="s">
        <v>0</v>
      </c>
    </row>
    <row r="41" spans="1:113" s="67" customFormat="1" ht="15.75" thickBot="1" x14ac:dyDescent="0.3">
      <c r="A41" s="67">
        <v>133890</v>
      </c>
      <c r="B41" s="67" t="s">
        <v>6</v>
      </c>
      <c r="C41" s="68" t="s">
        <v>15</v>
      </c>
      <c r="D41" s="67">
        <v>60</v>
      </c>
      <c r="E41" s="67">
        <v>0</v>
      </c>
      <c r="F41" s="67">
        <v>60</v>
      </c>
      <c r="G41" s="67">
        <v>698</v>
      </c>
      <c r="H41" s="67">
        <v>0</v>
      </c>
      <c r="I41" s="67">
        <v>45</v>
      </c>
      <c r="J41" s="46" t="s">
        <v>92</v>
      </c>
      <c r="K41" s="46" t="s">
        <v>91</v>
      </c>
      <c r="L41" s="47">
        <v>45442.422465277799</v>
      </c>
      <c r="M41" s="67">
        <v>0</v>
      </c>
      <c r="N41" s="67">
        <v>0</v>
      </c>
      <c r="O41" s="67">
        <v>0</v>
      </c>
      <c r="R41" s="67" t="s">
        <v>24</v>
      </c>
      <c r="S41" s="67" t="b">
        <v>0</v>
      </c>
      <c r="T41" s="67">
        <v>0.01</v>
      </c>
      <c r="U41" s="69">
        <v>6</v>
      </c>
      <c r="V41" s="67">
        <v>0.01</v>
      </c>
      <c r="W41" s="67">
        <v>0</v>
      </c>
      <c r="X41" s="67">
        <v>1000</v>
      </c>
      <c r="Y41" s="67">
        <v>0</v>
      </c>
      <c r="Z41" s="67">
        <v>10</v>
      </c>
      <c r="AA41" s="67">
        <v>0</v>
      </c>
      <c r="AB41" s="85">
        <v>90</v>
      </c>
      <c r="AC41" s="67">
        <v>0</v>
      </c>
      <c r="AD41" s="67">
        <v>10</v>
      </c>
      <c r="AE41" s="67">
        <v>0</v>
      </c>
      <c r="AF41" s="67">
        <v>2000</v>
      </c>
      <c r="AG41" s="67">
        <v>2</v>
      </c>
      <c r="AH41" s="67">
        <v>6.12</v>
      </c>
      <c r="AI41" s="67">
        <v>567</v>
      </c>
      <c r="AJ41" s="67">
        <v>0</v>
      </c>
      <c r="AK41" s="67">
        <v>300</v>
      </c>
      <c r="AL41" s="67">
        <v>0</v>
      </c>
      <c r="AM41" s="67" t="s">
        <v>2</v>
      </c>
      <c r="AN41" s="67">
        <v>0</v>
      </c>
      <c r="AO41" s="67">
        <v>90</v>
      </c>
      <c r="AP41" s="67">
        <v>0</v>
      </c>
      <c r="AW41" s="67" t="b">
        <v>0</v>
      </c>
      <c r="AZ41" s="67" t="s">
        <v>24</v>
      </c>
      <c r="BB41" s="31"/>
      <c r="BC41" s="67">
        <v>52</v>
      </c>
      <c r="BD41" s="88"/>
      <c r="BE41" s="31"/>
      <c r="BF41" s="67">
        <v>1</v>
      </c>
      <c r="BG41" s="67">
        <v>1</v>
      </c>
      <c r="BH41" s="67">
        <v>0</v>
      </c>
      <c r="BI41" s="67">
        <v>0</v>
      </c>
      <c r="BJ41" s="67">
        <v>0.55000000000000004</v>
      </c>
      <c r="BK41" s="67">
        <v>5.5</v>
      </c>
      <c r="BL41" s="67">
        <v>6</v>
      </c>
      <c r="BM41" s="67" t="s">
        <v>1</v>
      </c>
      <c r="BN41" s="57">
        <f t="shared" si="5"/>
        <v>60</v>
      </c>
      <c r="BO41" s="71">
        <f t="shared" si="6"/>
        <v>6</v>
      </c>
      <c r="BP41" s="72">
        <v>200</v>
      </c>
      <c r="BQ41" s="73">
        <v>5.508</v>
      </c>
      <c r="BR41" s="73">
        <v>5.1740000000000004</v>
      </c>
      <c r="BS41" s="73">
        <v>5.3410000000000002</v>
      </c>
      <c r="BT41" s="37"/>
      <c r="BU41" s="37"/>
      <c r="BV41" s="74">
        <v>0</v>
      </c>
      <c r="BW41" s="37"/>
      <c r="BX41" s="74">
        <v>0</v>
      </c>
      <c r="BY41" s="37"/>
      <c r="BZ41" s="74"/>
      <c r="CA41" s="37"/>
      <c r="CB41" s="74"/>
      <c r="CC41" s="37"/>
      <c r="CD41" s="37"/>
      <c r="CE41" s="75"/>
      <c r="CF41" s="76" t="s">
        <v>90</v>
      </c>
      <c r="CG41" s="83">
        <v>5.3410000000000002</v>
      </c>
      <c r="CH41" s="83" t="str">
        <f t="shared" si="7"/>
        <v xml:space="preserve"> </v>
      </c>
      <c r="CI41" s="67">
        <f t="shared" si="8"/>
        <v>2.68</v>
      </c>
      <c r="CJ41" s="67">
        <v>0</v>
      </c>
      <c r="CK41" s="67">
        <v>0</v>
      </c>
      <c r="CL41" s="67">
        <v>0</v>
      </c>
      <c r="CM41" s="67">
        <v>0</v>
      </c>
      <c r="CN41" s="67">
        <v>0</v>
      </c>
      <c r="CO41" s="67">
        <v>0</v>
      </c>
      <c r="CP41" s="67">
        <v>0</v>
      </c>
      <c r="CQ41" s="67">
        <v>0</v>
      </c>
      <c r="CR41" s="67">
        <v>0</v>
      </c>
      <c r="CS41" s="67">
        <v>0</v>
      </c>
      <c r="CT41" s="67">
        <v>0</v>
      </c>
      <c r="CU41" s="78">
        <v>0</v>
      </c>
      <c r="CV41" s="67">
        <v>0</v>
      </c>
      <c r="CW41" s="67">
        <v>0</v>
      </c>
      <c r="CX41" s="67">
        <v>0</v>
      </c>
      <c r="CY41" s="67">
        <v>0</v>
      </c>
      <c r="CZ41" s="67">
        <v>0</v>
      </c>
      <c r="DA41" s="67">
        <v>0</v>
      </c>
      <c r="DB41" s="67">
        <v>0</v>
      </c>
      <c r="DC41" s="15">
        <f t="shared" si="9"/>
        <v>0</v>
      </c>
      <c r="DD41" s="79">
        <v>0</v>
      </c>
      <c r="DE41" s="67">
        <v>1620</v>
      </c>
      <c r="DF41" s="67">
        <v>0</v>
      </c>
      <c r="DG41" s="67">
        <v>0</v>
      </c>
      <c r="DH41" s="79">
        <v>1620</v>
      </c>
      <c r="DI41" s="67" t="s">
        <v>0</v>
      </c>
    </row>
    <row r="42" spans="1:113" s="67" customFormat="1" ht="15" customHeight="1" thickBot="1" x14ac:dyDescent="0.3">
      <c r="A42" s="67">
        <v>144566</v>
      </c>
      <c r="B42" s="67" t="s">
        <v>6</v>
      </c>
      <c r="C42" s="68" t="s">
        <v>15</v>
      </c>
      <c r="D42" s="67">
        <v>60</v>
      </c>
      <c r="E42" s="67">
        <v>0</v>
      </c>
      <c r="F42" s="67">
        <v>60</v>
      </c>
      <c r="G42" s="67">
        <v>2298</v>
      </c>
      <c r="H42" s="67">
        <v>0</v>
      </c>
      <c r="I42" s="67">
        <v>25</v>
      </c>
      <c r="J42" s="46" t="s">
        <v>89</v>
      </c>
      <c r="K42" s="46" t="s">
        <v>88</v>
      </c>
      <c r="L42" s="47">
        <v>45470.407766203702</v>
      </c>
      <c r="M42" s="67">
        <v>0</v>
      </c>
      <c r="N42" s="67">
        <v>0</v>
      </c>
      <c r="O42" s="67">
        <v>0</v>
      </c>
      <c r="R42" s="67" t="s">
        <v>24</v>
      </c>
      <c r="S42" s="67" t="b">
        <v>0</v>
      </c>
      <c r="T42" s="67">
        <v>0.01</v>
      </c>
      <c r="U42" s="80">
        <v>2</v>
      </c>
      <c r="V42" s="67">
        <v>0.01</v>
      </c>
      <c r="W42" s="67">
        <v>0</v>
      </c>
      <c r="X42" s="67">
        <v>1000</v>
      </c>
      <c r="Y42" s="67">
        <v>0</v>
      </c>
      <c r="Z42" s="67">
        <v>10</v>
      </c>
      <c r="AA42" s="67">
        <v>0</v>
      </c>
      <c r="AB42" s="85">
        <v>50</v>
      </c>
      <c r="AC42" s="67">
        <v>0</v>
      </c>
      <c r="AD42" s="67">
        <v>10</v>
      </c>
      <c r="AE42" s="67">
        <v>0</v>
      </c>
      <c r="AF42" s="67">
        <v>2000</v>
      </c>
      <c r="AG42" s="67">
        <v>2</v>
      </c>
      <c r="AH42" s="67">
        <v>2.0299999999999998</v>
      </c>
      <c r="AI42" s="67">
        <v>364</v>
      </c>
      <c r="AJ42" s="67">
        <v>0</v>
      </c>
      <c r="AK42" s="67">
        <v>30</v>
      </c>
      <c r="AL42" s="67">
        <v>0</v>
      </c>
      <c r="AM42" s="67" t="s">
        <v>2</v>
      </c>
      <c r="AN42" s="67">
        <v>0</v>
      </c>
      <c r="AO42" s="67">
        <v>50</v>
      </c>
      <c r="AP42" s="67">
        <v>0</v>
      </c>
      <c r="AW42" s="67" t="b">
        <v>0</v>
      </c>
      <c r="AZ42" s="67" t="s">
        <v>24</v>
      </c>
      <c r="BB42" s="31"/>
      <c r="BC42" s="67">
        <v>57</v>
      </c>
      <c r="BD42" s="89" t="s">
        <v>73</v>
      </c>
      <c r="BE42" s="31"/>
      <c r="BF42" s="67">
        <v>1</v>
      </c>
      <c r="BG42" s="67">
        <v>1</v>
      </c>
      <c r="BH42" s="67">
        <v>0</v>
      </c>
      <c r="BI42" s="67">
        <v>0</v>
      </c>
      <c r="BJ42" s="67">
        <v>0.55000000000000004</v>
      </c>
      <c r="BK42" s="67">
        <v>5.5</v>
      </c>
      <c r="BL42" s="67">
        <v>6</v>
      </c>
      <c r="BM42" s="67" t="s">
        <v>1</v>
      </c>
      <c r="BN42" s="57">
        <f t="shared" si="5"/>
        <v>60</v>
      </c>
      <c r="BO42" s="81">
        <f t="shared" si="6"/>
        <v>2</v>
      </c>
      <c r="BP42" s="72">
        <v>200</v>
      </c>
      <c r="BQ42" s="73">
        <v>0</v>
      </c>
      <c r="BR42" s="73">
        <v>0</v>
      </c>
      <c r="BS42" s="73">
        <v>0</v>
      </c>
      <c r="BT42" s="37"/>
      <c r="BU42" s="37"/>
      <c r="BV42" s="74">
        <v>0</v>
      </c>
      <c r="BW42" s="37"/>
      <c r="BX42" s="74">
        <v>0</v>
      </c>
      <c r="BY42" s="37"/>
      <c r="BZ42" s="74"/>
      <c r="CA42" s="37"/>
      <c r="CB42" s="74"/>
      <c r="CC42" s="37"/>
      <c r="CD42" s="37"/>
      <c r="CE42" s="75"/>
      <c r="CF42" s="76" t="s">
        <v>12</v>
      </c>
      <c r="CG42" s="67">
        <v>3.4805000000000001</v>
      </c>
      <c r="CH42" s="67" t="str">
        <f t="shared" si="7"/>
        <v xml:space="preserve"> </v>
      </c>
      <c r="CI42" s="67">
        <f t="shared" si="8"/>
        <v>2.68</v>
      </c>
      <c r="CJ42" s="67">
        <v>0</v>
      </c>
      <c r="CK42" s="67">
        <v>0</v>
      </c>
      <c r="CL42" s="67">
        <v>0</v>
      </c>
      <c r="CM42" s="67">
        <v>0</v>
      </c>
      <c r="CN42" s="67">
        <v>0</v>
      </c>
      <c r="CO42" s="67">
        <v>0</v>
      </c>
      <c r="CP42" s="67">
        <v>0</v>
      </c>
      <c r="CQ42" s="67">
        <v>0</v>
      </c>
      <c r="CR42" s="15">
        <v>0</v>
      </c>
      <c r="CS42" s="67">
        <v>0</v>
      </c>
      <c r="CT42" s="67">
        <v>0</v>
      </c>
      <c r="CU42" s="78">
        <v>1</v>
      </c>
      <c r="CV42" s="67">
        <v>0</v>
      </c>
      <c r="CW42" s="67">
        <v>0</v>
      </c>
      <c r="CX42" s="67">
        <v>0</v>
      </c>
      <c r="CY42" s="67">
        <v>0</v>
      </c>
      <c r="CZ42" s="67">
        <v>0</v>
      </c>
      <c r="DA42" s="67">
        <v>0</v>
      </c>
      <c r="DB42" s="67">
        <v>0</v>
      </c>
      <c r="DC42" s="15">
        <f t="shared" si="9"/>
        <v>1</v>
      </c>
      <c r="DD42" s="79">
        <v>2</v>
      </c>
      <c r="DE42" s="67">
        <v>100</v>
      </c>
      <c r="DF42" s="67">
        <v>0</v>
      </c>
      <c r="DG42" s="67">
        <v>0</v>
      </c>
      <c r="DH42" s="79">
        <v>100</v>
      </c>
      <c r="DI42" s="67" t="s">
        <v>0</v>
      </c>
    </row>
    <row r="43" spans="1:113" s="67" customFormat="1" ht="15" customHeight="1" thickBot="1" x14ac:dyDescent="0.3">
      <c r="A43" s="67">
        <v>144567</v>
      </c>
      <c r="B43" s="67" t="s">
        <v>6</v>
      </c>
      <c r="C43" s="68" t="s">
        <v>15</v>
      </c>
      <c r="D43" s="67">
        <v>60</v>
      </c>
      <c r="E43" s="67">
        <v>0</v>
      </c>
      <c r="F43" s="67">
        <v>60</v>
      </c>
      <c r="G43" s="67">
        <v>2299</v>
      </c>
      <c r="H43" s="67">
        <v>0</v>
      </c>
      <c r="I43" s="67">
        <v>25</v>
      </c>
      <c r="J43" s="46" t="s">
        <v>87</v>
      </c>
      <c r="K43" s="46" t="s">
        <v>86</v>
      </c>
      <c r="L43" s="47">
        <v>45470.407812500001</v>
      </c>
      <c r="M43" s="67">
        <v>0</v>
      </c>
      <c r="N43" s="67">
        <v>0</v>
      </c>
      <c r="O43" s="67">
        <v>0</v>
      </c>
      <c r="R43" s="67" t="s">
        <v>24</v>
      </c>
      <c r="S43" s="67" t="b">
        <v>0</v>
      </c>
      <c r="T43" s="67">
        <v>0.01</v>
      </c>
      <c r="U43" s="80">
        <v>2</v>
      </c>
      <c r="V43" s="67">
        <v>0.01</v>
      </c>
      <c r="W43" s="67">
        <v>0</v>
      </c>
      <c r="X43" s="67">
        <v>1000</v>
      </c>
      <c r="Y43" s="67">
        <v>0</v>
      </c>
      <c r="Z43" s="67">
        <v>10</v>
      </c>
      <c r="AA43" s="67">
        <v>0</v>
      </c>
      <c r="AB43" s="85">
        <v>50</v>
      </c>
      <c r="AC43" s="67">
        <v>0</v>
      </c>
      <c r="AD43" s="67">
        <v>10</v>
      </c>
      <c r="AE43" s="67">
        <v>0</v>
      </c>
      <c r="AF43" s="67">
        <v>2000</v>
      </c>
      <c r="AG43" s="67">
        <v>2</v>
      </c>
      <c r="AH43" s="67">
        <v>2.0699999999999998</v>
      </c>
      <c r="AI43" s="67">
        <v>393</v>
      </c>
      <c r="AJ43" s="67">
        <v>0</v>
      </c>
      <c r="AK43" s="67">
        <v>33</v>
      </c>
      <c r="AL43" s="67">
        <v>0</v>
      </c>
      <c r="AM43" s="67" t="s">
        <v>2</v>
      </c>
      <c r="AN43" s="67">
        <v>0</v>
      </c>
      <c r="AO43" s="67">
        <v>50</v>
      </c>
      <c r="AP43" s="67">
        <v>0</v>
      </c>
      <c r="AW43" s="67" t="b">
        <v>0</v>
      </c>
      <c r="AZ43" s="67" t="s">
        <v>24</v>
      </c>
      <c r="BB43" s="31"/>
      <c r="BC43" s="67">
        <v>58</v>
      </c>
      <c r="BD43" s="89" t="s">
        <v>73</v>
      </c>
      <c r="BE43" s="31"/>
      <c r="BF43" s="67">
        <v>1</v>
      </c>
      <c r="BG43" s="67">
        <v>1</v>
      </c>
      <c r="BH43" s="67">
        <v>0</v>
      </c>
      <c r="BI43" s="67">
        <v>0</v>
      </c>
      <c r="BJ43" s="67">
        <v>0.55000000000000004</v>
      </c>
      <c r="BK43" s="67">
        <v>5.5</v>
      </c>
      <c r="BL43" s="67">
        <v>6</v>
      </c>
      <c r="BM43" s="67" t="s">
        <v>1</v>
      </c>
      <c r="BN43" s="57">
        <f t="shared" si="5"/>
        <v>60</v>
      </c>
      <c r="BO43" s="81">
        <f t="shared" si="6"/>
        <v>2</v>
      </c>
      <c r="BP43" s="72">
        <v>200</v>
      </c>
      <c r="BQ43" s="73">
        <v>0</v>
      </c>
      <c r="BR43" s="73">
        <v>0</v>
      </c>
      <c r="BS43" s="73">
        <v>0</v>
      </c>
      <c r="BT43" s="37"/>
      <c r="BU43" s="37"/>
      <c r="BV43" s="74">
        <v>0</v>
      </c>
      <c r="BW43" s="37"/>
      <c r="BX43" s="74">
        <v>0</v>
      </c>
      <c r="BY43" s="37"/>
      <c r="BZ43" s="74"/>
      <c r="CA43" s="37"/>
      <c r="CB43" s="74"/>
      <c r="CC43" s="37"/>
      <c r="CD43" s="37"/>
      <c r="CE43" s="75"/>
      <c r="CF43" s="76" t="s">
        <v>12</v>
      </c>
      <c r="CG43" s="67">
        <v>3.4950000000000001</v>
      </c>
      <c r="CH43" s="67" t="str">
        <f t="shared" si="7"/>
        <v xml:space="preserve"> </v>
      </c>
      <c r="CI43" s="67">
        <f t="shared" si="8"/>
        <v>2.68</v>
      </c>
      <c r="CJ43" s="67">
        <v>0</v>
      </c>
      <c r="CK43" s="67">
        <v>0</v>
      </c>
      <c r="CL43" s="67">
        <v>0</v>
      </c>
      <c r="CM43" s="67">
        <v>0</v>
      </c>
      <c r="CN43" s="67">
        <v>0</v>
      </c>
      <c r="CO43" s="67">
        <v>0</v>
      </c>
      <c r="CP43" s="67">
        <v>0</v>
      </c>
      <c r="CQ43" s="67">
        <v>0</v>
      </c>
      <c r="CR43" s="15">
        <v>0</v>
      </c>
      <c r="CS43" s="67">
        <v>0</v>
      </c>
      <c r="CT43" s="67">
        <v>0</v>
      </c>
      <c r="CU43" s="78">
        <v>1</v>
      </c>
      <c r="CV43" s="67">
        <v>0</v>
      </c>
      <c r="CW43" s="67">
        <v>0</v>
      </c>
      <c r="CX43" s="67">
        <v>0</v>
      </c>
      <c r="CY43" s="67">
        <v>0</v>
      </c>
      <c r="CZ43" s="67">
        <v>0</v>
      </c>
      <c r="DA43" s="67">
        <v>0</v>
      </c>
      <c r="DB43" s="67">
        <v>0</v>
      </c>
      <c r="DC43" s="15">
        <f t="shared" si="9"/>
        <v>1</v>
      </c>
      <c r="DD43" s="79">
        <v>2</v>
      </c>
      <c r="DE43" s="67">
        <v>100</v>
      </c>
      <c r="DF43" s="67">
        <v>0</v>
      </c>
      <c r="DG43" s="67">
        <v>0</v>
      </c>
      <c r="DH43" s="79">
        <v>100</v>
      </c>
      <c r="DI43" s="67" t="s">
        <v>0</v>
      </c>
    </row>
    <row r="44" spans="1:113" s="67" customFormat="1" ht="15" customHeight="1" thickBot="1" x14ac:dyDescent="0.3">
      <c r="A44" s="67">
        <v>144568</v>
      </c>
      <c r="B44" s="67" t="s">
        <v>6</v>
      </c>
      <c r="C44" s="68" t="s">
        <v>15</v>
      </c>
      <c r="D44" s="67">
        <v>60</v>
      </c>
      <c r="E44" s="67">
        <v>0</v>
      </c>
      <c r="F44" s="67">
        <v>60</v>
      </c>
      <c r="G44" s="67">
        <v>2300</v>
      </c>
      <c r="H44" s="67">
        <v>0</v>
      </c>
      <c r="I44" s="67">
        <v>25</v>
      </c>
      <c r="J44" s="46" t="s">
        <v>85</v>
      </c>
      <c r="K44" s="46" t="s">
        <v>84</v>
      </c>
      <c r="L44" s="47">
        <v>45470.407858796301</v>
      </c>
      <c r="M44" s="67">
        <v>0</v>
      </c>
      <c r="N44" s="67">
        <v>0</v>
      </c>
      <c r="O44" s="67">
        <v>0</v>
      </c>
      <c r="R44" s="67" t="s">
        <v>24</v>
      </c>
      <c r="S44" s="67" t="b">
        <v>0</v>
      </c>
      <c r="T44" s="67">
        <v>0.01</v>
      </c>
      <c r="U44" s="80">
        <v>2</v>
      </c>
      <c r="V44" s="67">
        <v>0.01</v>
      </c>
      <c r="W44" s="67">
        <v>0</v>
      </c>
      <c r="X44" s="67">
        <v>1000</v>
      </c>
      <c r="Y44" s="67">
        <v>0</v>
      </c>
      <c r="Z44" s="67">
        <v>10</v>
      </c>
      <c r="AA44" s="67">
        <v>0</v>
      </c>
      <c r="AB44" s="85">
        <v>50</v>
      </c>
      <c r="AC44" s="67">
        <v>0</v>
      </c>
      <c r="AD44" s="67">
        <v>10</v>
      </c>
      <c r="AE44" s="67">
        <v>0</v>
      </c>
      <c r="AF44" s="67">
        <v>2000</v>
      </c>
      <c r="AG44" s="67">
        <v>2</v>
      </c>
      <c r="AH44" s="67">
        <v>2.0299999999999998</v>
      </c>
      <c r="AI44" s="67">
        <v>347</v>
      </c>
      <c r="AJ44" s="67">
        <v>0</v>
      </c>
      <c r="AK44" s="67">
        <v>29</v>
      </c>
      <c r="AL44" s="67">
        <v>0</v>
      </c>
      <c r="AM44" s="67" t="s">
        <v>2</v>
      </c>
      <c r="AN44" s="67">
        <v>0</v>
      </c>
      <c r="AO44" s="67">
        <v>50</v>
      </c>
      <c r="AP44" s="67">
        <v>0</v>
      </c>
      <c r="AW44" s="67" t="b">
        <v>0</v>
      </c>
      <c r="AZ44" s="67" t="s">
        <v>24</v>
      </c>
      <c r="BB44" s="31"/>
      <c r="BC44" s="67">
        <v>59</v>
      </c>
      <c r="BD44" s="89" t="s">
        <v>73</v>
      </c>
      <c r="BE44" s="31"/>
      <c r="BF44" s="67">
        <v>1</v>
      </c>
      <c r="BG44" s="67">
        <v>1</v>
      </c>
      <c r="BH44" s="67">
        <v>0</v>
      </c>
      <c r="BI44" s="67">
        <v>0</v>
      </c>
      <c r="BJ44" s="67">
        <v>0.55000000000000004</v>
      </c>
      <c r="BK44" s="67">
        <v>5.5</v>
      </c>
      <c r="BL44" s="67">
        <v>6</v>
      </c>
      <c r="BM44" s="67" t="s">
        <v>1</v>
      </c>
      <c r="BN44" s="57">
        <f t="shared" si="5"/>
        <v>60</v>
      </c>
      <c r="BO44" s="81">
        <f t="shared" si="6"/>
        <v>2</v>
      </c>
      <c r="BP44" s="72">
        <v>200</v>
      </c>
      <c r="BQ44" s="73">
        <v>0</v>
      </c>
      <c r="BR44" s="73">
        <v>0</v>
      </c>
      <c r="BS44" s="73">
        <v>0</v>
      </c>
      <c r="BT44" s="37"/>
      <c r="BU44" s="37"/>
      <c r="BV44" s="74">
        <v>0</v>
      </c>
      <c r="BW44" s="37"/>
      <c r="BX44" s="74">
        <v>0</v>
      </c>
      <c r="BY44" s="37"/>
      <c r="BZ44" s="74"/>
      <c r="CA44" s="37"/>
      <c r="CB44" s="74"/>
      <c r="CC44" s="37"/>
      <c r="CD44" s="37"/>
      <c r="CE44" s="75"/>
      <c r="CF44" s="76" t="s">
        <v>12</v>
      </c>
      <c r="CG44" s="83">
        <v>3.4119999999999999</v>
      </c>
      <c r="CH44" s="83" t="str">
        <f t="shared" si="7"/>
        <v xml:space="preserve"> </v>
      </c>
      <c r="CI44" s="67">
        <f t="shared" si="8"/>
        <v>2.68</v>
      </c>
      <c r="CJ44" s="67">
        <v>0</v>
      </c>
      <c r="CK44" s="67">
        <v>0</v>
      </c>
      <c r="CL44" s="67">
        <v>0</v>
      </c>
      <c r="CM44" s="67">
        <v>0</v>
      </c>
      <c r="CN44" s="67">
        <v>0</v>
      </c>
      <c r="CO44" s="67">
        <v>0</v>
      </c>
      <c r="CP44" s="67">
        <v>0</v>
      </c>
      <c r="CQ44" s="67">
        <v>0</v>
      </c>
      <c r="CR44" s="15">
        <v>0</v>
      </c>
      <c r="CS44" s="67">
        <v>0</v>
      </c>
      <c r="CT44" s="67">
        <v>0</v>
      </c>
      <c r="CU44" s="78">
        <v>1</v>
      </c>
      <c r="CV44" s="67">
        <v>0</v>
      </c>
      <c r="CW44" s="67">
        <v>0</v>
      </c>
      <c r="CX44" s="67">
        <v>0</v>
      </c>
      <c r="CY44" s="67">
        <v>0</v>
      </c>
      <c r="CZ44" s="67">
        <v>0</v>
      </c>
      <c r="DA44" s="67">
        <v>0</v>
      </c>
      <c r="DB44" s="67">
        <v>0</v>
      </c>
      <c r="DC44" s="15">
        <f t="shared" si="9"/>
        <v>1</v>
      </c>
      <c r="DD44" s="79">
        <v>2</v>
      </c>
      <c r="DE44" s="83">
        <v>100</v>
      </c>
      <c r="DF44" s="83">
        <v>0</v>
      </c>
      <c r="DG44" s="83">
        <v>0</v>
      </c>
      <c r="DH44" s="90">
        <v>100</v>
      </c>
      <c r="DI44" s="67" t="s">
        <v>0</v>
      </c>
    </row>
    <row r="45" spans="1:113" s="67" customFormat="1" ht="15" customHeight="1" thickBot="1" x14ac:dyDescent="0.3">
      <c r="A45" s="67">
        <v>144569</v>
      </c>
      <c r="B45" s="67" t="s">
        <v>6</v>
      </c>
      <c r="C45" s="68" t="s">
        <v>15</v>
      </c>
      <c r="D45" s="67">
        <v>60</v>
      </c>
      <c r="E45" s="67">
        <v>0</v>
      </c>
      <c r="F45" s="67">
        <v>60</v>
      </c>
      <c r="G45" s="67">
        <v>2301</v>
      </c>
      <c r="H45" s="67">
        <v>0</v>
      </c>
      <c r="I45" s="67">
        <v>25</v>
      </c>
      <c r="J45" s="46" t="s">
        <v>83</v>
      </c>
      <c r="K45" s="46" t="s">
        <v>82</v>
      </c>
      <c r="L45" s="47">
        <v>45470.407893518503</v>
      </c>
      <c r="M45" s="67">
        <v>0</v>
      </c>
      <c r="N45" s="67">
        <v>0</v>
      </c>
      <c r="O45" s="67">
        <v>0</v>
      </c>
      <c r="R45" s="67" t="s">
        <v>24</v>
      </c>
      <c r="S45" s="67" t="b">
        <v>0</v>
      </c>
      <c r="T45" s="67">
        <v>0.01</v>
      </c>
      <c r="U45" s="80">
        <v>2</v>
      </c>
      <c r="V45" s="67">
        <v>0.01</v>
      </c>
      <c r="W45" s="67">
        <v>0</v>
      </c>
      <c r="X45" s="67">
        <v>1000</v>
      </c>
      <c r="Y45" s="67">
        <v>0</v>
      </c>
      <c r="Z45" s="67">
        <v>10</v>
      </c>
      <c r="AA45" s="67">
        <v>0</v>
      </c>
      <c r="AB45" s="85">
        <v>50</v>
      </c>
      <c r="AC45" s="67">
        <v>0</v>
      </c>
      <c r="AD45" s="67">
        <v>10</v>
      </c>
      <c r="AE45" s="67">
        <v>0</v>
      </c>
      <c r="AF45" s="67">
        <v>2000</v>
      </c>
      <c r="AG45" s="67">
        <v>2</v>
      </c>
      <c r="AH45" s="67">
        <v>2.04</v>
      </c>
      <c r="AI45" s="67">
        <v>377</v>
      </c>
      <c r="AJ45" s="67">
        <v>0</v>
      </c>
      <c r="AK45" s="67">
        <v>32</v>
      </c>
      <c r="AL45" s="67">
        <v>0</v>
      </c>
      <c r="AM45" s="67" t="s">
        <v>2</v>
      </c>
      <c r="AN45" s="67">
        <v>0</v>
      </c>
      <c r="AO45" s="67">
        <v>50</v>
      </c>
      <c r="AP45" s="67">
        <v>0</v>
      </c>
      <c r="AW45" s="67" t="b">
        <v>0</v>
      </c>
      <c r="AZ45" s="67" t="s">
        <v>24</v>
      </c>
      <c r="BB45" s="31"/>
      <c r="BC45" s="67">
        <v>60</v>
      </c>
      <c r="BD45" s="89" t="s">
        <v>73</v>
      </c>
      <c r="BE45" s="31"/>
      <c r="BF45" s="67">
        <v>1</v>
      </c>
      <c r="BG45" s="67">
        <v>1</v>
      </c>
      <c r="BH45" s="67">
        <v>0</v>
      </c>
      <c r="BI45" s="67">
        <v>0</v>
      </c>
      <c r="BJ45" s="67">
        <v>0.55000000000000004</v>
      </c>
      <c r="BK45" s="67">
        <v>5.5</v>
      </c>
      <c r="BL45" s="67">
        <v>6</v>
      </c>
      <c r="BM45" s="67" t="s">
        <v>1</v>
      </c>
      <c r="BN45" s="57">
        <f t="shared" si="5"/>
        <v>60</v>
      </c>
      <c r="BO45" s="81">
        <f t="shared" si="6"/>
        <v>2</v>
      </c>
      <c r="BP45" s="72">
        <v>200</v>
      </c>
      <c r="BQ45" s="73">
        <v>0</v>
      </c>
      <c r="BR45" s="73">
        <v>0</v>
      </c>
      <c r="BS45" s="73">
        <v>0</v>
      </c>
      <c r="BT45" s="37"/>
      <c r="BU45" s="37"/>
      <c r="BV45" s="74">
        <v>0</v>
      </c>
      <c r="BW45" s="37"/>
      <c r="BX45" s="74">
        <v>0</v>
      </c>
      <c r="BY45" s="37"/>
      <c r="BZ45" s="74"/>
      <c r="CA45" s="37"/>
      <c r="CB45" s="74"/>
      <c r="CC45" s="37"/>
      <c r="CD45" s="37"/>
      <c r="CE45" s="75"/>
      <c r="CF45" s="76" t="s">
        <v>12</v>
      </c>
      <c r="CG45" s="83">
        <v>3.4649999999999999</v>
      </c>
      <c r="CH45" s="83" t="str">
        <f t="shared" si="7"/>
        <v xml:space="preserve"> </v>
      </c>
      <c r="CI45" s="67">
        <f t="shared" si="8"/>
        <v>2.68</v>
      </c>
      <c r="CJ45" s="67">
        <v>0</v>
      </c>
      <c r="CK45" s="67">
        <v>0</v>
      </c>
      <c r="CL45" s="67">
        <v>0</v>
      </c>
      <c r="CM45" s="67">
        <v>0</v>
      </c>
      <c r="CN45" s="67">
        <v>0</v>
      </c>
      <c r="CO45" s="67">
        <v>0</v>
      </c>
      <c r="CP45" s="67">
        <v>0</v>
      </c>
      <c r="CQ45" s="67">
        <v>0</v>
      </c>
      <c r="CR45" s="15">
        <v>0</v>
      </c>
      <c r="CS45" s="67">
        <v>0</v>
      </c>
      <c r="CT45" s="67">
        <v>0</v>
      </c>
      <c r="CU45" s="78">
        <v>1</v>
      </c>
      <c r="CV45" s="67">
        <v>0</v>
      </c>
      <c r="CW45" s="67">
        <v>0</v>
      </c>
      <c r="CX45" s="67">
        <v>0</v>
      </c>
      <c r="CY45" s="67">
        <v>0</v>
      </c>
      <c r="CZ45" s="67">
        <v>0</v>
      </c>
      <c r="DA45" s="67">
        <v>0</v>
      </c>
      <c r="DB45" s="67">
        <v>0</v>
      </c>
      <c r="DC45" s="15">
        <f t="shared" si="9"/>
        <v>1</v>
      </c>
      <c r="DD45" s="79">
        <v>2</v>
      </c>
      <c r="DE45" s="67">
        <v>100</v>
      </c>
      <c r="DF45" s="67">
        <v>0</v>
      </c>
      <c r="DG45" s="67">
        <v>0</v>
      </c>
      <c r="DH45" s="79">
        <v>100</v>
      </c>
      <c r="DI45" s="67" t="s">
        <v>0</v>
      </c>
    </row>
    <row r="46" spans="1:113" s="67" customFormat="1" ht="15" customHeight="1" thickBot="1" x14ac:dyDescent="0.3">
      <c r="A46" s="67">
        <v>144570</v>
      </c>
      <c r="B46" s="67" t="s">
        <v>6</v>
      </c>
      <c r="C46" s="68" t="s">
        <v>15</v>
      </c>
      <c r="D46" s="67">
        <v>60</v>
      </c>
      <c r="E46" s="67">
        <v>0</v>
      </c>
      <c r="F46" s="67">
        <v>60</v>
      </c>
      <c r="G46" s="67">
        <v>2302</v>
      </c>
      <c r="H46" s="67">
        <v>0</v>
      </c>
      <c r="I46" s="67">
        <v>25</v>
      </c>
      <c r="J46" s="46" t="s">
        <v>81</v>
      </c>
      <c r="K46" s="46" t="s">
        <v>80</v>
      </c>
      <c r="L46" s="47">
        <v>45470.413113425901</v>
      </c>
      <c r="M46" s="67">
        <v>0</v>
      </c>
      <c r="N46" s="67">
        <v>0</v>
      </c>
      <c r="O46" s="67">
        <v>0</v>
      </c>
      <c r="R46" s="67" t="s">
        <v>24</v>
      </c>
      <c r="S46" s="67" t="b">
        <v>0</v>
      </c>
      <c r="T46" s="67">
        <v>0.01</v>
      </c>
      <c r="U46" s="80">
        <v>3</v>
      </c>
      <c r="V46" s="67">
        <v>0.01</v>
      </c>
      <c r="W46" s="67">
        <v>0</v>
      </c>
      <c r="X46" s="67">
        <v>1000</v>
      </c>
      <c r="Y46" s="67">
        <v>0</v>
      </c>
      <c r="Z46" s="67">
        <v>10</v>
      </c>
      <c r="AA46" s="67">
        <v>0</v>
      </c>
      <c r="AB46" s="85">
        <v>50</v>
      </c>
      <c r="AC46" s="67">
        <v>0</v>
      </c>
      <c r="AD46" s="67">
        <v>10</v>
      </c>
      <c r="AE46" s="67">
        <v>0</v>
      </c>
      <c r="AF46" s="67">
        <v>2000</v>
      </c>
      <c r="AG46" s="67">
        <v>2</v>
      </c>
      <c r="AH46" s="67">
        <v>3.01</v>
      </c>
      <c r="AI46" s="67">
        <v>461</v>
      </c>
      <c r="AJ46" s="67">
        <v>0</v>
      </c>
      <c r="AK46" s="67">
        <v>60</v>
      </c>
      <c r="AL46" s="67">
        <v>0</v>
      </c>
      <c r="AM46" s="67" t="s">
        <v>2</v>
      </c>
      <c r="AN46" s="67">
        <v>0</v>
      </c>
      <c r="AO46" s="67">
        <v>50</v>
      </c>
      <c r="AP46" s="67">
        <v>0</v>
      </c>
      <c r="AW46" s="67" t="b">
        <v>0</v>
      </c>
      <c r="AZ46" s="67" t="s">
        <v>24</v>
      </c>
      <c r="BB46" s="31"/>
      <c r="BC46" s="67">
        <v>61</v>
      </c>
      <c r="BD46" s="89" t="s">
        <v>73</v>
      </c>
      <c r="BE46" s="31"/>
      <c r="BF46" s="67">
        <v>1</v>
      </c>
      <c r="BG46" s="67">
        <v>1</v>
      </c>
      <c r="BH46" s="67">
        <v>0</v>
      </c>
      <c r="BI46" s="67">
        <v>0</v>
      </c>
      <c r="BJ46" s="67">
        <v>0.55000000000000004</v>
      </c>
      <c r="BK46" s="67">
        <v>5.5</v>
      </c>
      <c r="BL46" s="67">
        <v>6</v>
      </c>
      <c r="BM46" s="67" t="s">
        <v>1</v>
      </c>
      <c r="BN46" s="57">
        <f t="shared" si="5"/>
        <v>60</v>
      </c>
      <c r="BO46" s="81">
        <f t="shared" si="6"/>
        <v>3</v>
      </c>
      <c r="BP46" s="72">
        <v>200</v>
      </c>
      <c r="BQ46" s="73">
        <v>0</v>
      </c>
      <c r="BR46" s="73">
        <v>0</v>
      </c>
      <c r="BS46" s="73">
        <v>0</v>
      </c>
      <c r="BT46" s="37"/>
      <c r="BU46" s="37"/>
      <c r="BV46" s="74">
        <v>0</v>
      </c>
      <c r="BW46" s="37"/>
      <c r="BX46" s="74">
        <v>0</v>
      </c>
      <c r="BY46" s="37"/>
      <c r="BZ46" s="74"/>
      <c r="CA46" s="37"/>
      <c r="CB46" s="74"/>
      <c r="CC46" s="37"/>
      <c r="CD46" s="37"/>
      <c r="CE46" s="75"/>
      <c r="CF46" s="76" t="s">
        <v>12</v>
      </c>
      <c r="CG46" s="67">
        <v>3.5649999999999999</v>
      </c>
      <c r="CH46" s="67" t="str">
        <f t="shared" si="7"/>
        <v xml:space="preserve"> </v>
      </c>
      <c r="CI46" s="67">
        <f t="shared" si="8"/>
        <v>2.68</v>
      </c>
      <c r="CJ46" s="67">
        <v>0</v>
      </c>
      <c r="CK46" s="67">
        <v>0</v>
      </c>
      <c r="CL46" s="67">
        <v>0</v>
      </c>
      <c r="CM46" s="67">
        <v>0</v>
      </c>
      <c r="CN46" s="67">
        <v>0</v>
      </c>
      <c r="CO46" s="67">
        <v>0</v>
      </c>
      <c r="CP46" s="67">
        <v>0</v>
      </c>
      <c r="CQ46" s="67">
        <v>0</v>
      </c>
      <c r="CR46" s="15">
        <v>0</v>
      </c>
      <c r="CS46" s="67">
        <v>0</v>
      </c>
      <c r="CT46" s="67">
        <v>0</v>
      </c>
      <c r="CU46" s="78">
        <v>1</v>
      </c>
      <c r="CV46" s="67">
        <v>0</v>
      </c>
      <c r="CW46" s="67">
        <v>0</v>
      </c>
      <c r="CX46" s="67">
        <v>0</v>
      </c>
      <c r="CY46" s="67">
        <v>0</v>
      </c>
      <c r="CZ46" s="67">
        <v>0</v>
      </c>
      <c r="DA46" s="67">
        <v>0</v>
      </c>
      <c r="DB46" s="67">
        <v>0</v>
      </c>
      <c r="DC46" s="15">
        <f t="shared" si="9"/>
        <v>1</v>
      </c>
      <c r="DD46" s="79">
        <v>2</v>
      </c>
      <c r="DE46" s="67">
        <v>225</v>
      </c>
      <c r="DF46" s="67">
        <v>0</v>
      </c>
      <c r="DG46" s="67">
        <v>0</v>
      </c>
      <c r="DH46" s="79">
        <v>225</v>
      </c>
      <c r="DI46" s="67" t="s">
        <v>0</v>
      </c>
    </row>
    <row r="47" spans="1:113" s="67" customFormat="1" ht="15" customHeight="1" thickBot="1" x14ac:dyDescent="0.3">
      <c r="A47" s="67">
        <v>144571</v>
      </c>
      <c r="B47" s="67" t="s">
        <v>6</v>
      </c>
      <c r="C47" s="68" t="s">
        <v>15</v>
      </c>
      <c r="D47" s="67">
        <v>60</v>
      </c>
      <c r="E47" s="67">
        <v>0</v>
      </c>
      <c r="F47" s="67">
        <v>60</v>
      </c>
      <c r="G47" s="67">
        <v>2303</v>
      </c>
      <c r="H47" s="67">
        <v>0</v>
      </c>
      <c r="I47" s="67">
        <v>25</v>
      </c>
      <c r="J47" s="46" t="s">
        <v>79</v>
      </c>
      <c r="K47" s="46" t="s">
        <v>78</v>
      </c>
      <c r="L47" s="47">
        <v>45470.413148148102</v>
      </c>
      <c r="M47" s="67">
        <v>0</v>
      </c>
      <c r="N47" s="67">
        <v>0</v>
      </c>
      <c r="O47" s="67">
        <v>0</v>
      </c>
      <c r="R47" s="67" t="s">
        <v>24</v>
      </c>
      <c r="S47" s="67" t="b">
        <v>0</v>
      </c>
      <c r="T47" s="67">
        <v>0.01</v>
      </c>
      <c r="U47" s="80">
        <v>3</v>
      </c>
      <c r="V47" s="67">
        <v>0.01</v>
      </c>
      <c r="W47" s="67">
        <v>0</v>
      </c>
      <c r="X47" s="67">
        <v>1000</v>
      </c>
      <c r="Y47" s="67">
        <v>0</v>
      </c>
      <c r="Z47" s="67">
        <v>10</v>
      </c>
      <c r="AA47" s="67">
        <v>0</v>
      </c>
      <c r="AB47" s="85">
        <v>50</v>
      </c>
      <c r="AC47" s="67">
        <v>0</v>
      </c>
      <c r="AD47" s="67">
        <v>10</v>
      </c>
      <c r="AE47" s="67">
        <v>0</v>
      </c>
      <c r="AF47" s="67">
        <v>2000</v>
      </c>
      <c r="AG47" s="67">
        <v>2</v>
      </c>
      <c r="AH47" s="67">
        <v>2.97</v>
      </c>
      <c r="AI47" s="67">
        <v>423</v>
      </c>
      <c r="AJ47" s="67">
        <v>0</v>
      </c>
      <c r="AK47" s="67">
        <v>54</v>
      </c>
      <c r="AL47" s="67">
        <v>0</v>
      </c>
      <c r="AM47" s="67" t="s">
        <v>2</v>
      </c>
      <c r="AN47" s="67">
        <v>0</v>
      </c>
      <c r="AO47" s="67">
        <v>50</v>
      </c>
      <c r="AP47" s="67">
        <v>0</v>
      </c>
      <c r="AW47" s="67" t="b">
        <v>0</v>
      </c>
      <c r="AZ47" s="67" t="s">
        <v>24</v>
      </c>
      <c r="BB47" s="31"/>
      <c r="BC47" s="67">
        <v>62</v>
      </c>
      <c r="BD47" s="89" t="s">
        <v>73</v>
      </c>
      <c r="BE47" s="31"/>
      <c r="BF47" s="67">
        <v>1</v>
      </c>
      <c r="BG47" s="67">
        <v>1</v>
      </c>
      <c r="BH47" s="67">
        <v>0</v>
      </c>
      <c r="BI47" s="67">
        <v>0</v>
      </c>
      <c r="BJ47" s="67">
        <v>0.55000000000000004</v>
      </c>
      <c r="BK47" s="67">
        <v>5.5</v>
      </c>
      <c r="BL47" s="67">
        <v>6</v>
      </c>
      <c r="BM47" s="67" t="s">
        <v>1</v>
      </c>
      <c r="BN47" s="57">
        <f t="shared" si="5"/>
        <v>60</v>
      </c>
      <c r="BO47" s="81">
        <f t="shared" si="6"/>
        <v>3</v>
      </c>
      <c r="BP47" s="72">
        <v>200</v>
      </c>
      <c r="BQ47" s="73">
        <v>0</v>
      </c>
      <c r="BR47" s="73">
        <v>0</v>
      </c>
      <c r="BS47" s="73">
        <v>0</v>
      </c>
      <c r="BT47" s="37"/>
      <c r="BU47" s="37"/>
      <c r="BV47" s="74">
        <v>0</v>
      </c>
      <c r="BW47" s="37"/>
      <c r="BX47" s="74">
        <v>0</v>
      </c>
      <c r="BY47" s="37"/>
      <c r="BZ47" s="74"/>
      <c r="CA47" s="37"/>
      <c r="CB47" s="74"/>
      <c r="CC47" s="37"/>
      <c r="CD47" s="37"/>
      <c r="CE47" s="75"/>
      <c r="CF47" s="76" t="s">
        <v>12</v>
      </c>
      <c r="CG47" s="67">
        <v>3.5484999999999998</v>
      </c>
      <c r="CH47" s="67" t="str">
        <f t="shared" si="7"/>
        <v xml:space="preserve"> </v>
      </c>
      <c r="CI47" s="67">
        <f t="shared" si="8"/>
        <v>2.68</v>
      </c>
      <c r="CJ47" s="67">
        <v>0</v>
      </c>
      <c r="CK47" s="67">
        <v>0</v>
      </c>
      <c r="CL47" s="67">
        <v>0</v>
      </c>
      <c r="CM47" s="67">
        <v>0</v>
      </c>
      <c r="CN47" s="67">
        <v>0</v>
      </c>
      <c r="CO47" s="67">
        <v>0</v>
      </c>
      <c r="CP47" s="67">
        <v>0</v>
      </c>
      <c r="CQ47" s="67">
        <v>0</v>
      </c>
      <c r="CR47" s="15">
        <v>0</v>
      </c>
      <c r="CS47" s="67">
        <v>0</v>
      </c>
      <c r="CT47" s="67">
        <v>0</v>
      </c>
      <c r="CU47" s="78">
        <v>1</v>
      </c>
      <c r="CV47" s="67">
        <v>0</v>
      </c>
      <c r="CW47" s="67">
        <v>0</v>
      </c>
      <c r="CX47" s="67">
        <v>0</v>
      </c>
      <c r="CY47" s="67">
        <v>0</v>
      </c>
      <c r="CZ47" s="67">
        <v>0</v>
      </c>
      <c r="DA47" s="67">
        <v>0</v>
      </c>
      <c r="DB47" s="67">
        <v>0</v>
      </c>
      <c r="DC47" s="15">
        <f t="shared" si="9"/>
        <v>1</v>
      </c>
      <c r="DD47" s="79">
        <v>2</v>
      </c>
      <c r="DE47" s="67">
        <v>225</v>
      </c>
      <c r="DF47" s="67">
        <v>0</v>
      </c>
      <c r="DG47" s="67">
        <v>0</v>
      </c>
      <c r="DH47" s="79">
        <v>225</v>
      </c>
      <c r="DI47" s="67" t="s">
        <v>0</v>
      </c>
    </row>
    <row r="48" spans="1:113" s="67" customFormat="1" ht="15" customHeight="1" thickBot="1" x14ac:dyDescent="0.3">
      <c r="A48" s="67">
        <v>144572</v>
      </c>
      <c r="B48" s="67" t="s">
        <v>6</v>
      </c>
      <c r="C48" s="68" t="s">
        <v>15</v>
      </c>
      <c r="D48" s="67">
        <v>60</v>
      </c>
      <c r="E48" s="67">
        <v>0</v>
      </c>
      <c r="F48" s="67">
        <v>60</v>
      </c>
      <c r="G48" s="67">
        <v>2304</v>
      </c>
      <c r="H48" s="67">
        <v>0</v>
      </c>
      <c r="I48" s="67">
        <v>25</v>
      </c>
      <c r="J48" s="46" t="s">
        <v>77</v>
      </c>
      <c r="K48" s="46" t="s">
        <v>76</v>
      </c>
      <c r="L48" s="47">
        <v>45470.413194444402</v>
      </c>
      <c r="M48" s="67">
        <v>0</v>
      </c>
      <c r="N48" s="67">
        <v>0</v>
      </c>
      <c r="O48" s="67">
        <v>0</v>
      </c>
      <c r="R48" s="67" t="s">
        <v>24</v>
      </c>
      <c r="S48" s="67" t="b">
        <v>0</v>
      </c>
      <c r="T48" s="67">
        <v>0.01</v>
      </c>
      <c r="U48" s="80">
        <v>3</v>
      </c>
      <c r="V48" s="67">
        <v>0.01</v>
      </c>
      <c r="W48" s="67">
        <v>0</v>
      </c>
      <c r="X48" s="67">
        <v>1000</v>
      </c>
      <c r="Y48" s="67">
        <v>0</v>
      </c>
      <c r="Z48" s="67">
        <v>10</v>
      </c>
      <c r="AA48" s="67">
        <v>0</v>
      </c>
      <c r="AB48" s="85">
        <v>50</v>
      </c>
      <c r="AC48" s="67">
        <v>0</v>
      </c>
      <c r="AD48" s="67">
        <v>10</v>
      </c>
      <c r="AE48" s="67">
        <v>0</v>
      </c>
      <c r="AF48" s="67">
        <v>2000</v>
      </c>
      <c r="AG48" s="67">
        <v>2</v>
      </c>
      <c r="AH48" s="67">
        <v>3</v>
      </c>
      <c r="AI48" s="67">
        <v>440</v>
      </c>
      <c r="AJ48" s="67">
        <v>0</v>
      </c>
      <c r="AK48" s="67">
        <v>57</v>
      </c>
      <c r="AL48" s="67">
        <v>0</v>
      </c>
      <c r="AM48" s="67" t="s">
        <v>2</v>
      </c>
      <c r="AN48" s="67">
        <v>0</v>
      </c>
      <c r="AO48" s="67">
        <v>50</v>
      </c>
      <c r="AP48" s="67">
        <v>0</v>
      </c>
      <c r="AW48" s="67" t="b">
        <v>0</v>
      </c>
      <c r="AZ48" s="67" t="s">
        <v>24</v>
      </c>
      <c r="BB48" s="31"/>
      <c r="BC48" s="67">
        <v>63</v>
      </c>
      <c r="BD48" s="89" t="s">
        <v>73</v>
      </c>
      <c r="BE48" s="31"/>
      <c r="BF48" s="67">
        <v>1</v>
      </c>
      <c r="BG48" s="67">
        <v>1</v>
      </c>
      <c r="BH48" s="67">
        <v>0</v>
      </c>
      <c r="BI48" s="67">
        <v>0</v>
      </c>
      <c r="BJ48" s="67">
        <v>0.55000000000000004</v>
      </c>
      <c r="BK48" s="67">
        <v>5.5</v>
      </c>
      <c r="BL48" s="67">
        <v>6</v>
      </c>
      <c r="BM48" s="67" t="s">
        <v>1</v>
      </c>
      <c r="BN48" s="57">
        <f t="shared" si="5"/>
        <v>60</v>
      </c>
      <c r="BO48" s="81">
        <f t="shared" si="6"/>
        <v>3</v>
      </c>
      <c r="BP48" s="72">
        <v>200</v>
      </c>
      <c r="BQ48" s="73">
        <v>0</v>
      </c>
      <c r="BR48" s="73">
        <v>0</v>
      </c>
      <c r="BS48" s="73">
        <v>0</v>
      </c>
      <c r="BT48" s="37"/>
      <c r="BU48" s="37"/>
      <c r="BV48" s="74">
        <v>0</v>
      </c>
      <c r="BW48" s="37"/>
      <c r="BX48" s="74">
        <v>0</v>
      </c>
      <c r="BY48" s="37"/>
      <c r="BZ48" s="74"/>
      <c r="CA48" s="37"/>
      <c r="CB48" s="74"/>
      <c r="CC48" s="37"/>
      <c r="CD48" s="37"/>
      <c r="CE48" s="75"/>
      <c r="CF48" s="76" t="s">
        <v>12</v>
      </c>
      <c r="CG48" s="83">
        <v>3.298</v>
      </c>
      <c r="CH48" s="83" t="str">
        <f t="shared" si="7"/>
        <v xml:space="preserve"> </v>
      </c>
      <c r="CI48" s="67">
        <f t="shared" si="8"/>
        <v>2.68</v>
      </c>
      <c r="CJ48" s="67">
        <v>0</v>
      </c>
      <c r="CK48" s="67">
        <v>0</v>
      </c>
      <c r="CL48" s="67">
        <v>0</v>
      </c>
      <c r="CM48" s="67">
        <v>0</v>
      </c>
      <c r="CN48" s="67">
        <v>0</v>
      </c>
      <c r="CO48" s="67">
        <v>0</v>
      </c>
      <c r="CP48" s="67">
        <v>0</v>
      </c>
      <c r="CQ48" s="67">
        <v>0</v>
      </c>
      <c r="CR48" s="15">
        <v>0</v>
      </c>
      <c r="CS48" s="67">
        <v>0</v>
      </c>
      <c r="CT48" s="67">
        <v>0</v>
      </c>
      <c r="CU48" s="78">
        <v>1</v>
      </c>
      <c r="CV48" s="67">
        <v>0</v>
      </c>
      <c r="CW48" s="67">
        <v>0</v>
      </c>
      <c r="CX48" s="67">
        <v>0</v>
      </c>
      <c r="CY48" s="67">
        <v>0</v>
      </c>
      <c r="CZ48" s="67">
        <v>0</v>
      </c>
      <c r="DA48" s="67">
        <v>0</v>
      </c>
      <c r="DB48" s="67">
        <v>0</v>
      </c>
      <c r="DC48" s="15">
        <f t="shared" si="9"/>
        <v>1</v>
      </c>
      <c r="DD48" s="79">
        <v>2</v>
      </c>
      <c r="DE48" s="83">
        <v>225</v>
      </c>
      <c r="DF48" s="83">
        <v>0</v>
      </c>
      <c r="DG48" s="83">
        <v>0</v>
      </c>
      <c r="DH48" s="90">
        <v>225</v>
      </c>
      <c r="DI48" s="67" t="s">
        <v>0</v>
      </c>
    </row>
    <row r="49" spans="1:113" s="67" customFormat="1" ht="15" customHeight="1" thickBot="1" x14ac:dyDescent="0.3">
      <c r="A49" s="67">
        <v>144573</v>
      </c>
      <c r="B49" s="67" t="s">
        <v>6</v>
      </c>
      <c r="C49" s="68" t="s">
        <v>15</v>
      </c>
      <c r="D49" s="67">
        <v>60</v>
      </c>
      <c r="E49" s="67">
        <v>0</v>
      </c>
      <c r="F49" s="67">
        <v>60</v>
      </c>
      <c r="G49" s="67">
        <v>2305</v>
      </c>
      <c r="H49" s="67">
        <v>0</v>
      </c>
      <c r="I49" s="67">
        <v>25</v>
      </c>
      <c r="J49" s="46" t="s">
        <v>75</v>
      </c>
      <c r="K49" s="46" t="s">
        <v>74</v>
      </c>
      <c r="L49" s="47">
        <v>45470.413240740701</v>
      </c>
      <c r="M49" s="67">
        <v>0</v>
      </c>
      <c r="N49" s="67">
        <v>0</v>
      </c>
      <c r="O49" s="67">
        <v>0</v>
      </c>
      <c r="R49" s="67" t="s">
        <v>24</v>
      </c>
      <c r="S49" s="67" t="b">
        <v>0</v>
      </c>
      <c r="T49" s="67">
        <v>0.01</v>
      </c>
      <c r="U49" s="80">
        <v>3</v>
      </c>
      <c r="V49" s="67">
        <v>0.01</v>
      </c>
      <c r="W49" s="67">
        <v>0</v>
      </c>
      <c r="X49" s="67">
        <v>1000</v>
      </c>
      <c r="Y49" s="67">
        <v>0</v>
      </c>
      <c r="Z49" s="67">
        <v>10</v>
      </c>
      <c r="AA49" s="67">
        <v>0</v>
      </c>
      <c r="AB49" s="85">
        <v>50</v>
      </c>
      <c r="AC49" s="67">
        <v>0</v>
      </c>
      <c r="AD49" s="67">
        <v>10</v>
      </c>
      <c r="AE49" s="67">
        <v>0</v>
      </c>
      <c r="AF49" s="67">
        <v>2000</v>
      </c>
      <c r="AG49" s="67">
        <v>2</v>
      </c>
      <c r="AH49" s="67">
        <v>2.99</v>
      </c>
      <c r="AI49" s="67">
        <v>427</v>
      </c>
      <c r="AJ49" s="67">
        <v>0</v>
      </c>
      <c r="AK49" s="67">
        <v>55</v>
      </c>
      <c r="AL49" s="67">
        <v>0</v>
      </c>
      <c r="AM49" s="67" t="s">
        <v>2</v>
      </c>
      <c r="AN49" s="67">
        <v>0</v>
      </c>
      <c r="AO49" s="67">
        <v>50</v>
      </c>
      <c r="AP49" s="67">
        <v>0</v>
      </c>
      <c r="AW49" s="67" t="b">
        <v>0</v>
      </c>
      <c r="AZ49" s="67" t="s">
        <v>24</v>
      </c>
      <c r="BB49" s="31"/>
      <c r="BC49" s="67">
        <v>64</v>
      </c>
      <c r="BD49" s="89" t="s">
        <v>73</v>
      </c>
      <c r="BE49" s="31"/>
      <c r="BF49" s="67">
        <v>1</v>
      </c>
      <c r="BG49" s="67">
        <v>1</v>
      </c>
      <c r="BH49" s="67">
        <v>0</v>
      </c>
      <c r="BI49" s="67">
        <v>0</v>
      </c>
      <c r="BJ49" s="67">
        <v>0.55000000000000004</v>
      </c>
      <c r="BK49" s="67">
        <v>5.5</v>
      </c>
      <c r="BL49" s="67">
        <v>6</v>
      </c>
      <c r="BM49" s="67" t="s">
        <v>1</v>
      </c>
      <c r="BN49" s="57">
        <f t="shared" si="5"/>
        <v>60</v>
      </c>
      <c r="BO49" s="81">
        <f t="shared" si="6"/>
        <v>3</v>
      </c>
      <c r="BP49" s="72">
        <v>200</v>
      </c>
      <c r="BQ49" s="73">
        <v>0</v>
      </c>
      <c r="BR49" s="73">
        <v>0</v>
      </c>
      <c r="BS49" s="73">
        <v>0</v>
      </c>
      <c r="BT49" s="37"/>
      <c r="BU49" s="37"/>
      <c r="BV49" s="74">
        <v>0</v>
      </c>
      <c r="BW49" s="37"/>
      <c r="BX49" s="74">
        <v>0</v>
      </c>
      <c r="BY49" s="37"/>
      <c r="BZ49" s="74"/>
      <c r="CA49" s="37"/>
      <c r="CB49" s="74"/>
      <c r="CC49" s="37"/>
      <c r="CD49" s="37"/>
      <c r="CE49" s="75"/>
      <c r="CF49" s="76" t="s">
        <v>12</v>
      </c>
      <c r="CG49" s="83">
        <v>3.5185</v>
      </c>
      <c r="CH49" s="83" t="str">
        <f t="shared" si="7"/>
        <v xml:space="preserve"> </v>
      </c>
      <c r="CI49" s="67">
        <f t="shared" si="8"/>
        <v>2.68</v>
      </c>
      <c r="CJ49" s="67">
        <v>0</v>
      </c>
      <c r="CK49" s="67">
        <v>0</v>
      </c>
      <c r="CL49" s="67">
        <v>0</v>
      </c>
      <c r="CM49" s="67">
        <v>0</v>
      </c>
      <c r="CN49" s="67">
        <v>0</v>
      </c>
      <c r="CO49" s="67">
        <v>0</v>
      </c>
      <c r="CP49" s="67">
        <v>0</v>
      </c>
      <c r="CQ49" s="67">
        <v>0</v>
      </c>
      <c r="CR49" s="15">
        <v>0</v>
      </c>
      <c r="CS49" s="67">
        <v>0</v>
      </c>
      <c r="CT49" s="67">
        <v>0</v>
      </c>
      <c r="CU49" s="78">
        <v>1</v>
      </c>
      <c r="CV49" s="67">
        <v>0</v>
      </c>
      <c r="CW49" s="67">
        <v>0</v>
      </c>
      <c r="CX49" s="67">
        <v>0</v>
      </c>
      <c r="CY49" s="67">
        <v>0</v>
      </c>
      <c r="CZ49" s="67">
        <v>0</v>
      </c>
      <c r="DA49" s="67">
        <v>0</v>
      </c>
      <c r="DB49" s="67">
        <v>0</v>
      </c>
      <c r="DC49" s="15">
        <f t="shared" si="9"/>
        <v>1</v>
      </c>
      <c r="DD49" s="79">
        <v>2</v>
      </c>
      <c r="DE49" s="67">
        <v>225</v>
      </c>
      <c r="DF49" s="67">
        <v>0</v>
      </c>
      <c r="DG49" s="67">
        <v>0</v>
      </c>
      <c r="DH49" s="79">
        <v>225</v>
      </c>
      <c r="DI49" s="67" t="s">
        <v>0</v>
      </c>
    </row>
    <row r="50" spans="1:113" s="67" customFormat="1" ht="15" customHeight="1" thickBot="1" x14ac:dyDescent="0.3">
      <c r="A50" s="67">
        <v>298691</v>
      </c>
      <c r="B50" s="67" t="s">
        <v>6</v>
      </c>
      <c r="C50" s="68" t="s">
        <v>15</v>
      </c>
      <c r="D50" s="67">
        <v>60</v>
      </c>
      <c r="E50" s="67">
        <v>0</v>
      </c>
      <c r="F50" s="67">
        <v>60</v>
      </c>
      <c r="G50" s="67">
        <v>3</v>
      </c>
      <c r="H50" s="67">
        <v>0</v>
      </c>
      <c r="I50" s="67">
        <v>25</v>
      </c>
      <c r="J50" s="46" t="s">
        <v>72</v>
      </c>
      <c r="K50" s="46" t="s">
        <v>71</v>
      </c>
      <c r="L50" s="47">
        <v>45706.673460648097</v>
      </c>
      <c r="M50" s="67">
        <v>0</v>
      </c>
      <c r="N50" s="67">
        <v>0</v>
      </c>
      <c r="O50" s="67">
        <v>0</v>
      </c>
      <c r="R50" s="67" t="s">
        <v>24</v>
      </c>
      <c r="S50" s="67" t="b">
        <v>0</v>
      </c>
      <c r="T50" s="67">
        <v>2</v>
      </c>
      <c r="U50" s="80">
        <v>3</v>
      </c>
      <c r="V50" s="67">
        <v>3</v>
      </c>
      <c r="W50" s="67">
        <v>0</v>
      </c>
      <c r="X50" s="67">
        <v>1000</v>
      </c>
      <c r="Z50" s="67">
        <v>10</v>
      </c>
      <c r="AB50" s="92">
        <v>50</v>
      </c>
      <c r="AF50" s="67">
        <v>2000</v>
      </c>
      <c r="AG50" s="67">
        <v>2</v>
      </c>
      <c r="AH50" s="67">
        <v>3.1</v>
      </c>
      <c r="AI50" s="67">
        <v>550</v>
      </c>
      <c r="AJ50" s="67">
        <v>0</v>
      </c>
      <c r="AK50" s="67">
        <v>76</v>
      </c>
      <c r="AM50" s="67" t="s">
        <v>2</v>
      </c>
      <c r="AO50" s="67">
        <v>50</v>
      </c>
      <c r="AW50" s="67" t="b">
        <v>0</v>
      </c>
      <c r="AZ50" s="67" t="s">
        <v>24</v>
      </c>
      <c r="BB50" s="31"/>
      <c r="BC50" s="67">
        <v>67</v>
      </c>
      <c r="BD50" s="89" t="s">
        <v>58</v>
      </c>
      <c r="BE50" s="31"/>
      <c r="BF50" s="67">
        <v>1</v>
      </c>
      <c r="BG50" s="67">
        <v>1</v>
      </c>
      <c r="BH50" s="67">
        <v>0</v>
      </c>
      <c r="BI50" s="67">
        <v>0</v>
      </c>
      <c r="BJ50" s="67">
        <v>0.55000000000000004</v>
      </c>
      <c r="BK50" s="67">
        <v>5.5</v>
      </c>
      <c r="BL50" s="67">
        <v>6</v>
      </c>
      <c r="BM50" s="67" t="s">
        <v>1</v>
      </c>
      <c r="BN50" s="57">
        <f t="shared" ref="BN50:BN72" si="10">D50</f>
        <v>60</v>
      </c>
      <c r="BO50" s="81">
        <f t="shared" ref="BO50:BO72" si="11">U50</f>
        <v>3</v>
      </c>
      <c r="BP50" s="72">
        <v>250</v>
      </c>
      <c r="BQ50" s="73">
        <v>0</v>
      </c>
      <c r="BR50" s="73">
        <v>0</v>
      </c>
      <c r="BS50" s="73">
        <v>0</v>
      </c>
      <c r="BT50" s="37"/>
      <c r="BU50" s="37"/>
      <c r="BV50" s="74"/>
      <c r="BW50" s="37"/>
      <c r="BX50" s="74"/>
      <c r="BY50" s="37"/>
      <c r="BZ50" s="74"/>
      <c r="CA50" s="37"/>
      <c r="CB50" s="74"/>
      <c r="CC50" s="37"/>
      <c r="CD50" s="37"/>
      <c r="CE50" s="75"/>
      <c r="CF50" s="76" t="s">
        <v>12</v>
      </c>
      <c r="CG50" s="67">
        <v>0</v>
      </c>
      <c r="CH50" s="67" t="str">
        <f t="shared" ref="CH50:CH72" si="12" xml:space="preserve"> IF(DI50="D", " ",BT50)</f>
        <v xml:space="preserve"> </v>
      </c>
      <c r="CI50" s="67">
        <f t="shared" ref="CI50:CI72" si="13">IF(MIN(BF50,BJ50)=0.55,  2.68,          IF(MIN(BF50,BJ50)=0.8,     3.56,          IF(MIN(BF50,BJ50)=0.9,      3.81,             IF(MIN(BF50,BJ50)=1,     4.06,                IF(MIN(BF50,BJ50)=1.2,        4.57,             IF(MIN(BF50,BJ50)=1.6,          5.08  ))))))</f>
        <v>2.68</v>
      </c>
      <c r="CJ50" s="67">
        <v>0</v>
      </c>
      <c r="CR50" s="15">
        <v>0</v>
      </c>
      <c r="CS50" s="67">
        <v>0</v>
      </c>
      <c r="CT50" s="67">
        <v>0</v>
      </c>
      <c r="CU50" s="78">
        <v>1</v>
      </c>
      <c r="CV50" s="67">
        <v>0</v>
      </c>
      <c r="CW50" s="67">
        <v>0</v>
      </c>
      <c r="CX50" s="67">
        <v>0</v>
      </c>
      <c r="CY50" s="67">
        <v>0</v>
      </c>
      <c r="CZ50" s="67">
        <v>0</v>
      </c>
      <c r="DA50" s="67">
        <v>0</v>
      </c>
      <c r="DB50" s="67">
        <v>0</v>
      </c>
      <c r="DC50" s="15">
        <f t="shared" ref="DC50:DC72" si="14">IF(CR50 + CU50 + CJ50 &gt; 0, 1,0)</f>
        <v>1</v>
      </c>
      <c r="DD50" s="79">
        <v>2</v>
      </c>
      <c r="DH50" s="79"/>
      <c r="DI50" s="67" t="s">
        <v>0</v>
      </c>
    </row>
    <row r="51" spans="1:113" s="67" customFormat="1" ht="15" customHeight="1" thickBot="1" x14ac:dyDescent="0.3">
      <c r="A51" s="67">
        <v>298692</v>
      </c>
      <c r="B51" s="67" t="s">
        <v>6</v>
      </c>
      <c r="C51" s="68" t="s">
        <v>15</v>
      </c>
      <c r="D51" s="67">
        <v>60</v>
      </c>
      <c r="E51" s="67">
        <v>0</v>
      </c>
      <c r="F51" s="67">
        <v>60</v>
      </c>
      <c r="G51" s="67">
        <v>4</v>
      </c>
      <c r="H51" s="67">
        <v>0</v>
      </c>
      <c r="I51" s="67">
        <v>25</v>
      </c>
      <c r="J51" s="46" t="s">
        <v>70</v>
      </c>
      <c r="K51" s="46" t="s">
        <v>69</v>
      </c>
      <c r="L51" s="47">
        <v>45706.673564814802</v>
      </c>
      <c r="M51" s="67">
        <v>0</v>
      </c>
      <c r="N51" s="67">
        <v>0</v>
      </c>
      <c r="O51" s="67">
        <v>0</v>
      </c>
      <c r="R51" s="67" t="s">
        <v>24</v>
      </c>
      <c r="S51" s="67" t="b">
        <v>0</v>
      </c>
      <c r="T51" s="67">
        <v>2</v>
      </c>
      <c r="U51" s="80">
        <v>2</v>
      </c>
      <c r="V51" s="67">
        <v>3</v>
      </c>
      <c r="W51" s="67">
        <v>0</v>
      </c>
      <c r="X51" s="67">
        <v>1000</v>
      </c>
      <c r="Z51" s="67">
        <v>10</v>
      </c>
      <c r="AB51" s="92">
        <v>50</v>
      </c>
      <c r="AF51" s="67">
        <v>2000</v>
      </c>
      <c r="AG51" s="67">
        <v>2</v>
      </c>
      <c r="AH51" s="67">
        <v>2.0299999999999998</v>
      </c>
      <c r="AI51" s="67">
        <v>449</v>
      </c>
      <c r="AJ51" s="67">
        <v>0</v>
      </c>
      <c r="AK51" s="67">
        <v>39</v>
      </c>
      <c r="AM51" s="67" t="s">
        <v>2</v>
      </c>
      <c r="AO51" s="67">
        <v>50</v>
      </c>
      <c r="AW51" s="67" t="b">
        <v>0</v>
      </c>
      <c r="AZ51" s="67" t="s">
        <v>24</v>
      </c>
      <c r="BB51" s="31"/>
      <c r="BC51" s="67">
        <v>68</v>
      </c>
      <c r="BD51" s="89" t="s">
        <v>58</v>
      </c>
      <c r="BE51" s="31"/>
      <c r="BF51" s="67">
        <v>1</v>
      </c>
      <c r="BG51" s="67">
        <v>1</v>
      </c>
      <c r="BH51" s="67">
        <v>0</v>
      </c>
      <c r="BI51" s="67">
        <v>0</v>
      </c>
      <c r="BJ51" s="67">
        <v>0.55000000000000004</v>
      </c>
      <c r="BK51" s="67">
        <v>5.5</v>
      </c>
      <c r="BL51" s="67">
        <v>6</v>
      </c>
      <c r="BM51" s="67" t="s">
        <v>1</v>
      </c>
      <c r="BN51" s="57">
        <f t="shared" si="10"/>
        <v>60</v>
      </c>
      <c r="BO51" s="81">
        <f t="shared" si="11"/>
        <v>2</v>
      </c>
      <c r="BP51" s="72">
        <v>250</v>
      </c>
      <c r="BQ51" s="73">
        <v>0</v>
      </c>
      <c r="BR51" s="73">
        <v>0</v>
      </c>
      <c r="BS51" s="73">
        <v>0</v>
      </c>
      <c r="BT51" s="37"/>
      <c r="BU51" s="37"/>
      <c r="BV51" s="74"/>
      <c r="BW51" s="37"/>
      <c r="BX51" s="74"/>
      <c r="BY51" s="37"/>
      <c r="BZ51" s="74"/>
      <c r="CA51" s="37"/>
      <c r="CB51" s="74"/>
      <c r="CC51" s="37"/>
      <c r="CD51" s="37"/>
      <c r="CE51" s="75"/>
      <c r="CF51" s="76" t="s">
        <v>12</v>
      </c>
      <c r="CG51" s="67">
        <v>0</v>
      </c>
      <c r="CH51" s="67" t="str">
        <f t="shared" si="12"/>
        <v xml:space="preserve"> </v>
      </c>
      <c r="CI51" s="67">
        <f t="shared" si="13"/>
        <v>2.68</v>
      </c>
      <c r="CJ51" s="67">
        <v>0</v>
      </c>
      <c r="CR51" s="15">
        <v>0</v>
      </c>
      <c r="CS51" s="67">
        <v>0</v>
      </c>
      <c r="CT51" s="67">
        <v>0</v>
      </c>
      <c r="CU51" s="78">
        <v>1</v>
      </c>
      <c r="CV51" s="67">
        <v>0</v>
      </c>
      <c r="CW51" s="67">
        <v>0</v>
      </c>
      <c r="CX51" s="67">
        <v>0</v>
      </c>
      <c r="CY51" s="67">
        <v>0</v>
      </c>
      <c r="CZ51" s="67">
        <v>0</v>
      </c>
      <c r="DA51" s="67">
        <v>0</v>
      </c>
      <c r="DB51" s="67">
        <v>0</v>
      </c>
      <c r="DC51" s="15">
        <f t="shared" si="14"/>
        <v>1</v>
      </c>
      <c r="DD51" s="79">
        <v>2</v>
      </c>
      <c r="DH51" s="79"/>
      <c r="DI51" s="67" t="s">
        <v>0</v>
      </c>
    </row>
    <row r="52" spans="1:113" s="67" customFormat="1" ht="15" customHeight="1" thickBot="1" x14ac:dyDescent="0.3">
      <c r="A52" s="67">
        <v>298693</v>
      </c>
      <c r="B52" s="67" t="s">
        <v>6</v>
      </c>
      <c r="C52" s="68" t="s">
        <v>15</v>
      </c>
      <c r="D52" s="67">
        <v>60</v>
      </c>
      <c r="E52" s="67">
        <v>0</v>
      </c>
      <c r="F52" s="67">
        <v>60</v>
      </c>
      <c r="G52" s="67">
        <v>5</v>
      </c>
      <c r="H52" s="67">
        <v>0</v>
      </c>
      <c r="I52" s="67">
        <v>30</v>
      </c>
      <c r="J52" s="46" t="s">
        <v>68</v>
      </c>
      <c r="K52" s="46" t="s">
        <v>67</v>
      </c>
      <c r="L52" s="47">
        <v>45706.683032407404</v>
      </c>
      <c r="M52" s="67">
        <v>0</v>
      </c>
      <c r="N52" s="67">
        <v>0</v>
      </c>
      <c r="O52" s="67">
        <v>0</v>
      </c>
      <c r="R52" s="67" t="s">
        <v>24</v>
      </c>
      <c r="S52" s="67" t="b">
        <v>0</v>
      </c>
      <c r="T52" s="67">
        <v>2</v>
      </c>
      <c r="U52" s="91">
        <v>6</v>
      </c>
      <c r="V52" s="67">
        <v>3</v>
      </c>
      <c r="W52" s="67">
        <v>0</v>
      </c>
      <c r="X52" s="67">
        <v>1000</v>
      </c>
      <c r="Z52" s="67">
        <v>10</v>
      </c>
      <c r="AB52" s="85">
        <v>60</v>
      </c>
      <c r="AF52" s="67">
        <v>2000</v>
      </c>
      <c r="AG52" s="67">
        <v>2</v>
      </c>
      <c r="AH52" s="67">
        <v>6.26</v>
      </c>
      <c r="AI52" s="67">
        <v>677</v>
      </c>
      <c r="AJ52" s="67">
        <v>0</v>
      </c>
      <c r="AK52" s="67">
        <v>243</v>
      </c>
      <c r="AM52" s="67" t="s">
        <v>2</v>
      </c>
      <c r="AO52" s="67">
        <v>60</v>
      </c>
      <c r="AW52" s="67" t="b">
        <v>0</v>
      </c>
      <c r="AZ52" s="67" t="s">
        <v>24</v>
      </c>
      <c r="BB52" s="31"/>
      <c r="BC52" s="67">
        <v>69</v>
      </c>
      <c r="BD52" s="89" t="s">
        <v>58</v>
      </c>
      <c r="BE52" s="31"/>
      <c r="BF52" s="67">
        <v>1</v>
      </c>
      <c r="BG52" s="67">
        <v>1</v>
      </c>
      <c r="BH52" s="67">
        <v>0</v>
      </c>
      <c r="BI52" s="67">
        <v>0</v>
      </c>
      <c r="BJ52" s="67">
        <v>0.55000000000000004</v>
      </c>
      <c r="BK52" s="67">
        <v>5.5</v>
      </c>
      <c r="BL52" s="67">
        <v>6</v>
      </c>
      <c r="BM52" s="67" t="s">
        <v>1</v>
      </c>
      <c r="BN52" s="57">
        <f t="shared" si="10"/>
        <v>60</v>
      </c>
      <c r="BO52" s="71">
        <f t="shared" si="11"/>
        <v>6</v>
      </c>
      <c r="BP52" s="72">
        <v>250</v>
      </c>
      <c r="BQ52" s="73">
        <v>4.7050000000000001</v>
      </c>
      <c r="BR52" s="73">
        <v>4.6479999999999997</v>
      </c>
      <c r="BS52" s="73">
        <v>4.6764999999999999</v>
      </c>
      <c r="BT52" s="37"/>
      <c r="BU52" s="37"/>
      <c r="BV52" s="74"/>
      <c r="BW52" s="37"/>
      <c r="BX52" s="74"/>
      <c r="BY52" s="37"/>
      <c r="BZ52" s="74"/>
      <c r="CA52" s="37"/>
      <c r="CB52" s="74"/>
      <c r="CC52" s="37"/>
      <c r="CD52" s="37"/>
      <c r="CE52" s="75"/>
      <c r="CF52" s="76" t="s">
        <v>16</v>
      </c>
      <c r="CG52" s="67">
        <v>4.6764999999999999</v>
      </c>
      <c r="CH52" s="67" t="str">
        <f t="shared" si="12"/>
        <v xml:space="preserve"> </v>
      </c>
      <c r="CI52" s="67">
        <f t="shared" si="13"/>
        <v>2.68</v>
      </c>
      <c r="CJ52" s="67">
        <v>0</v>
      </c>
      <c r="CR52" s="15">
        <v>0</v>
      </c>
      <c r="CS52" s="67">
        <v>0</v>
      </c>
      <c r="CT52" s="67">
        <v>0</v>
      </c>
      <c r="CU52" s="78">
        <v>0</v>
      </c>
      <c r="CV52" s="67">
        <v>0</v>
      </c>
      <c r="CW52" s="67">
        <v>0</v>
      </c>
      <c r="CX52" s="67">
        <v>0</v>
      </c>
      <c r="CY52" s="67">
        <v>0</v>
      </c>
      <c r="CZ52" s="67">
        <v>0</v>
      </c>
      <c r="DA52" s="67">
        <v>0</v>
      </c>
      <c r="DB52" s="67">
        <v>0</v>
      </c>
      <c r="DC52" s="15">
        <f t="shared" si="14"/>
        <v>0</v>
      </c>
      <c r="DD52" s="79">
        <v>0</v>
      </c>
      <c r="DH52" s="79"/>
      <c r="DI52" s="67" t="s">
        <v>0</v>
      </c>
    </row>
    <row r="53" spans="1:113" s="67" customFormat="1" ht="15" customHeight="1" thickBot="1" x14ac:dyDescent="0.3">
      <c r="A53" s="67">
        <v>298694</v>
      </c>
      <c r="B53" s="67" t="s">
        <v>6</v>
      </c>
      <c r="C53" s="68" t="s">
        <v>15</v>
      </c>
      <c r="D53" s="67">
        <v>60</v>
      </c>
      <c r="E53" s="67">
        <v>0</v>
      </c>
      <c r="F53" s="67">
        <v>60</v>
      </c>
      <c r="G53" s="67">
        <v>6</v>
      </c>
      <c r="H53" s="67">
        <v>0</v>
      </c>
      <c r="I53" s="67">
        <v>35</v>
      </c>
      <c r="J53" s="46" t="s">
        <v>66</v>
      </c>
      <c r="K53" s="46" t="s">
        <v>65</v>
      </c>
      <c r="L53" s="47">
        <v>45706.683206018497</v>
      </c>
      <c r="M53" s="67">
        <v>0</v>
      </c>
      <c r="N53" s="67">
        <v>0</v>
      </c>
      <c r="O53" s="67">
        <v>0</v>
      </c>
      <c r="R53" s="67" t="s">
        <v>24</v>
      </c>
      <c r="S53" s="67" t="b">
        <v>0</v>
      </c>
      <c r="T53" s="67">
        <v>2</v>
      </c>
      <c r="U53" s="91">
        <v>6</v>
      </c>
      <c r="V53" s="67">
        <v>3</v>
      </c>
      <c r="W53" s="67">
        <v>0</v>
      </c>
      <c r="X53" s="67">
        <v>1000</v>
      </c>
      <c r="Z53" s="67">
        <v>10</v>
      </c>
      <c r="AB53" s="85">
        <v>70</v>
      </c>
      <c r="AF53" s="67">
        <v>2000</v>
      </c>
      <c r="AG53" s="67">
        <v>2</v>
      </c>
      <c r="AH53" s="67">
        <v>6.21</v>
      </c>
      <c r="AI53" s="67">
        <v>635</v>
      </c>
      <c r="AJ53" s="67">
        <v>0</v>
      </c>
      <c r="AK53" s="67">
        <v>270</v>
      </c>
      <c r="AM53" s="67" t="s">
        <v>2</v>
      </c>
      <c r="AO53" s="67">
        <v>70</v>
      </c>
      <c r="AW53" s="67" t="b">
        <v>0</v>
      </c>
      <c r="AZ53" s="67" t="s">
        <v>24</v>
      </c>
      <c r="BB53" s="31"/>
      <c r="BC53" s="67">
        <v>70</v>
      </c>
      <c r="BD53" s="89" t="s">
        <v>58</v>
      </c>
      <c r="BE53" s="31"/>
      <c r="BF53" s="67">
        <v>1</v>
      </c>
      <c r="BG53" s="67">
        <v>1</v>
      </c>
      <c r="BH53" s="67">
        <v>0</v>
      </c>
      <c r="BI53" s="67">
        <v>0</v>
      </c>
      <c r="BJ53" s="67">
        <v>0.55000000000000004</v>
      </c>
      <c r="BK53" s="67">
        <v>5.5</v>
      </c>
      <c r="BL53" s="67">
        <v>6</v>
      </c>
      <c r="BM53" s="67" t="s">
        <v>1</v>
      </c>
      <c r="BN53" s="57">
        <f t="shared" si="10"/>
        <v>60</v>
      </c>
      <c r="BO53" s="71">
        <f t="shared" si="11"/>
        <v>6</v>
      </c>
      <c r="BP53" s="72">
        <v>250</v>
      </c>
      <c r="BQ53" s="73">
        <v>4.2770000000000001</v>
      </c>
      <c r="BR53" s="73">
        <v>4.7670000000000003</v>
      </c>
      <c r="BS53" s="73">
        <v>4.5220000000000002</v>
      </c>
      <c r="BT53" s="37"/>
      <c r="BU53" s="37"/>
      <c r="BV53" s="74"/>
      <c r="BW53" s="37"/>
      <c r="BX53" s="74"/>
      <c r="BY53" s="37"/>
      <c r="BZ53" s="74"/>
      <c r="CA53" s="37"/>
      <c r="CB53" s="74"/>
      <c r="CC53" s="37"/>
      <c r="CD53" s="37"/>
      <c r="CE53" s="75"/>
      <c r="CF53" s="76" t="s">
        <v>16</v>
      </c>
      <c r="CG53" s="67">
        <v>4.5220000000000002</v>
      </c>
      <c r="CH53" s="67" t="str">
        <f t="shared" si="12"/>
        <v xml:space="preserve"> </v>
      </c>
      <c r="CI53" s="67">
        <f t="shared" si="13"/>
        <v>2.68</v>
      </c>
      <c r="CJ53" s="67">
        <v>0</v>
      </c>
      <c r="CR53" s="15">
        <v>0</v>
      </c>
      <c r="CS53" s="67">
        <v>0</v>
      </c>
      <c r="CT53" s="67">
        <v>0</v>
      </c>
      <c r="CU53" s="78">
        <v>0</v>
      </c>
      <c r="CV53" s="67">
        <v>0</v>
      </c>
      <c r="CW53" s="67">
        <v>0</v>
      </c>
      <c r="CX53" s="67">
        <v>0</v>
      </c>
      <c r="CY53" s="67">
        <v>0</v>
      </c>
      <c r="CZ53" s="67">
        <v>0</v>
      </c>
      <c r="DA53" s="67">
        <v>0</v>
      </c>
      <c r="DB53" s="67">
        <v>0</v>
      </c>
      <c r="DC53" s="15">
        <f t="shared" si="14"/>
        <v>0</v>
      </c>
      <c r="DD53" s="79">
        <v>0</v>
      </c>
      <c r="DH53" s="79"/>
      <c r="DI53" s="67" t="s">
        <v>0</v>
      </c>
    </row>
    <row r="54" spans="1:113" s="67" customFormat="1" ht="15" customHeight="1" thickBot="1" x14ac:dyDescent="0.3">
      <c r="A54" s="67">
        <v>298696</v>
      </c>
      <c r="B54" s="67" t="s">
        <v>6</v>
      </c>
      <c r="C54" s="68" t="s">
        <v>15</v>
      </c>
      <c r="D54" s="67">
        <v>60</v>
      </c>
      <c r="E54" s="67">
        <v>0</v>
      </c>
      <c r="F54" s="67">
        <v>60</v>
      </c>
      <c r="G54" s="67">
        <v>8</v>
      </c>
      <c r="H54" s="67">
        <v>0</v>
      </c>
      <c r="I54" s="67">
        <v>15</v>
      </c>
      <c r="J54" s="46" t="s">
        <v>64</v>
      </c>
      <c r="K54" s="46" t="s">
        <v>63</v>
      </c>
      <c r="L54" s="47">
        <v>45706.683402777802</v>
      </c>
      <c r="M54" s="67">
        <v>0</v>
      </c>
      <c r="N54" s="67">
        <v>0</v>
      </c>
      <c r="O54" s="67">
        <v>0</v>
      </c>
      <c r="R54" s="67" t="s">
        <v>24</v>
      </c>
      <c r="S54" s="67" t="b">
        <v>0</v>
      </c>
      <c r="T54" s="67">
        <v>2</v>
      </c>
      <c r="U54" s="91">
        <v>6</v>
      </c>
      <c r="V54" s="67">
        <v>3</v>
      </c>
      <c r="W54" s="67">
        <v>0</v>
      </c>
      <c r="X54" s="67">
        <v>1000</v>
      </c>
      <c r="Z54" s="67">
        <v>10</v>
      </c>
      <c r="AB54" s="85">
        <v>30</v>
      </c>
      <c r="AF54" s="67">
        <v>2000</v>
      </c>
      <c r="AG54" s="67">
        <v>2</v>
      </c>
      <c r="AH54" s="67">
        <v>6.51</v>
      </c>
      <c r="AI54" s="67">
        <v>686</v>
      </c>
      <c r="AJ54" s="67">
        <v>0</v>
      </c>
      <c r="AK54" s="67">
        <v>107</v>
      </c>
      <c r="AM54" s="67" t="s">
        <v>2</v>
      </c>
      <c r="AO54" s="67">
        <v>30</v>
      </c>
      <c r="AW54" s="67" t="b">
        <v>0</v>
      </c>
      <c r="AX54" s="67">
        <v>59</v>
      </c>
      <c r="AZ54" s="67" t="s">
        <v>24</v>
      </c>
      <c r="BB54" s="31"/>
      <c r="BC54" s="67">
        <v>72</v>
      </c>
      <c r="BD54" s="89" t="s">
        <v>58</v>
      </c>
      <c r="BE54" s="31"/>
      <c r="BF54" s="67">
        <v>1</v>
      </c>
      <c r="BG54" s="67">
        <v>1</v>
      </c>
      <c r="BH54" s="67">
        <v>0</v>
      </c>
      <c r="BI54" s="67">
        <v>0</v>
      </c>
      <c r="BJ54" s="67">
        <v>0.55000000000000004</v>
      </c>
      <c r="BK54" s="67">
        <v>5.5</v>
      </c>
      <c r="BL54" s="67">
        <v>6</v>
      </c>
      <c r="BM54" s="67" t="s">
        <v>1</v>
      </c>
      <c r="BN54" s="57">
        <f t="shared" si="10"/>
        <v>60</v>
      </c>
      <c r="BO54" s="71">
        <f t="shared" si="11"/>
        <v>6</v>
      </c>
      <c r="BP54" s="72">
        <v>250</v>
      </c>
      <c r="BQ54" s="73">
        <v>2.2869999999999999</v>
      </c>
      <c r="BR54" s="73">
        <v>2.3450000000000002</v>
      </c>
      <c r="BS54" s="73">
        <v>2.3159999999999998</v>
      </c>
      <c r="BT54" s="37"/>
      <c r="BU54" s="37"/>
      <c r="BV54" s="74"/>
      <c r="BW54" s="37"/>
      <c r="BX54" s="74"/>
      <c r="BY54" s="37"/>
      <c r="BZ54" s="74"/>
      <c r="CA54" s="37"/>
      <c r="CB54" s="74"/>
      <c r="CC54" s="37"/>
      <c r="CD54" s="37"/>
      <c r="CE54" s="75"/>
      <c r="CF54" s="76" t="s">
        <v>99</v>
      </c>
      <c r="CG54" s="67">
        <v>2.3159999999999998</v>
      </c>
      <c r="CH54" s="67" t="str">
        <f t="shared" si="12"/>
        <v xml:space="preserve"> </v>
      </c>
      <c r="CI54" s="67">
        <f t="shared" si="13"/>
        <v>2.68</v>
      </c>
      <c r="CJ54" s="67">
        <v>1</v>
      </c>
      <c r="CR54" s="15">
        <v>0</v>
      </c>
      <c r="CS54" s="67">
        <v>0</v>
      </c>
      <c r="CT54" s="67">
        <v>0</v>
      </c>
      <c r="CU54" s="78">
        <v>0</v>
      </c>
      <c r="CV54" s="67">
        <v>0</v>
      </c>
      <c r="CW54" s="67">
        <v>0</v>
      </c>
      <c r="CX54" s="67">
        <v>0</v>
      </c>
      <c r="CY54" s="67">
        <v>0</v>
      </c>
      <c r="CZ54" s="67">
        <v>0</v>
      </c>
      <c r="DA54" s="67">
        <v>0</v>
      </c>
      <c r="DB54" s="67">
        <v>0</v>
      </c>
      <c r="DC54" s="15">
        <f t="shared" si="14"/>
        <v>1</v>
      </c>
      <c r="DD54" s="79">
        <v>2</v>
      </c>
      <c r="DH54" s="79"/>
      <c r="DI54" s="67" t="s">
        <v>0</v>
      </c>
    </row>
    <row r="55" spans="1:113" s="67" customFormat="1" ht="15" customHeight="1" thickBot="1" x14ac:dyDescent="0.3">
      <c r="A55" s="67">
        <v>298697</v>
      </c>
      <c r="B55" s="67" t="s">
        <v>6</v>
      </c>
      <c r="C55" s="68" t="s">
        <v>15</v>
      </c>
      <c r="D55" s="67">
        <v>60</v>
      </c>
      <c r="E55" s="67">
        <v>0</v>
      </c>
      <c r="F55" s="67">
        <v>60</v>
      </c>
      <c r="G55" s="67">
        <v>9</v>
      </c>
      <c r="H55" s="67">
        <v>0</v>
      </c>
      <c r="I55" s="67">
        <v>25</v>
      </c>
      <c r="J55" s="46" t="s">
        <v>62</v>
      </c>
      <c r="K55" s="46" t="s">
        <v>61</v>
      </c>
      <c r="L55" s="47">
        <v>45706.685127314799</v>
      </c>
      <c r="M55" s="67">
        <v>0</v>
      </c>
      <c r="N55" s="67">
        <v>0</v>
      </c>
      <c r="O55" s="67">
        <v>0</v>
      </c>
      <c r="R55" s="67" t="s">
        <v>24</v>
      </c>
      <c r="S55" s="67" t="b">
        <v>0</v>
      </c>
      <c r="T55" s="67">
        <v>2</v>
      </c>
      <c r="U55" s="91">
        <v>6</v>
      </c>
      <c r="V55" s="67">
        <v>3</v>
      </c>
      <c r="W55" s="67">
        <v>0</v>
      </c>
      <c r="X55" s="67">
        <v>1000</v>
      </c>
      <c r="Z55" s="67">
        <v>10</v>
      </c>
      <c r="AB55" s="92">
        <v>50</v>
      </c>
      <c r="AF55" s="67">
        <v>2000</v>
      </c>
      <c r="AG55" s="67">
        <v>2</v>
      </c>
      <c r="AH55" s="67">
        <v>6.33</v>
      </c>
      <c r="AI55" s="67">
        <v>698</v>
      </c>
      <c r="AJ55" s="67">
        <v>0</v>
      </c>
      <c r="AK55" s="67">
        <v>204</v>
      </c>
      <c r="AM55" s="67" t="s">
        <v>2</v>
      </c>
      <c r="AO55" s="67">
        <v>50</v>
      </c>
      <c r="AW55" s="67" t="b">
        <v>0</v>
      </c>
      <c r="AZ55" s="67" t="s">
        <v>24</v>
      </c>
      <c r="BB55" s="31"/>
      <c r="BC55" s="67">
        <v>73</v>
      </c>
      <c r="BD55" s="89" t="s">
        <v>58</v>
      </c>
      <c r="BE55" s="31"/>
      <c r="BF55" s="67">
        <v>1</v>
      </c>
      <c r="BG55" s="67">
        <v>1</v>
      </c>
      <c r="BH55" s="67">
        <v>0</v>
      </c>
      <c r="BI55" s="67">
        <v>0</v>
      </c>
      <c r="BJ55" s="67">
        <v>0.55000000000000004</v>
      </c>
      <c r="BK55" s="67">
        <v>5.5</v>
      </c>
      <c r="BL55" s="67">
        <v>6</v>
      </c>
      <c r="BM55" s="67" t="s">
        <v>1</v>
      </c>
      <c r="BN55" s="57">
        <f t="shared" si="10"/>
        <v>60</v>
      </c>
      <c r="BO55" s="71">
        <f t="shared" si="11"/>
        <v>6</v>
      </c>
      <c r="BP55" s="72">
        <v>250</v>
      </c>
      <c r="BQ55" s="73">
        <v>3.9950000000000001</v>
      </c>
      <c r="BR55" s="73">
        <v>4.0119999999999996</v>
      </c>
      <c r="BS55" s="73">
        <v>4.0034999999999998</v>
      </c>
      <c r="BT55" s="37"/>
      <c r="BU55" s="37"/>
      <c r="BV55" s="74"/>
      <c r="BW55" s="37"/>
      <c r="BX55" s="74"/>
      <c r="BY55" s="37"/>
      <c r="BZ55" s="74"/>
      <c r="CA55" s="37"/>
      <c r="CB55" s="74"/>
      <c r="CC55" s="37"/>
      <c r="CD55" s="37"/>
      <c r="CE55" s="75"/>
      <c r="CF55" s="76" t="s">
        <v>16</v>
      </c>
      <c r="CG55" s="67">
        <v>4.0034999999999998</v>
      </c>
      <c r="CH55" s="67" t="str">
        <f t="shared" si="12"/>
        <v xml:space="preserve"> </v>
      </c>
      <c r="CI55" s="67">
        <f t="shared" si="13"/>
        <v>2.68</v>
      </c>
      <c r="CJ55" s="67">
        <v>0</v>
      </c>
      <c r="CR55" s="15">
        <v>0</v>
      </c>
      <c r="CS55" s="67">
        <v>0</v>
      </c>
      <c r="CT55" s="67">
        <v>0</v>
      </c>
      <c r="CU55" s="78">
        <v>0</v>
      </c>
      <c r="CV55" s="67">
        <v>0</v>
      </c>
      <c r="CW55" s="67">
        <v>0</v>
      </c>
      <c r="CX55" s="67">
        <v>0</v>
      </c>
      <c r="CY55" s="67">
        <v>0</v>
      </c>
      <c r="CZ55" s="67">
        <v>0</v>
      </c>
      <c r="DA55" s="67">
        <v>0</v>
      </c>
      <c r="DB55" s="67">
        <v>0</v>
      </c>
      <c r="DC55" s="15">
        <f t="shared" si="14"/>
        <v>0</v>
      </c>
      <c r="DD55" s="79">
        <v>0</v>
      </c>
      <c r="DH55" s="79"/>
      <c r="DI55" s="67" t="s">
        <v>0</v>
      </c>
    </row>
    <row r="56" spans="1:113" s="67" customFormat="1" ht="15" customHeight="1" thickBot="1" x14ac:dyDescent="0.3">
      <c r="A56" s="67">
        <v>298700</v>
      </c>
      <c r="B56" s="67" t="s">
        <v>6</v>
      </c>
      <c r="C56" s="68" t="s">
        <v>15</v>
      </c>
      <c r="D56" s="67">
        <v>60</v>
      </c>
      <c r="E56" s="67">
        <v>0</v>
      </c>
      <c r="F56" s="67">
        <v>60</v>
      </c>
      <c r="G56" s="67">
        <v>12</v>
      </c>
      <c r="H56" s="67">
        <v>0</v>
      </c>
      <c r="I56" s="67">
        <v>25</v>
      </c>
      <c r="J56" s="46" t="s">
        <v>60</v>
      </c>
      <c r="K56" s="46" t="s">
        <v>59</v>
      </c>
      <c r="L56" s="47">
        <v>45706.685891203699</v>
      </c>
      <c r="M56" s="67">
        <v>0</v>
      </c>
      <c r="N56" s="67">
        <v>0</v>
      </c>
      <c r="O56" s="67">
        <v>0</v>
      </c>
      <c r="R56" s="67" t="s">
        <v>24</v>
      </c>
      <c r="S56" s="67" t="b">
        <v>0</v>
      </c>
      <c r="T56" s="67">
        <v>2</v>
      </c>
      <c r="U56" s="91">
        <v>6</v>
      </c>
      <c r="V56" s="67">
        <v>3</v>
      </c>
      <c r="W56" s="67">
        <v>0</v>
      </c>
      <c r="X56" s="67">
        <v>1000</v>
      </c>
      <c r="Z56" s="67">
        <v>10</v>
      </c>
      <c r="AB56" s="92">
        <v>50</v>
      </c>
      <c r="AF56" s="67">
        <v>2000</v>
      </c>
      <c r="AG56" s="67">
        <v>2</v>
      </c>
      <c r="AH56" s="67">
        <v>6.33</v>
      </c>
      <c r="AI56" s="67">
        <v>707</v>
      </c>
      <c r="AJ56" s="67">
        <v>0</v>
      </c>
      <c r="AK56" s="67">
        <v>207</v>
      </c>
      <c r="AM56" s="67" t="s">
        <v>2</v>
      </c>
      <c r="AO56" s="67">
        <v>50</v>
      </c>
      <c r="AW56" s="67" t="b">
        <v>0</v>
      </c>
      <c r="AZ56" s="67" t="s">
        <v>24</v>
      </c>
      <c r="BB56" s="31"/>
      <c r="BC56" s="67">
        <v>76</v>
      </c>
      <c r="BD56" s="89" t="s">
        <v>58</v>
      </c>
      <c r="BE56" s="31"/>
      <c r="BF56" s="67">
        <v>1</v>
      </c>
      <c r="BG56" s="67">
        <v>1</v>
      </c>
      <c r="BH56" s="67">
        <v>0</v>
      </c>
      <c r="BI56" s="67">
        <v>0</v>
      </c>
      <c r="BJ56" s="67">
        <v>0.55000000000000004</v>
      </c>
      <c r="BK56" s="67">
        <v>5.5</v>
      </c>
      <c r="BL56" s="67">
        <v>6</v>
      </c>
      <c r="BM56" s="67" t="s">
        <v>1</v>
      </c>
      <c r="BN56" s="57">
        <f t="shared" si="10"/>
        <v>60</v>
      </c>
      <c r="BO56" s="71">
        <f t="shared" si="11"/>
        <v>6</v>
      </c>
      <c r="BP56" s="87">
        <v>550</v>
      </c>
      <c r="BQ56" s="73">
        <v>3.6139999999999999</v>
      </c>
      <c r="BR56" s="73">
        <v>3.5710000000000002</v>
      </c>
      <c r="BS56" s="73">
        <v>3.5925000000000002</v>
      </c>
      <c r="BT56" s="37"/>
      <c r="BU56" s="37"/>
      <c r="BV56" s="74"/>
      <c r="BW56" s="37"/>
      <c r="BX56" s="74"/>
      <c r="BY56" s="37"/>
      <c r="BZ56" s="74"/>
      <c r="CA56" s="37"/>
      <c r="CB56" s="74"/>
      <c r="CC56" s="37"/>
      <c r="CD56" s="37"/>
      <c r="CE56" s="75"/>
      <c r="CF56" s="76" t="s">
        <v>16</v>
      </c>
      <c r="CG56" s="83">
        <v>3.5925000000000002</v>
      </c>
      <c r="CH56" s="83" t="str">
        <f t="shared" si="12"/>
        <v xml:space="preserve"> </v>
      </c>
      <c r="CI56" s="67">
        <f t="shared" si="13"/>
        <v>2.68</v>
      </c>
      <c r="CJ56" s="67">
        <v>0</v>
      </c>
      <c r="CR56" s="15">
        <v>0</v>
      </c>
      <c r="CS56" s="67">
        <v>0</v>
      </c>
      <c r="CT56" s="67">
        <v>0</v>
      </c>
      <c r="CU56" s="78">
        <v>0</v>
      </c>
      <c r="CV56" s="67">
        <v>0</v>
      </c>
      <c r="CW56" s="67">
        <v>0</v>
      </c>
      <c r="CX56" s="67">
        <v>0</v>
      </c>
      <c r="CY56" s="67">
        <v>0</v>
      </c>
      <c r="CZ56" s="67">
        <v>0</v>
      </c>
      <c r="DA56" s="67">
        <v>0</v>
      </c>
      <c r="DB56" s="67">
        <v>0</v>
      </c>
      <c r="DC56" s="15">
        <f t="shared" si="14"/>
        <v>0</v>
      </c>
      <c r="DD56" s="79">
        <v>0</v>
      </c>
      <c r="DH56" s="79"/>
      <c r="DI56" s="67" t="s">
        <v>0</v>
      </c>
    </row>
    <row r="57" spans="1:113" s="67" customFormat="1" ht="15" customHeight="1" thickBot="1" x14ac:dyDescent="0.3">
      <c r="A57" s="67">
        <v>298701</v>
      </c>
      <c r="B57" s="67" t="s">
        <v>6</v>
      </c>
      <c r="C57" s="68" t="s">
        <v>15</v>
      </c>
      <c r="D57" s="67">
        <v>60</v>
      </c>
      <c r="E57" s="67">
        <v>0</v>
      </c>
      <c r="F57" s="67">
        <v>60</v>
      </c>
      <c r="G57" s="67">
        <v>13</v>
      </c>
      <c r="H57" s="67">
        <v>0</v>
      </c>
      <c r="I57" s="67">
        <v>15</v>
      </c>
      <c r="J57" s="46" t="s">
        <v>57</v>
      </c>
      <c r="K57" s="46" t="s">
        <v>56</v>
      </c>
      <c r="L57" s="47">
        <v>45706.688125000001</v>
      </c>
      <c r="M57" s="67">
        <v>0</v>
      </c>
      <c r="N57" s="67">
        <v>0</v>
      </c>
      <c r="O57" s="67">
        <v>0</v>
      </c>
      <c r="R57" s="67" t="s">
        <v>24</v>
      </c>
      <c r="S57" s="67" t="b">
        <v>0</v>
      </c>
      <c r="T57" s="67">
        <v>2</v>
      </c>
      <c r="U57" s="91">
        <v>9</v>
      </c>
      <c r="V57" s="67">
        <v>3</v>
      </c>
      <c r="W57" s="67">
        <v>0</v>
      </c>
      <c r="X57" s="67">
        <v>1000</v>
      </c>
      <c r="Z57" s="67">
        <v>10</v>
      </c>
      <c r="AB57" s="92">
        <v>30</v>
      </c>
      <c r="AF57" s="67">
        <v>2000</v>
      </c>
      <c r="AG57" s="67">
        <v>2</v>
      </c>
      <c r="AH57" s="67">
        <v>9.64</v>
      </c>
      <c r="AI57" s="67">
        <v>673</v>
      </c>
      <c r="AJ57" s="67">
        <v>0</v>
      </c>
      <c r="AK57" s="67">
        <v>163</v>
      </c>
      <c r="AM57" s="67" t="s">
        <v>2</v>
      </c>
      <c r="AO57" s="67">
        <v>30</v>
      </c>
      <c r="AW57" s="67" t="b">
        <v>0</v>
      </c>
      <c r="AZ57" s="67" t="s">
        <v>24</v>
      </c>
      <c r="BB57" s="31"/>
      <c r="BC57" s="67">
        <v>77</v>
      </c>
      <c r="BD57" s="89" t="s">
        <v>41</v>
      </c>
      <c r="BE57" s="31"/>
      <c r="BF57" s="67">
        <v>1.2</v>
      </c>
      <c r="BG57" s="67">
        <v>0</v>
      </c>
      <c r="BH57" s="67">
        <v>0</v>
      </c>
      <c r="BI57" s="67">
        <v>0</v>
      </c>
      <c r="BJ57" s="67">
        <v>1.2</v>
      </c>
      <c r="BK57" s="67">
        <v>5.5</v>
      </c>
      <c r="BL57" s="67">
        <v>6</v>
      </c>
      <c r="BM57" s="67" t="s">
        <v>1</v>
      </c>
      <c r="BN57" s="57">
        <f t="shared" si="10"/>
        <v>60</v>
      </c>
      <c r="BO57" s="71">
        <f t="shared" si="11"/>
        <v>9</v>
      </c>
      <c r="BP57" s="72">
        <v>350</v>
      </c>
      <c r="BQ57" s="73">
        <v>5.1239999999999997</v>
      </c>
      <c r="BR57" s="73">
        <v>5.1520000000000001</v>
      </c>
      <c r="BS57" s="73">
        <v>5.1379999999999999</v>
      </c>
      <c r="BT57" s="37"/>
      <c r="BU57" s="37"/>
      <c r="BV57" s="74"/>
      <c r="BW57" s="37"/>
      <c r="BX57" s="74"/>
      <c r="BY57" s="37"/>
      <c r="BZ57" s="74"/>
      <c r="CA57" s="37"/>
      <c r="CB57" s="74"/>
      <c r="CC57" s="37"/>
      <c r="CD57" s="37"/>
      <c r="CE57" s="75"/>
      <c r="CF57" s="76" t="s">
        <v>16</v>
      </c>
      <c r="CG57" s="67">
        <v>5.1379999999999999</v>
      </c>
      <c r="CH57" s="67" t="str">
        <f t="shared" si="12"/>
        <v xml:space="preserve"> </v>
      </c>
      <c r="CI57" s="67">
        <f t="shared" si="13"/>
        <v>4.57</v>
      </c>
      <c r="CJ57" s="67">
        <v>0</v>
      </c>
      <c r="CR57" s="15">
        <v>0</v>
      </c>
      <c r="CS57" s="67">
        <v>0</v>
      </c>
      <c r="CT57" s="67">
        <v>0</v>
      </c>
      <c r="CU57" s="78">
        <v>0</v>
      </c>
      <c r="CV57" s="67">
        <v>0</v>
      </c>
      <c r="CW57" s="67">
        <v>0</v>
      </c>
      <c r="CX57" s="67">
        <v>0</v>
      </c>
      <c r="CY57" s="67">
        <v>0</v>
      </c>
      <c r="CZ57" s="67">
        <v>0</v>
      </c>
      <c r="DA57" s="67">
        <v>0</v>
      </c>
      <c r="DB57" s="67">
        <v>0</v>
      </c>
      <c r="DC57" s="15">
        <f t="shared" si="14"/>
        <v>0</v>
      </c>
      <c r="DD57" s="79">
        <v>0</v>
      </c>
      <c r="DH57" s="79"/>
      <c r="DI57" s="67" t="s">
        <v>0</v>
      </c>
    </row>
    <row r="58" spans="1:113" s="67" customFormat="1" ht="15" customHeight="1" thickBot="1" x14ac:dyDescent="0.3">
      <c r="A58" s="67">
        <v>298703</v>
      </c>
      <c r="B58" s="67" t="s">
        <v>6</v>
      </c>
      <c r="C58" s="68" t="s">
        <v>15</v>
      </c>
      <c r="D58" s="67">
        <v>60</v>
      </c>
      <c r="E58" s="67">
        <v>0</v>
      </c>
      <c r="F58" s="67">
        <v>60</v>
      </c>
      <c r="G58" s="67">
        <v>15</v>
      </c>
      <c r="H58" s="67">
        <v>0</v>
      </c>
      <c r="I58" s="67">
        <v>15</v>
      </c>
      <c r="J58" s="46" t="s">
        <v>55</v>
      </c>
      <c r="K58" s="46" t="s">
        <v>54</v>
      </c>
      <c r="L58" s="47">
        <v>45706.688877314802</v>
      </c>
      <c r="M58" s="67">
        <v>0</v>
      </c>
      <c r="N58" s="67">
        <v>0</v>
      </c>
      <c r="O58" s="67">
        <v>0</v>
      </c>
      <c r="R58" s="67" t="s">
        <v>24</v>
      </c>
      <c r="S58" s="67" t="b">
        <v>0</v>
      </c>
      <c r="T58" s="67">
        <v>2</v>
      </c>
      <c r="U58" s="80">
        <v>7</v>
      </c>
      <c r="V58" s="67">
        <v>3</v>
      </c>
      <c r="W58" s="67">
        <v>0</v>
      </c>
      <c r="X58" s="67">
        <v>1000</v>
      </c>
      <c r="Z58" s="67">
        <v>10</v>
      </c>
      <c r="AB58" s="92">
        <v>30</v>
      </c>
      <c r="AF58" s="67">
        <v>2000</v>
      </c>
      <c r="AG58" s="67">
        <v>2</v>
      </c>
      <c r="AH58" s="67">
        <v>7.54</v>
      </c>
      <c r="AI58" s="67">
        <v>610</v>
      </c>
      <c r="AJ58" s="67">
        <v>0</v>
      </c>
      <c r="AK58" s="67">
        <v>114</v>
      </c>
      <c r="AM58" s="67" t="s">
        <v>2</v>
      </c>
      <c r="AO58" s="67">
        <v>30</v>
      </c>
      <c r="AW58" s="67" t="b">
        <v>0</v>
      </c>
      <c r="AZ58" s="67" t="s">
        <v>24</v>
      </c>
      <c r="BB58" s="31"/>
      <c r="BC58" s="67">
        <v>79</v>
      </c>
      <c r="BD58" s="89" t="s">
        <v>41</v>
      </c>
      <c r="BE58" s="31"/>
      <c r="BF58" s="67">
        <v>1.2</v>
      </c>
      <c r="BG58" s="67">
        <v>0</v>
      </c>
      <c r="BH58" s="67">
        <v>0</v>
      </c>
      <c r="BI58" s="67">
        <v>0</v>
      </c>
      <c r="BJ58" s="67">
        <v>1.2</v>
      </c>
      <c r="BK58" s="67">
        <v>5.5</v>
      </c>
      <c r="BL58" s="67">
        <v>6</v>
      </c>
      <c r="BM58" s="67" t="s">
        <v>1</v>
      </c>
      <c r="BN58" s="57">
        <f t="shared" si="10"/>
        <v>60</v>
      </c>
      <c r="BO58" s="81">
        <f t="shared" si="11"/>
        <v>7</v>
      </c>
      <c r="BP58" s="72">
        <v>350</v>
      </c>
      <c r="BQ58" s="73">
        <v>2.7290000000000001</v>
      </c>
      <c r="BR58" s="73">
        <v>2.4929999999999999</v>
      </c>
      <c r="BS58" s="73">
        <v>2.6109999999999998</v>
      </c>
      <c r="BT58" s="37"/>
      <c r="BU58" s="37"/>
      <c r="BV58" s="74"/>
      <c r="BW58" s="37"/>
      <c r="BX58" s="74"/>
      <c r="BY58" s="37"/>
      <c r="BZ58" s="74"/>
      <c r="CA58" s="37"/>
      <c r="CB58" s="74"/>
      <c r="CC58" s="37"/>
      <c r="CD58" s="37"/>
      <c r="CE58" s="75"/>
      <c r="CF58" s="76" t="s">
        <v>99</v>
      </c>
      <c r="CG58" s="67">
        <v>2.6109999999999998</v>
      </c>
      <c r="CH58" s="67" t="str">
        <f t="shared" si="12"/>
        <v xml:space="preserve"> </v>
      </c>
      <c r="CI58" s="67">
        <f t="shared" si="13"/>
        <v>4.57</v>
      </c>
      <c r="CJ58" s="67">
        <v>1</v>
      </c>
      <c r="CR58" s="15">
        <v>0</v>
      </c>
      <c r="CS58" s="67">
        <v>0</v>
      </c>
      <c r="CT58" s="67">
        <v>0</v>
      </c>
      <c r="CU58" s="78">
        <v>0</v>
      </c>
      <c r="CV58" s="67">
        <v>0</v>
      </c>
      <c r="CW58" s="67">
        <v>0</v>
      </c>
      <c r="CX58" s="67">
        <v>0</v>
      </c>
      <c r="CY58" s="67">
        <v>0</v>
      </c>
      <c r="CZ58" s="67">
        <v>0</v>
      </c>
      <c r="DA58" s="67">
        <v>0</v>
      </c>
      <c r="DB58" s="67">
        <v>0</v>
      </c>
      <c r="DC58" s="15">
        <f t="shared" si="14"/>
        <v>1</v>
      </c>
      <c r="DD58" s="79">
        <v>2</v>
      </c>
      <c r="DH58" s="79"/>
      <c r="DI58" s="67" t="s">
        <v>0</v>
      </c>
    </row>
    <row r="59" spans="1:113" s="67" customFormat="1" ht="15" customHeight="1" thickBot="1" x14ac:dyDescent="0.3">
      <c r="A59" s="67">
        <v>298704</v>
      </c>
      <c r="B59" s="67" t="s">
        <v>6</v>
      </c>
      <c r="C59" s="68" t="s">
        <v>15</v>
      </c>
      <c r="D59" s="67">
        <v>60</v>
      </c>
      <c r="E59" s="67">
        <v>0</v>
      </c>
      <c r="F59" s="67">
        <v>60</v>
      </c>
      <c r="G59" s="67">
        <v>16</v>
      </c>
      <c r="H59" s="67">
        <v>0</v>
      </c>
      <c r="I59" s="67">
        <v>15</v>
      </c>
      <c r="J59" s="46" t="s">
        <v>53</v>
      </c>
      <c r="K59" s="46" t="s">
        <v>52</v>
      </c>
      <c r="L59" s="47">
        <v>45706.689004629603</v>
      </c>
      <c r="M59" s="67">
        <v>0</v>
      </c>
      <c r="N59" s="67">
        <v>0</v>
      </c>
      <c r="O59" s="67">
        <v>0</v>
      </c>
      <c r="R59" s="67" t="s">
        <v>24</v>
      </c>
      <c r="S59" s="67" t="b">
        <v>0</v>
      </c>
      <c r="T59" s="67">
        <v>2</v>
      </c>
      <c r="U59" s="80">
        <v>5</v>
      </c>
      <c r="V59" s="67">
        <v>3</v>
      </c>
      <c r="W59" s="67">
        <v>0</v>
      </c>
      <c r="X59" s="67">
        <v>1000</v>
      </c>
      <c r="Z59" s="67">
        <v>10</v>
      </c>
      <c r="AB59" s="92">
        <v>30</v>
      </c>
      <c r="AF59" s="67">
        <v>2000</v>
      </c>
      <c r="AG59" s="67">
        <v>2</v>
      </c>
      <c r="AH59" s="67">
        <v>5.35</v>
      </c>
      <c r="AI59" s="67">
        <v>554</v>
      </c>
      <c r="AJ59" s="67">
        <v>0</v>
      </c>
      <c r="AK59" s="67">
        <v>71</v>
      </c>
      <c r="AM59" s="67" t="s">
        <v>2</v>
      </c>
      <c r="AO59" s="67">
        <v>30</v>
      </c>
      <c r="AW59" s="67" t="b">
        <v>0</v>
      </c>
      <c r="AZ59" s="67" t="s">
        <v>24</v>
      </c>
      <c r="BB59" s="31"/>
      <c r="BC59" s="67">
        <v>80</v>
      </c>
      <c r="BD59" s="89" t="s">
        <v>41</v>
      </c>
      <c r="BE59" s="31"/>
      <c r="BF59" s="67">
        <v>1.2</v>
      </c>
      <c r="BG59" s="67">
        <v>0</v>
      </c>
      <c r="BH59" s="67">
        <v>0</v>
      </c>
      <c r="BI59" s="67">
        <v>0</v>
      </c>
      <c r="BJ59" s="67">
        <v>1.2</v>
      </c>
      <c r="BK59" s="67">
        <v>5.5</v>
      </c>
      <c r="BL59" s="67">
        <v>6</v>
      </c>
      <c r="BM59" s="67" t="s">
        <v>1</v>
      </c>
      <c r="BN59" s="57">
        <f t="shared" si="10"/>
        <v>60</v>
      </c>
      <c r="BO59" s="81">
        <f t="shared" si="11"/>
        <v>5</v>
      </c>
      <c r="BP59" s="72">
        <v>350</v>
      </c>
      <c r="BQ59" s="73">
        <v>0</v>
      </c>
      <c r="BR59" s="73">
        <v>0</v>
      </c>
      <c r="BS59" s="73">
        <v>0</v>
      </c>
      <c r="BT59" s="37"/>
      <c r="BU59" s="37"/>
      <c r="BV59" s="74"/>
      <c r="BW59" s="37"/>
      <c r="BX59" s="74"/>
      <c r="BY59" s="37"/>
      <c r="BZ59" s="74"/>
      <c r="CA59" s="37"/>
      <c r="CB59" s="74"/>
      <c r="CC59" s="37"/>
      <c r="CD59" s="37"/>
      <c r="CE59" s="75"/>
      <c r="CF59" s="76" t="s">
        <v>12</v>
      </c>
      <c r="CG59" s="67">
        <v>0</v>
      </c>
      <c r="CH59" s="67" t="str">
        <f t="shared" si="12"/>
        <v xml:space="preserve"> </v>
      </c>
      <c r="CI59" s="67">
        <f t="shared" si="13"/>
        <v>4.57</v>
      </c>
      <c r="CJ59" s="67">
        <v>0</v>
      </c>
      <c r="CR59" s="15">
        <v>0</v>
      </c>
      <c r="CS59" s="67">
        <v>0</v>
      </c>
      <c r="CT59" s="67">
        <v>0</v>
      </c>
      <c r="CU59" s="78">
        <v>1</v>
      </c>
      <c r="CV59" s="67">
        <v>0</v>
      </c>
      <c r="CW59" s="67">
        <v>0</v>
      </c>
      <c r="CX59" s="67">
        <v>0</v>
      </c>
      <c r="CY59" s="67">
        <v>0</v>
      </c>
      <c r="CZ59" s="67">
        <v>0</v>
      </c>
      <c r="DA59" s="67">
        <v>0</v>
      </c>
      <c r="DB59" s="67">
        <v>0</v>
      </c>
      <c r="DC59" s="15">
        <f t="shared" si="14"/>
        <v>1</v>
      </c>
      <c r="DD59" s="79">
        <v>2</v>
      </c>
      <c r="DH59" s="79"/>
      <c r="DI59" s="67" t="s">
        <v>0</v>
      </c>
    </row>
    <row r="60" spans="1:113" s="67" customFormat="1" ht="15" customHeight="1" thickBot="1" x14ac:dyDescent="0.3">
      <c r="A60" s="67">
        <v>298705</v>
      </c>
      <c r="B60" s="67" t="s">
        <v>6</v>
      </c>
      <c r="C60" s="68" t="s">
        <v>15</v>
      </c>
      <c r="D60" s="67">
        <v>60</v>
      </c>
      <c r="E60" s="67">
        <v>0</v>
      </c>
      <c r="F60" s="67">
        <v>60</v>
      </c>
      <c r="G60" s="67">
        <v>17</v>
      </c>
      <c r="H60" s="67">
        <v>0</v>
      </c>
      <c r="I60" s="67">
        <v>15</v>
      </c>
      <c r="J60" s="46" t="s">
        <v>51</v>
      </c>
      <c r="K60" s="46" t="s">
        <v>50</v>
      </c>
      <c r="L60" s="47">
        <v>45706.690972222197</v>
      </c>
      <c r="M60" s="67">
        <v>0</v>
      </c>
      <c r="N60" s="67">
        <v>0</v>
      </c>
      <c r="O60" s="67">
        <v>0</v>
      </c>
      <c r="R60" s="67" t="s">
        <v>24</v>
      </c>
      <c r="S60" s="67" t="b">
        <v>0</v>
      </c>
      <c r="T60" s="67">
        <v>2</v>
      </c>
      <c r="U60" s="91">
        <v>9</v>
      </c>
      <c r="V60" s="67">
        <v>3</v>
      </c>
      <c r="W60" s="67">
        <v>0</v>
      </c>
      <c r="X60" s="67">
        <v>1000</v>
      </c>
      <c r="Z60" s="67">
        <v>10</v>
      </c>
      <c r="AB60" s="85">
        <v>30</v>
      </c>
      <c r="AF60" s="67">
        <v>2000</v>
      </c>
      <c r="AG60" s="67">
        <v>2</v>
      </c>
      <c r="AH60" s="67">
        <v>9.65</v>
      </c>
      <c r="AI60" s="67">
        <v>669</v>
      </c>
      <c r="AJ60" s="67">
        <v>0</v>
      </c>
      <c r="AK60" s="67">
        <v>161</v>
      </c>
      <c r="AM60" s="67" t="s">
        <v>2</v>
      </c>
      <c r="AO60" s="67">
        <v>30</v>
      </c>
      <c r="AW60" s="67" t="b">
        <v>0</v>
      </c>
      <c r="AZ60" s="67" t="s">
        <v>24</v>
      </c>
      <c r="BB60" s="31"/>
      <c r="BC60" s="67">
        <v>81</v>
      </c>
      <c r="BD60" s="89" t="s">
        <v>41</v>
      </c>
      <c r="BE60" s="31"/>
      <c r="BF60" s="67">
        <v>1.2</v>
      </c>
      <c r="BG60" s="67">
        <v>0</v>
      </c>
      <c r="BH60" s="67">
        <v>0</v>
      </c>
      <c r="BI60" s="67">
        <v>0</v>
      </c>
      <c r="BJ60" s="67">
        <v>1.2</v>
      </c>
      <c r="BK60" s="67">
        <v>5.5</v>
      </c>
      <c r="BL60" s="67">
        <v>6</v>
      </c>
      <c r="BM60" s="67" t="s">
        <v>1</v>
      </c>
      <c r="BN60" s="57">
        <f t="shared" si="10"/>
        <v>60</v>
      </c>
      <c r="BO60" s="71">
        <f t="shared" si="11"/>
        <v>9</v>
      </c>
      <c r="BP60" s="72">
        <v>350</v>
      </c>
      <c r="BQ60" s="73">
        <v>5.4870000000000001</v>
      </c>
      <c r="BR60" s="73">
        <v>5.2949999999999999</v>
      </c>
      <c r="BS60" s="73">
        <v>5.391</v>
      </c>
      <c r="BT60" s="37"/>
      <c r="BU60" s="37"/>
      <c r="BV60" s="74"/>
      <c r="BW60" s="37"/>
      <c r="BX60" s="74"/>
      <c r="BY60" s="37"/>
      <c r="BZ60" s="74"/>
      <c r="CA60" s="37"/>
      <c r="CB60" s="74"/>
      <c r="CC60" s="37"/>
      <c r="CD60" s="37"/>
      <c r="CE60" s="75"/>
      <c r="CF60" s="76" t="s">
        <v>16</v>
      </c>
      <c r="CG60" s="67">
        <v>5.391</v>
      </c>
      <c r="CH60" s="67" t="str">
        <f t="shared" si="12"/>
        <v xml:space="preserve"> </v>
      </c>
      <c r="CI60" s="67">
        <f t="shared" si="13"/>
        <v>4.57</v>
      </c>
      <c r="CJ60" s="67">
        <v>0</v>
      </c>
      <c r="CR60" s="15">
        <v>0</v>
      </c>
      <c r="CS60" s="67">
        <v>0</v>
      </c>
      <c r="CT60" s="67">
        <v>0</v>
      </c>
      <c r="CU60" s="78">
        <v>0</v>
      </c>
      <c r="CV60" s="67">
        <v>0</v>
      </c>
      <c r="CW60" s="67">
        <v>0</v>
      </c>
      <c r="CX60" s="67">
        <v>0</v>
      </c>
      <c r="CY60" s="67">
        <v>0</v>
      </c>
      <c r="CZ60" s="67">
        <v>0</v>
      </c>
      <c r="DA60" s="67">
        <v>0</v>
      </c>
      <c r="DB60" s="67">
        <v>0</v>
      </c>
      <c r="DC60" s="15">
        <f t="shared" si="14"/>
        <v>0</v>
      </c>
      <c r="DD60" s="79">
        <v>0</v>
      </c>
      <c r="DH60" s="79"/>
      <c r="DI60" s="67" t="s">
        <v>0</v>
      </c>
    </row>
    <row r="61" spans="1:113" s="67" customFormat="1" ht="15" customHeight="1" thickBot="1" x14ac:dyDescent="0.3">
      <c r="A61" s="67">
        <v>298708</v>
      </c>
      <c r="B61" s="67" t="s">
        <v>6</v>
      </c>
      <c r="C61" s="68" t="s">
        <v>15</v>
      </c>
      <c r="D61" s="67">
        <v>60</v>
      </c>
      <c r="E61" s="67">
        <v>0</v>
      </c>
      <c r="F61" s="67">
        <v>60</v>
      </c>
      <c r="G61" s="67">
        <v>20</v>
      </c>
      <c r="H61" s="67">
        <v>0</v>
      </c>
      <c r="I61" s="67">
        <v>10</v>
      </c>
      <c r="J61" s="46" t="s">
        <v>49</v>
      </c>
      <c r="K61" s="46" t="s">
        <v>48</v>
      </c>
      <c r="L61" s="47">
        <v>45706.691423611097</v>
      </c>
      <c r="M61" s="67">
        <v>0</v>
      </c>
      <c r="N61" s="67">
        <v>0</v>
      </c>
      <c r="O61" s="67">
        <v>0</v>
      </c>
      <c r="R61" s="67" t="s">
        <v>24</v>
      </c>
      <c r="S61" s="67" t="b">
        <v>0</v>
      </c>
      <c r="T61" s="67">
        <v>2</v>
      </c>
      <c r="U61" s="91">
        <v>9</v>
      </c>
      <c r="V61" s="67">
        <v>3</v>
      </c>
      <c r="W61" s="67">
        <v>0</v>
      </c>
      <c r="X61" s="67">
        <v>1000</v>
      </c>
      <c r="Z61" s="67">
        <v>10</v>
      </c>
      <c r="AB61" s="85">
        <v>20</v>
      </c>
      <c r="AF61" s="67">
        <v>2000</v>
      </c>
      <c r="AG61" s="67">
        <v>2</v>
      </c>
      <c r="AH61" s="67">
        <v>7.35</v>
      </c>
      <c r="AI61" s="67">
        <v>614</v>
      </c>
      <c r="AJ61" s="67">
        <v>0</v>
      </c>
      <c r="AK61" s="67">
        <v>86</v>
      </c>
      <c r="AM61" s="67" t="s">
        <v>2</v>
      </c>
      <c r="AO61" s="67">
        <v>20</v>
      </c>
      <c r="AW61" s="67" t="b">
        <v>0</v>
      </c>
      <c r="AX61" s="67">
        <v>56</v>
      </c>
      <c r="AZ61" s="67" t="s">
        <v>24</v>
      </c>
      <c r="BB61" s="31"/>
      <c r="BC61" s="67">
        <v>84</v>
      </c>
      <c r="BD61" s="89" t="s">
        <v>41</v>
      </c>
      <c r="BE61" s="31"/>
      <c r="BF61" s="67">
        <v>1.2</v>
      </c>
      <c r="BG61" s="67">
        <v>0</v>
      </c>
      <c r="BH61" s="67">
        <v>0</v>
      </c>
      <c r="BI61" s="67">
        <v>0</v>
      </c>
      <c r="BJ61" s="67">
        <v>1.2</v>
      </c>
      <c r="BK61" s="67">
        <v>5.5</v>
      </c>
      <c r="BL61" s="67">
        <v>6</v>
      </c>
      <c r="BM61" s="67" t="s">
        <v>1</v>
      </c>
      <c r="BN61" s="57">
        <f t="shared" si="10"/>
        <v>60</v>
      </c>
      <c r="BO61" s="71">
        <f t="shared" si="11"/>
        <v>9</v>
      </c>
      <c r="BP61" s="72">
        <v>350</v>
      </c>
      <c r="BQ61" s="73">
        <v>0</v>
      </c>
      <c r="BR61" s="73">
        <v>0</v>
      </c>
      <c r="BS61" s="73">
        <v>0</v>
      </c>
      <c r="BT61" s="37"/>
      <c r="BU61" s="37"/>
      <c r="BV61" s="74"/>
      <c r="BW61" s="37"/>
      <c r="BX61" s="74"/>
      <c r="BY61" s="37"/>
      <c r="BZ61" s="74"/>
      <c r="CA61" s="37"/>
      <c r="CB61" s="74"/>
      <c r="CC61" s="37"/>
      <c r="CD61" s="37"/>
      <c r="CE61" s="75"/>
      <c r="CF61" s="76" t="s">
        <v>12</v>
      </c>
      <c r="CG61" s="67">
        <v>0</v>
      </c>
      <c r="CH61" s="67" t="str">
        <f t="shared" si="12"/>
        <v xml:space="preserve"> </v>
      </c>
      <c r="CI61" s="67">
        <f t="shared" si="13"/>
        <v>4.57</v>
      </c>
      <c r="CJ61" s="67">
        <v>0</v>
      </c>
      <c r="CR61" s="15">
        <v>0</v>
      </c>
      <c r="CS61" s="67">
        <v>0</v>
      </c>
      <c r="CT61" s="67">
        <v>0</v>
      </c>
      <c r="CU61" s="78">
        <v>1</v>
      </c>
      <c r="CV61" s="67">
        <v>0</v>
      </c>
      <c r="CW61" s="67">
        <v>0</v>
      </c>
      <c r="CX61" s="67">
        <v>0</v>
      </c>
      <c r="CY61" s="67">
        <v>0</v>
      </c>
      <c r="CZ61" s="67">
        <v>0</v>
      </c>
      <c r="DA61" s="67">
        <v>0</v>
      </c>
      <c r="DB61" s="67">
        <v>0</v>
      </c>
      <c r="DC61" s="15">
        <f t="shared" si="14"/>
        <v>1</v>
      </c>
      <c r="DD61" s="79">
        <v>2</v>
      </c>
      <c r="DH61" s="79"/>
      <c r="DI61" s="67" t="s">
        <v>0</v>
      </c>
    </row>
    <row r="62" spans="1:113" s="67" customFormat="1" ht="15" customHeight="1" thickBot="1" x14ac:dyDescent="0.3">
      <c r="A62" s="67">
        <v>298709</v>
      </c>
      <c r="B62" s="67" t="s">
        <v>6</v>
      </c>
      <c r="C62" s="68" t="s">
        <v>15</v>
      </c>
      <c r="D62" s="67">
        <v>60</v>
      </c>
      <c r="E62" s="67">
        <v>0</v>
      </c>
      <c r="F62" s="67">
        <v>60</v>
      </c>
      <c r="G62" s="67">
        <v>21</v>
      </c>
      <c r="H62" s="67">
        <v>0</v>
      </c>
      <c r="I62" s="67">
        <v>15</v>
      </c>
      <c r="J62" s="46" t="s">
        <v>47</v>
      </c>
      <c r="K62" s="46" t="s">
        <v>46</v>
      </c>
      <c r="L62" s="47">
        <v>45706.693483796298</v>
      </c>
      <c r="M62" s="67">
        <v>0</v>
      </c>
      <c r="N62" s="67">
        <v>0</v>
      </c>
      <c r="O62" s="67">
        <v>0</v>
      </c>
      <c r="R62" s="67" t="s">
        <v>24</v>
      </c>
      <c r="S62" s="67" t="b">
        <v>0</v>
      </c>
      <c r="T62" s="67">
        <v>2</v>
      </c>
      <c r="U62" s="91">
        <v>9</v>
      </c>
      <c r="V62" s="67">
        <v>3</v>
      </c>
      <c r="W62" s="67">
        <v>0</v>
      </c>
      <c r="X62" s="67">
        <v>1000</v>
      </c>
      <c r="Z62" s="67">
        <v>10</v>
      </c>
      <c r="AB62" s="92">
        <v>30</v>
      </c>
      <c r="AF62" s="67">
        <v>2000</v>
      </c>
      <c r="AG62" s="67">
        <v>2</v>
      </c>
      <c r="AH62" s="67">
        <v>9.61</v>
      </c>
      <c r="AI62" s="67">
        <v>660</v>
      </c>
      <c r="AJ62" s="67">
        <v>0</v>
      </c>
      <c r="AK62" s="67">
        <v>161</v>
      </c>
      <c r="AM62" s="67" t="s">
        <v>2</v>
      </c>
      <c r="AO62" s="67">
        <v>30</v>
      </c>
      <c r="AW62" s="67" t="b">
        <v>0</v>
      </c>
      <c r="AZ62" s="67" t="s">
        <v>24</v>
      </c>
      <c r="BB62" s="31"/>
      <c r="BC62" s="67">
        <v>85</v>
      </c>
      <c r="BD62" s="89" t="s">
        <v>41</v>
      </c>
      <c r="BE62" s="31"/>
      <c r="BF62" s="67">
        <v>1.2</v>
      </c>
      <c r="BG62" s="67">
        <v>0</v>
      </c>
      <c r="BH62" s="67">
        <v>0</v>
      </c>
      <c r="BI62" s="67">
        <v>0</v>
      </c>
      <c r="BJ62" s="67">
        <v>1.2</v>
      </c>
      <c r="BK62" s="67">
        <v>5.5</v>
      </c>
      <c r="BL62" s="67">
        <v>6</v>
      </c>
      <c r="BM62" s="67" t="s">
        <v>1</v>
      </c>
      <c r="BN62" s="57">
        <f t="shared" si="10"/>
        <v>60</v>
      </c>
      <c r="BO62" s="71">
        <f t="shared" si="11"/>
        <v>9</v>
      </c>
      <c r="BP62" s="72">
        <v>350</v>
      </c>
      <c r="BQ62" s="73">
        <v>4.9740000000000002</v>
      </c>
      <c r="BR62" s="73">
        <v>4.9710000000000001</v>
      </c>
      <c r="BS62" s="73">
        <v>4.9725000000000001</v>
      </c>
      <c r="BT62" s="37"/>
      <c r="BU62" s="37"/>
      <c r="BV62" s="74"/>
      <c r="BW62" s="37"/>
      <c r="BX62" s="74"/>
      <c r="BY62" s="37"/>
      <c r="BZ62" s="74"/>
      <c r="CA62" s="37"/>
      <c r="CB62" s="74"/>
      <c r="CC62" s="37"/>
      <c r="CD62" s="37"/>
      <c r="CE62" s="75"/>
      <c r="CF62" s="76" t="s">
        <v>16</v>
      </c>
      <c r="CG62" s="67">
        <v>4.9725000000000001</v>
      </c>
      <c r="CH62" s="67" t="str">
        <f t="shared" si="12"/>
        <v xml:space="preserve"> </v>
      </c>
      <c r="CI62" s="67">
        <f t="shared" si="13"/>
        <v>4.57</v>
      </c>
      <c r="CJ62" s="67">
        <v>0</v>
      </c>
      <c r="CR62" s="15">
        <v>0</v>
      </c>
      <c r="CS62" s="67">
        <v>0</v>
      </c>
      <c r="CT62" s="67">
        <v>0</v>
      </c>
      <c r="CU62" s="78">
        <v>0</v>
      </c>
      <c r="CV62" s="67">
        <v>0</v>
      </c>
      <c r="CW62" s="67">
        <v>0</v>
      </c>
      <c r="CX62" s="67">
        <v>0</v>
      </c>
      <c r="CY62" s="67">
        <v>0</v>
      </c>
      <c r="CZ62" s="67">
        <v>0</v>
      </c>
      <c r="DA62" s="67">
        <v>0</v>
      </c>
      <c r="DB62" s="67">
        <v>0</v>
      </c>
      <c r="DC62" s="15">
        <f t="shared" si="14"/>
        <v>0</v>
      </c>
      <c r="DD62" s="79">
        <v>0</v>
      </c>
      <c r="DH62" s="79"/>
      <c r="DI62" s="67" t="s">
        <v>0</v>
      </c>
    </row>
    <row r="63" spans="1:113" s="67" customFormat="1" ht="15" customHeight="1" thickBot="1" x14ac:dyDescent="0.3">
      <c r="A63" s="67">
        <v>298711</v>
      </c>
      <c r="B63" s="67" t="s">
        <v>6</v>
      </c>
      <c r="C63" s="68" t="s">
        <v>15</v>
      </c>
      <c r="D63" s="67">
        <v>60</v>
      </c>
      <c r="E63" s="67">
        <v>0</v>
      </c>
      <c r="F63" s="67">
        <v>60</v>
      </c>
      <c r="G63" s="67">
        <v>23</v>
      </c>
      <c r="H63" s="67">
        <v>0</v>
      </c>
      <c r="I63" s="67">
        <v>15</v>
      </c>
      <c r="J63" s="46" t="s">
        <v>45</v>
      </c>
      <c r="K63" s="46" t="s">
        <v>44</v>
      </c>
      <c r="L63" s="47">
        <v>45706.693935185198</v>
      </c>
      <c r="M63" s="67">
        <v>0</v>
      </c>
      <c r="N63" s="67">
        <v>0</v>
      </c>
      <c r="O63" s="67">
        <v>0</v>
      </c>
      <c r="R63" s="67" t="s">
        <v>24</v>
      </c>
      <c r="S63" s="67" t="b">
        <v>0</v>
      </c>
      <c r="T63" s="67">
        <v>2</v>
      </c>
      <c r="U63" s="91">
        <v>9</v>
      </c>
      <c r="V63" s="67">
        <v>3</v>
      </c>
      <c r="W63" s="67">
        <v>0</v>
      </c>
      <c r="X63" s="67">
        <v>1000</v>
      </c>
      <c r="Z63" s="67">
        <v>10</v>
      </c>
      <c r="AB63" s="92">
        <v>30</v>
      </c>
      <c r="AF63" s="67">
        <v>2000</v>
      </c>
      <c r="AG63" s="67">
        <v>2</v>
      </c>
      <c r="AH63" s="67">
        <v>9.4600000000000009</v>
      </c>
      <c r="AI63" s="67">
        <v>605</v>
      </c>
      <c r="AJ63" s="67">
        <v>0</v>
      </c>
      <c r="AK63" s="67">
        <v>147</v>
      </c>
      <c r="AM63" s="67" t="s">
        <v>2</v>
      </c>
      <c r="AO63" s="67">
        <v>30</v>
      </c>
      <c r="AW63" s="67" t="b">
        <v>0</v>
      </c>
      <c r="AZ63" s="67" t="s">
        <v>24</v>
      </c>
      <c r="BB63" s="31"/>
      <c r="BC63" s="67">
        <v>87</v>
      </c>
      <c r="BD63" s="89" t="s">
        <v>41</v>
      </c>
      <c r="BE63" s="31"/>
      <c r="BF63" s="67">
        <v>1.2</v>
      </c>
      <c r="BG63" s="67">
        <v>0</v>
      </c>
      <c r="BH63" s="67">
        <v>0</v>
      </c>
      <c r="BI63" s="67">
        <v>0</v>
      </c>
      <c r="BJ63" s="67">
        <v>1.2</v>
      </c>
      <c r="BK63" s="67">
        <v>5.5</v>
      </c>
      <c r="BL63" s="67">
        <v>6</v>
      </c>
      <c r="BM63" s="67" t="s">
        <v>1</v>
      </c>
      <c r="BN63" s="57">
        <f t="shared" si="10"/>
        <v>60</v>
      </c>
      <c r="BO63" s="71">
        <f t="shared" si="11"/>
        <v>9</v>
      </c>
      <c r="BP63" s="87">
        <v>550</v>
      </c>
      <c r="BQ63" s="73">
        <v>4.431</v>
      </c>
      <c r="BR63" s="73">
        <v>4.4989999999999997</v>
      </c>
      <c r="BS63" s="73">
        <v>4.4649999999999999</v>
      </c>
      <c r="BT63" s="37"/>
      <c r="BU63" s="37"/>
      <c r="BV63" s="74"/>
      <c r="BW63" s="37"/>
      <c r="BX63" s="74"/>
      <c r="BY63" s="37"/>
      <c r="BZ63" s="74"/>
      <c r="CA63" s="37"/>
      <c r="CB63" s="74"/>
      <c r="CC63" s="37"/>
      <c r="CD63" s="37"/>
      <c r="CE63" s="75"/>
      <c r="CF63" s="76" t="s">
        <v>99</v>
      </c>
      <c r="CG63" s="67">
        <v>4.4649999999999999</v>
      </c>
      <c r="CH63" s="67" t="str">
        <f t="shared" si="12"/>
        <v xml:space="preserve"> </v>
      </c>
      <c r="CI63" s="67">
        <f t="shared" si="13"/>
        <v>4.57</v>
      </c>
      <c r="CJ63" s="67">
        <v>1</v>
      </c>
      <c r="CR63" s="15">
        <v>1</v>
      </c>
      <c r="CS63" s="67">
        <v>0</v>
      </c>
      <c r="CT63" s="67">
        <v>0</v>
      </c>
      <c r="CU63" s="78">
        <v>0</v>
      </c>
      <c r="CV63" s="67">
        <v>0</v>
      </c>
      <c r="CW63" s="67">
        <v>0</v>
      </c>
      <c r="CX63" s="67">
        <v>0</v>
      </c>
      <c r="CY63" s="67">
        <v>0</v>
      </c>
      <c r="CZ63" s="67">
        <v>0</v>
      </c>
      <c r="DA63" s="67">
        <v>0</v>
      </c>
      <c r="DB63" s="67">
        <v>0</v>
      </c>
      <c r="DC63" s="15">
        <f t="shared" si="14"/>
        <v>1</v>
      </c>
      <c r="DD63" s="79">
        <v>1</v>
      </c>
      <c r="DH63" s="79"/>
      <c r="DI63" s="67" t="s">
        <v>0</v>
      </c>
    </row>
    <row r="64" spans="1:113" s="67" customFormat="1" ht="15" customHeight="1" thickBot="1" x14ac:dyDescent="0.3">
      <c r="A64" s="67">
        <v>298712</v>
      </c>
      <c r="B64" s="67" t="s">
        <v>6</v>
      </c>
      <c r="C64" s="68" t="s">
        <v>15</v>
      </c>
      <c r="D64" s="67">
        <v>60</v>
      </c>
      <c r="E64" s="67">
        <v>0</v>
      </c>
      <c r="F64" s="67">
        <v>60</v>
      </c>
      <c r="G64" s="67">
        <v>24</v>
      </c>
      <c r="H64" s="67">
        <v>0</v>
      </c>
      <c r="I64" s="67">
        <v>15</v>
      </c>
      <c r="J64" s="46" t="s">
        <v>43</v>
      </c>
      <c r="K64" s="46" t="s">
        <v>42</v>
      </c>
      <c r="L64" s="47">
        <v>45706.694108796299</v>
      </c>
      <c r="M64" s="67">
        <v>0</v>
      </c>
      <c r="N64" s="67">
        <v>0</v>
      </c>
      <c r="O64" s="67">
        <v>0</v>
      </c>
      <c r="R64" s="67" t="s">
        <v>24</v>
      </c>
      <c r="S64" s="67" t="b">
        <v>0</v>
      </c>
      <c r="T64" s="67">
        <v>2</v>
      </c>
      <c r="U64" s="91">
        <v>9</v>
      </c>
      <c r="V64" s="67">
        <v>3</v>
      </c>
      <c r="W64" s="67">
        <v>0</v>
      </c>
      <c r="X64" s="67">
        <v>1000</v>
      </c>
      <c r="Z64" s="67">
        <v>10</v>
      </c>
      <c r="AB64" s="92">
        <v>30</v>
      </c>
      <c r="AF64" s="67">
        <v>2000</v>
      </c>
      <c r="AG64" s="67">
        <v>2</v>
      </c>
      <c r="AH64" s="67">
        <v>9.58</v>
      </c>
      <c r="AI64" s="67">
        <v>665</v>
      </c>
      <c r="AJ64" s="67">
        <v>0</v>
      </c>
      <c r="AK64" s="67">
        <v>161</v>
      </c>
      <c r="AM64" s="67" t="s">
        <v>2</v>
      </c>
      <c r="AO64" s="67">
        <v>30</v>
      </c>
      <c r="AW64" s="67" t="b">
        <v>0</v>
      </c>
      <c r="AZ64" s="67" t="s">
        <v>24</v>
      </c>
      <c r="BB64" s="31"/>
      <c r="BC64" s="67">
        <v>88</v>
      </c>
      <c r="BD64" s="89" t="s">
        <v>41</v>
      </c>
      <c r="BE64" s="31"/>
      <c r="BF64" s="67">
        <v>1.2</v>
      </c>
      <c r="BG64" s="67">
        <v>0</v>
      </c>
      <c r="BH64" s="67">
        <v>0</v>
      </c>
      <c r="BI64" s="67">
        <v>0</v>
      </c>
      <c r="BJ64" s="67">
        <v>1.2</v>
      </c>
      <c r="BK64" s="67">
        <v>5.5</v>
      </c>
      <c r="BL64" s="67">
        <v>6</v>
      </c>
      <c r="BM64" s="67" t="s">
        <v>1</v>
      </c>
      <c r="BN64" s="57">
        <f t="shared" si="10"/>
        <v>60</v>
      </c>
      <c r="BO64" s="71">
        <f t="shared" si="11"/>
        <v>9</v>
      </c>
      <c r="BP64" s="87">
        <v>250</v>
      </c>
      <c r="BQ64" s="73">
        <v>4.7210000000000001</v>
      </c>
      <c r="BR64" s="73">
        <v>4.4690000000000003</v>
      </c>
      <c r="BS64" s="73">
        <v>4.5950000000000006</v>
      </c>
      <c r="BT64" s="37"/>
      <c r="BU64" s="37"/>
      <c r="BV64" s="74"/>
      <c r="BW64" s="37"/>
      <c r="BX64" s="74"/>
      <c r="BY64" s="37"/>
      <c r="BZ64" s="74"/>
      <c r="CA64" s="37"/>
      <c r="CB64" s="74"/>
      <c r="CC64" s="37"/>
      <c r="CD64" s="37"/>
      <c r="CE64" s="75"/>
      <c r="CF64" s="44" t="s">
        <v>16</v>
      </c>
      <c r="CG64" s="83">
        <v>4.5950000000000006</v>
      </c>
      <c r="CH64" s="83" t="str">
        <f t="shared" si="12"/>
        <v xml:space="preserve"> </v>
      </c>
      <c r="CI64" s="67">
        <f t="shared" si="13"/>
        <v>4.57</v>
      </c>
      <c r="CJ64" s="67">
        <v>0</v>
      </c>
      <c r="CR64" s="15">
        <v>0</v>
      </c>
      <c r="CS64" s="67">
        <v>0</v>
      </c>
      <c r="CT64" s="67">
        <v>0</v>
      </c>
      <c r="CU64" s="78">
        <v>0</v>
      </c>
      <c r="CV64" s="67">
        <v>0</v>
      </c>
      <c r="CW64" s="67">
        <v>0</v>
      </c>
      <c r="CX64" s="67">
        <v>0</v>
      </c>
      <c r="CY64" s="67">
        <v>0</v>
      </c>
      <c r="CZ64" s="67">
        <v>0</v>
      </c>
      <c r="DA64" s="67">
        <v>0</v>
      </c>
      <c r="DB64" s="67">
        <v>0</v>
      </c>
      <c r="DC64" s="15">
        <f t="shared" si="14"/>
        <v>0</v>
      </c>
      <c r="DD64" s="79">
        <v>0</v>
      </c>
      <c r="DH64" s="79"/>
      <c r="DI64" s="67" t="s">
        <v>0</v>
      </c>
    </row>
    <row r="65" spans="1:113" s="67" customFormat="1" ht="15" customHeight="1" thickBot="1" x14ac:dyDescent="0.3">
      <c r="A65" s="67">
        <v>318202</v>
      </c>
      <c r="B65" s="67" t="s">
        <v>6</v>
      </c>
      <c r="C65" s="68" t="s">
        <v>15</v>
      </c>
      <c r="D65" s="67">
        <v>60</v>
      </c>
      <c r="E65" s="67">
        <v>0</v>
      </c>
      <c r="F65" s="67">
        <v>60</v>
      </c>
      <c r="G65" s="67">
        <v>7</v>
      </c>
      <c r="H65" s="67">
        <v>0</v>
      </c>
      <c r="I65" s="67">
        <v>25</v>
      </c>
      <c r="J65" s="46" t="s">
        <v>40</v>
      </c>
      <c r="K65" s="46" t="s">
        <v>39</v>
      </c>
      <c r="L65" s="47">
        <v>45728.409826388903</v>
      </c>
      <c r="M65" s="67">
        <v>0</v>
      </c>
      <c r="N65" s="67">
        <v>0</v>
      </c>
      <c r="O65" s="67">
        <v>0</v>
      </c>
      <c r="R65" s="67" t="s">
        <v>24</v>
      </c>
      <c r="S65" s="67" t="b">
        <v>0</v>
      </c>
      <c r="T65" s="67">
        <v>2</v>
      </c>
      <c r="U65" s="91">
        <v>7.5</v>
      </c>
      <c r="V65" s="67">
        <v>3</v>
      </c>
      <c r="W65" s="67">
        <v>0</v>
      </c>
      <c r="X65" s="67">
        <v>1000</v>
      </c>
      <c r="Z65" s="67">
        <v>10</v>
      </c>
      <c r="AB65" s="92">
        <v>50</v>
      </c>
      <c r="AF65" s="67">
        <v>2000</v>
      </c>
      <c r="AG65" s="67">
        <v>2</v>
      </c>
      <c r="AH65" s="67">
        <v>7.81</v>
      </c>
      <c r="AI65" s="67">
        <v>936</v>
      </c>
      <c r="AJ65" s="67">
        <v>0</v>
      </c>
      <c r="AK65" s="67">
        <v>324</v>
      </c>
      <c r="AM65" s="67" t="s">
        <v>2</v>
      </c>
      <c r="AO65" s="67">
        <v>50</v>
      </c>
      <c r="AW65" s="67" t="b">
        <v>0</v>
      </c>
      <c r="AZ65" s="67" t="s">
        <v>24</v>
      </c>
      <c r="BB65" s="31"/>
      <c r="BC65" s="67">
        <v>89</v>
      </c>
      <c r="BD65" s="89" t="s">
        <v>23</v>
      </c>
      <c r="BE65" s="31"/>
      <c r="BF65" s="67">
        <v>1.6</v>
      </c>
      <c r="BG65" s="67">
        <v>1</v>
      </c>
      <c r="BH65" s="67">
        <v>1</v>
      </c>
      <c r="BI65" s="67">
        <v>0</v>
      </c>
      <c r="BJ65" s="67">
        <v>0.55000000000000004</v>
      </c>
      <c r="BK65" s="67">
        <v>5.5</v>
      </c>
      <c r="BL65" s="67">
        <v>6</v>
      </c>
      <c r="BM65" s="67" t="s">
        <v>1</v>
      </c>
      <c r="BN65" s="57">
        <f t="shared" si="10"/>
        <v>60</v>
      </c>
      <c r="BO65" s="71">
        <f t="shared" si="11"/>
        <v>7.5</v>
      </c>
      <c r="BP65" s="72">
        <v>250</v>
      </c>
      <c r="BQ65" s="73">
        <v>4.2560000000000002</v>
      </c>
      <c r="BR65" s="73">
        <v>4.5730000000000004</v>
      </c>
      <c r="BS65" s="73">
        <f t="shared" ref="BS65:BS72" si="15">(BQ65+BR65)/2</f>
        <v>4.4145000000000003</v>
      </c>
      <c r="BT65" s="37"/>
      <c r="BU65" s="37"/>
      <c r="BV65" s="74"/>
      <c r="BW65" s="37"/>
      <c r="BX65" s="74"/>
      <c r="BY65" s="37"/>
      <c r="BZ65" s="74"/>
      <c r="CA65" s="37"/>
      <c r="CB65" s="74"/>
      <c r="CC65" s="37"/>
      <c r="CD65" s="37"/>
      <c r="CE65" s="75"/>
      <c r="CF65" s="44" t="s">
        <v>16</v>
      </c>
      <c r="CG65" s="67">
        <f t="shared" ref="CG65:CG72" si="16">BS65</f>
        <v>4.4145000000000003</v>
      </c>
      <c r="CH65" s="67" t="str">
        <f t="shared" si="12"/>
        <v xml:space="preserve"> </v>
      </c>
      <c r="CI65" s="67">
        <f t="shared" si="13"/>
        <v>2.68</v>
      </c>
      <c r="CJ65" s="67">
        <f>IF(CG65&gt;CI65,0,1)</f>
        <v>0</v>
      </c>
      <c r="CR65" s="15">
        <v>0</v>
      </c>
      <c r="CS65" s="67">
        <v>0</v>
      </c>
      <c r="CT65" s="67">
        <v>0</v>
      </c>
      <c r="CU65" s="78">
        <v>0</v>
      </c>
      <c r="CV65" s="67">
        <v>0</v>
      </c>
      <c r="CW65" s="67">
        <v>0</v>
      </c>
      <c r="CX65" s="67">
        <v>0</v>
      </c>
      <c r="CY65" s="67">
        <v>0</v>
      </c>
      <c r="CZ65" s="67">
        <v>0</v>
      </c>
      <c r="DA65" s="67">
        <v>0</v>
      </c>
      <c r="DB65" s="67">
        <v>0</v>
      </c>
      <c r="DC65" s="15">
        <f t="shared" si="14"/>
        <v>0</v>
      </c>
      <c r="DD65" s="79">
        <v>0</v>
      </c>
      <c r="DH65" s="79"/>
      <c r="DI65" s="67" t="s">
        <v>0</v>
      </c>
    </row>
    <row r="66" spans="1:113" s="67" customFormat="1" ht="15" customHeight="1" thickBot="1" x14ac:dyDescent="0.3">
      <c r="A66" s="67">
        <v>318203</v>
      </c>
      <c r="B66" s="67" t="s">
        <v>6</v>
      </c>
      <c r="C66" s="68" t="s">
        <v>15</v>
      </c>
      <c r="D66" s="67">
        <v>60</v>
      </c>
      <c r="E66" s="67">
        <v>0</v>
      </c>
      <c r="F66" s="67">
        <v>60</v>
      </c>
      <c r="G66" s="67">
        <v>8</v>
      </c>
      <c r="H66" s="67">
        <v>0</v>
      </c>
      <c r="I66" s="67">
        <v>25</v>
      </c>
      <c r="J66" s="46" t="s">
        <v>38</v>
      </c>
      <c r="K66" s="46" t="s">
        <v>37</v>
      </c>
      <c r="L66" s="47">
        <v>45728.410023148201</v>
      </c>
      <c r="M66" s="67">
        <v>0</v>
      </c>
      <c r="N66" s="67">
        <v>0</v>
      </c>
      <c r="O66" s="67">
        <v>0</v>
      </c>
      <c r="R66" s="67" t="s">
        <v>24</v>
      </c>
      <c r="S66" s="67" t="b">
        <v>0</v>
      </c>
      <c r="T66" s="67">
        <v>2</v>
      </c>
      <c r="U66" s="80">
        <v>6</v>
      </c>
      <c r="V66" s="67">
        <v>3</v>
      </c>
      <c r="W66" s="67">
        <v>0</v>
      </c>
      <c r="X66" s="67">
        <v>1000</v>
      </c>
      <c r="Z66" s="67">
        <v>10</v>
      </c>
      <c r="AB66" s="92">
        <v>50</v>
      </c>
      <c r="AF66" s="67">
        <v>2000</v>
      </c>
      <c r="AG66" s="67">
        <v>2</v>
      </c>
      <c r="AH66" s="67">
        <v>6.25</v>
      </c>
      <c r="AI66" s="67">
        <v>817</v>
      </c>
      <c r="AJ66" s="67">
        <v>0</v>
      </c>
      <c r="AK66" s="67">
        <v>225</v>
      </c>
      <c r="AM66" s="67" t="s">
        <v>2</v>
      </c>
      <c r="AO66" s="67">
        <v>50</v>
      </c>
      <c r="AW66" s="67" t="b">
        <v>0</v>
      </c>
      <c r="AZ66" s="67" t="s">
        <v>24</v>
      </c>
      <c r="BB66" s="31"/>
      <c r="BC66" s="67">
        <v>90</v>
      </c>
      <c r="BD66" s="89" t="s">
        <v>23</v>
      </c>
      <c r="BE66" s="31"/>
      <c r="BF66" s="67">
        <v>1.6</v>
      </c>
      <c r="BG66" s="67">
        <v>1</v>
      </c>
      <c r="BH66" s="67">
        <v>1</v>
      </c>
      <c r="BI66" s="67">
        <v>0</v>
      </c>
      <c r="BJ66" s="67">
        <v>0.55000000000000004</v>
      </c>
      <c r="BK66" s="67">
        <v>5.5</v>
      </c>
      <c r="BL66" s="67">
        <v>6</v>
      </c>
      <c r="BM66" s="67" t="s">
        <v>1</v>
      </c>
      <c r="BN66" s="57">
        <f t="shared" si="10"/>
        <v>60</v>
      </c>
      <c r="BO66" s="81">
        <f t="shared" si="11"/>
        <v>6</v>
      </c>
      <c r="BP66" s="72">
        <v>250</v>
      </c>
      <c r="BQ66" s="73">
        <v>0</v>
      </c>
      <c r="BR66" s="73">
        <v>0</v>
      </c>
      <c r="BS66" s="73">
        <f t="shared" si="15"/>
        <v>0</v>
      </c>
      <c r="BT66" s="37"/>
      <c r="BU66" s="37"/>
      <c r="BV66" s="74"/>
      <c r="BW66" s="37"/>
      <c r="BX66" s="74"/>
      <c r="BY66" s="37"/>
      <c r="BZ66" s="74"/>
      <c r="CA66" s="37"/>
      <c r="CB66" s="74"/>
      <c r="CC66" s="37"/>
      <c r="CD66" s="37"/>
      <c r="CE66" s="75"/>
      <c r="CF66" s="76" t="s">
        <v>12</v>
      </c>
      <c r="CG66" s="67">
        <f t="shared" si="16"/>
        <v>0</v>
      </c>
      <c r="CH66" s="67" t="str">
        <f t="shared" si="12"/>
        <v xml:space="preserve"> </v>
      </c>
      <c r="CI66" s="67">
        <f t="shared" si="13"/>
        <v>2.68</v>
      </c>
      <c r="CJ66" s="67">
        <v>0</v>
      </c>
      <c r="CR66" s="15">
        <v>0</v>
      </c>
      <c r="CS66" s="67">
        <v>0</v>
      </c>
      <c r="CT66" s="67">
        <v>0</v>
      </c>
      <c r="CU66" s="78">
        <v>1</v>
      </c>
      <c r="CV66" s="67">
        <v>0</v>
      </c>
      <c r="CW66" s="67">
        <v>0</v>
      </c>
      <c r="CX66" s="67">
        <v>0</v>
      </c>
      <c r="CY66" s="67">
        <v>0</v>
      </c>
      <c r="CZ66" s="67">
        <v>0</v>
      </c>
      <c r="DA66" s="67">
        <v>0</v>
      </c>
      <c r="DB66" s="67">
        <v>0</v>
      </c>
      <c r="DC66" s="15">
        <f t="shared" si="14"/>
        <v>1</v>
      </c>
      <c r="DD66" s="79">
        <v>2</v>
      </c>
      <c r="DH66" s="79"/>
      <c r="DI66" s="67" t="s">
        <v>0</v>
      </c>
    </row>
    <row r="67" spans="1:113" s="67" customFormat="1" ht="15" customHeight="1" thickBot="1" x14ac:dyDescent="0.3">
      <c r="A67" s="67">
        <v>318204</v>
      </c>
      <c r="B67" s="67" t="s">
        <v>6</v>
      </c>
      <c r="C67" s="68" t="s">
        <v>15</v>
      </c>
      <c r="D67" s="67">
        <v>60</v>
      </c>
      <c r="E67" s="67">
        <v>0</v>
      </c>
      <c r="F67" s="67">
        <v>60</v>
      </c>
      <c r="G67" s="67">
        <v>9</v>
      </c>
      <c r="H67" s="67">
        <v>0</v>
      </c>
      <c r="I67" s="67">
        <v>25</v>
      </c>
      <c r="J67" s="46" t="s">
        <v>36</v>
      </c>
      <c r="K67" s="46" t="s">
        <v>35</v>
      </c>
      <c r="L67" s="47">
        <v>45728.410127314797</v>
      </c>
      <c r="M67" s="67">
        <v>0</v>
      </c>
      <c r="N67" s="67">
        <v>0</v>
      </c>
      <c r="O67" s="67">
        <v>0</v>
      </c>
      <c r="R67" s="67" t="s">
        <v>24</v>
      </c>
      <c r="S67" s="67" t="b">
        <v>0</v>
      </c>
      <c r="T67" s="67">
        <v>2</v>
      </c>
      <c r="U67" s="80">
        <v>5</v>
      </c>
      <c r="V67" s="67">
        <v>3</v>
      </c>
      <c r="W67" s="67">
        <v>0</v>
      </c>
      <c r="X67" s="67">
        <v>1000</v>
      </c>
      <c r="Z67" s="67">
        <v>10</v>
      </c>
      <c r="AB67" s="92">
        <v>50</v>
      </c>
      <c r="AF67" s="67">
        <v>2000</v>
      </c>
      <c r="AG67" s="67">
        <v>2</v>
      </c>
      <c r="AH67" s="67">
        <v>5.18</v>
      </c>
      <c r="AI67" s="67">
        <v>758</v>
      </c>
      <c r="AJ67" s="67">
        <v>0</v>
      </c>
      <c r="AK67" s="67">
        <v>171</v>
      </c>
      <c r="AM67" s="67" t="s">
        <v>2</v>
      </c>
      <c r="AO67" s="67">
        <v>50</v>
      </c>
      <c r="AW67" s="67" t="b">
        <v>0</v>
      </c>
      <c r="AZ67" s="67" t="s">
        <v>24</v>
      </c>
      <c r="BB67" s="31"/>
      <c r="BC67" s="67">
        <v>91</v>
      </c>
      <c r="BD67" s="89" t="s">
        <v>23</v>
      </c>
      <c r="BE67" s="31"/>
      <c r="BF67" s="67">
        <v>1.6</v>
      </c>
      <c r="BG67" s="67">
        <v>1</v>
      </c>
      <c r="BH67" s="67">
        <v>1</v>
      </c>
      <c r="BI67" s="67">
        <v>0</v>
      </c>
      <c r="BJ67" s="67">
        <v>0.55000000000000004</v>
      </c>
      <c r="BK67" s="67">
        <v>5.5</v>
      </c>
      <c r="BL67" s="67">
        <v>6</v>
      </c>
      <c r="BM67" s="67" t="s">
        <v>1</v>
      </c>
      <c r="BN67" s="57">
        <f t="shared" si="10"/>
        <v>60</v>
      </c>
      <c r="BO67" s="81">
        <f t="shared" si="11"/>
        <v>5</v>
      </c>
      <c r="BP67" s="72">
        <v>250</v>
      </c>
      <c r="BQ67" s="73">
        <v>0</v>
      </c>
      <c r="BR67" s="73">
        <v>0</v>
      </c>
      <c r="BS67" s="73">
        <f t="shared" si="15"/>
        <v>0</v>
      </c>
      <c r="BT67" s="37"/>
      <c r="BU67" s="37"/>
      <c r="BV67" s="74"/>
      <c r="BW67" s="37"/>
      <c r="BX67" s="74"/>
      <c r="BY67" s="37"/>
      <c r="BZ67" s="74"/>
      <c r="CA67" s="37"/>
      <c r="CB67" s="74"/>
      <c r="CC67" s="37"/>
      <c r="CD67" s="37"/>
      <c r="CE67" s="75"/>
      <c r="CF67" s="76" t="s">
        <v>12</v>
      </c>
      <c r="CG67" s="67">
        <f t="shared" si="16"/>
        <v>0</v>
      </c>
      <c r="CH67" s="67" t="str">
        <f t="shared" si="12"/>
        <v xml:space="preserve"> </v>
      </c>
      <c r="CI67" s="67">
        <f t="shared" si="13"/>
        <v>2.68</v>
      </c>
      <c r="CJ67" s="67">
        <v>0</v>
      </c>
      <c r="CR67" s="15">
        <v>0</v>
      </c>
      <c r="CS67" s="67">
        <v>0</v>
      </c>
      <c r="CT67" s="67">
        <v>0</v>
      </c>
      <c r="CU67" s="78">
        <v>1</v>
      </c>
      <c r="CV67" s="67">
        <v>0</v>
      </c>
      <c r="CW67" s="67">
        <v>0</v>
      </c>
      <c r="CX67" s="67">
        <v>0</v>
      </c>
      <c r="CY67" s="67">
        <v>0</v>
      </c>
      <c r="CZ67" s="67">
        <v>0</v>
      </c>
      <c r="DA67" s="67">
        <v>0</v>
      </c>
      <c r="DB67" s="67">
        <v>0</v>
      </c>
      <c r="DC67" s="15">
        <f t="shared" si="14"/>
        <v>1</v>
      </c>
      <c r="DD67" s="79">
        <v>2</v>
      </c>
      <c r="DH67" s="79"/>
      <c r="DI67" s="67" t="s">
        <v>0</v>
      </c>
    </row>
    <row r="68" spans="1:113" s="67" customFormat="1" ht="15" customHeight="1" thickBot="1" x14ac:dyDescent="0.3">
      <c r="A68" s="67">
        <v>318205</v>
      </c>
      <c r="B68" s="67" t="s">
        <v>6</v>
      </c>
      <c r="C68" s="68" t="s">
        <v>15</v>
      </c>
      <c r="D68" s="67">
        <v>60</v>
      </c>
      <c r="E68" s="67">
        <v>0</v>
      </c>
      <c r="F68" s="67">
        <v>60</v>
      </c>
      <c r="G68" s="67">
        <v>10</v>
      </c>
      <c r="H68" s="67">
        <v>0</v>
      </c>
      <c r="I68" s="67">
        <v>25</v>
      </c>
      <c r="J68" s="46" t="s">
        <v>34</v>
      </c>
      <c r="K68" s="46" t="s">
        <v>33</v>
      </c>
      <c r="L68" s="47">
        <v>45728.410243055601</v>
      </c>
      <c r="M68" s="67">
        <v>0</v>
      </c>
      <c r="N68" s="67">
        <v>0</v>
      </c>
      <c r="O68" s="67">
        <v>0</v>
      </c>
      <c r="R68" s="67" t="s">
        <v>24</v>
      </c>
      <c r="S68" s="67" t="b">
        <v>0</v>
      </c>
      <c r="T68" s="67">
        <v>2</v>
      </c>
      <c r="U68" s="80">
        <v>3</v>
      </c>
      <c r="V68" s="67">
        <v>3</v>
      </c>
      <c r="W68" s="67">
        <v>0</v>
      </c>
      <c r="X68" s="67">
        <v>1000</v>
      </c>
      <c r="Z68" s="67">
        <v>10</v>
      </c>
      <c r="AB68" s="92">
        <v>50</v>
      </c>
      <c r="AF68" s="67">
        <v>2000</v>
      </c>
      <c r="AG68" s="67">
        <v>2</v>
      </c>
      <c r="AH68" s="67">
        <v>3.1</v>
      </c>
      <c r="AI68" s="67">
        <v>652</v>
      </c>
      <c r="AJ68" s="67">
        <v>0</v>
      </c>
      <c r="AK68" s="67">
        <v>84</v>
      </c>
      <c r="AM68" s="67" t="s">
        <v>2</v>
      </c>
      <c r="AO68" s="67">
        <v>50</v>
      </c>
      <c r="AW68" s="67" t="b">
        <v>0</v>
      </c>
      <c r="AZ68" s="67" t="s">
        <v>24</v>
      </c>
      <c r="BB68" s="31"/>
      <c r="BC68" s="67">
        <v>92</v>
      </c>
      <c r="BD68" s="89" t="s">
        <v>23</v>
      </c>
      <c r="BE68" s="31"/>
      <c r="BF68" s="67">
        <v>1.6</v>
      </c>
      <c r="BG68" s="67">
        <v>1</v>
      </c>
      <c r="BH68" s="67">
        <v>1</v>
      </c>
      <c r="BI68" s="67">
        <v>0</v>
      </c>
      <c r="BJ68" s="67">
        <v>0.55000000000000004</v>
      </c>
      <c r="BK68" s="67">
        <v>5.5</v>
      </c>
      <c r="BL68" s="67">
        <v>6</v>
      </c>
      <c r="BM68" s="67" t="s">
        <v>1</v>
      </c>
      <c r="BN68" s="57">
        <f t="shared" si="10"/>
        <v>60</v>
      </c>
      <c r="BO68" s="81">
        <f t="shared" si="11"/>
        <v>3</v>
      </c>
      <c r="BP68" s="72">
        <v>250</v>
      </c>
      <c r="BQ68" s="73">
        <v>0</v>
      </c>
      <c r="BR68" s="73">
        <v>0</v>
      </c>
      <c r="BS68" s="73">
        <f t="shared" si="15"/>
        <v>0</v>
      </c>
      <c r="BT68" s="37"/>
      <c r="BU68" s="37"/>
      <c r="BV68" s="74"/>
      <c r="BW68" s="37"/>
      <c r="BX68" s="74"/>
      <c r="BY68" s="37"/>
      <c r="BZ68" s="74"/>
      <c r="CA68" s="37"/>
      <c r="CB68" s="74"/>
      <c r="CC68" s="37"/>
      <c r="CD68" s="37"/>
      <c r="CE68" s="75"/>
      <c r="CF68" s="76" t="s">
        <v>12</v>
      </c>
      <c r="CG68" s="67">
        <f t="shared" si="16"/>
        <v>0</v>
      </c>
      <c r="CH68" s="67" t="str">
        <f t="shared" si="12"/>
        <v xml:space="preserve"> </v>
      </c>
      <c r="CI68" s="67">
        <f t="shared" si="13"/>
        <v>2.68</v>
      </c>
      <c r="CJ68" s="67">
        <v>0</v>
      </c>
      <c r="CR68" s="15">
        <v>0</v>
      </c>
      <c r="CS68" s="67">
        <v>0</v>
      </c>
      <c r="CT68" s="67">
        <v>0</v>
      </c>
      <c r="CU68" s="78">
        <v>1</v>
      </c>
      <c r="CV68" s="67">
        <v>0</v>
      </c>
      <c r="CW68" s="67">
        <v>0</v>
      </c>
      <c r="CX68" s="67">
        <v>0</v>
      </c>
      <c r="CY68" s="67">
        <v>0</v>
      </c>
      <c r="CZ68" s="67">
        <v>0</v>
      </c>
      <c r="DA68" s="67">
        <v>0</v>
      </c>
      <c r="DB68" s="67">
        <v>0</v>
      </c>
      <c r="DC68" s="15">
        <f t="shared" si="14"/>
        <v>1</v>
      </c>
      <c r="DD68" s="79">
        <v>2</v>
      </c>
      <c r="DH68" s="79"/>
      <c r="DI68" s="67" t="s">
        <v>0</v>
      </c>
    </row>
    <row r="69" spans="1:113" s="67" customFormat="1" ht="15" customHeight="1" thickBot="1" x14ac:dyDescent="0.3">
      <c r="A69" s="67">
        <v>318206</v>
      </c>
      <c r="B69" s="67" t="s">
        <v>6</v>
      </c>
      <c r="C69" s="68" t="s">
        <v>15</v>
      </c>
      <c r="D69" s="67">
        <v>60</v>
      </c>
      <c r="E69" s="67">
        <v>0</v>
      </c>
      <c r="F69" s="67">
        <v>60</v>
      </c>
      <c r="G69" s="67">
        <v>11</v>
      </c>
      <c r="H69" s="67">
        <v>0</v>
      </c>
      <c r="I69" s="67">
        <v>15</v>
      </c>
      <c r="J69" s="46" t="s">
        <v>32</v>
      </c>
      <c r="K69" s="46" t="s">
        <v>31</v>
      </c>
      <c r="L69" s="47">
        <v>45728.4144675926</v>
      </c>
      <c r="M69" s="67">
        <v>0</v>
      </c>
      <c r="N69" s="67">
        <v>0</v>
      </c>
      <c r="O69" s="67">
        <v>0</v>
      </c>
      <c r="R69" s="67" t="s">
        <v>24</v>
      </c>
      <c r="S69" s="67" t="b">
        <v>0</v>
      </c>
      <c r="T69" s="67">
        <v>2</v>
      </c>
      <c r="U69" s="91">
        <v>7.5</v>
      </c>
      <c r="V69" s="67">
        <v>3</v>
      </c>
      <c r="W69" s="67">
        <v>0</v>
      </c>
      <c r="X69" s="67">
        <v>1000</v>
      </c>
      <c r="Z69" s="67">
        <v>10</v>
      </c>
      <c r="AB69" s="85">
        <v>30</v>
      </c>
      <c r="AF69" s="67">
        <v>2000</v>
      </c>
      <c r="AG69" s="67">
        <v>2</v>
      </c>
      <c r="AH69" s="67">
        <v>7.9</v>
      </c>
      <c r="AI69" s="67">
        <v>906</v>
      </c>
      <c r="AJ69" s="67">
        <v>0</v>
      </c>
      <c r="AK69" s="67">
        <v>166</v>
      </c>
      <c r="AM69" s="67" t="s">
        <v>2</v>
      </c>
      <c r="AO69" s="67">
        <v>30</v>
      </c>
      <c r="AW69" s="67" t="b">
        <v>0</v>
      </c>
      <c r="AZ69" s="67" t="s">
        <v>24</v>
      </c>
      <c r="BB69" s="31"/>
      <c r="BC69" s="67">
        <v>93</v>
      </c>
      <c r="BD69" s="89" t="s">
        <v>23</v>
      </c>
      <c r="BE69" s="31"/>
      <c r="BF69" s="67">
        <v>1.6</v>
      </c>
      <c r="BG69" s="67">
        <v>1</v>
      </c>
      <c r="BH69" s="67">
        <v>1</v>
      </c>
      <c r="BI69" s="67">
        <v>0</v>
      </c>
      <c r="BJ69" s="67">
        <v>0.55000000000000004</v>
      </c>
      <c r="BK69" s="67">
        <v>5.5</v>
      </c>
      <c r="BL69" s="67">
        <v>6</v>
      </c>
      <c r="BM69" s="67" t="s">
        <v>1</v>
      </c>
      <c r="BN69" s="57">
        <f t="shared" si="10"/>
        <v>60</v>
      </c>
      <c r="BO69" s="71">
        <f t="shared" si="11"/>
        <v>7.5</v>
      </c>
      <c r="BP69" s="72">
        <v>250</v>
      </c>
      <c r="BQ69" s="73">
        <v>0</v>
      </c>
      <c r="BR69" s="73">
        <v>0</v>
      </c>
      <c r="BS69" s="73">
        <f t="shared" si="15"/>
        <v>0</v>
      </c>
      <c r="BT69" s="37"/>
      <c r="BU69" s="37"/>
      <c r="BV69" s="74"/>
      <c r="BW69" s="37"/>
      <c r="BX69" s="74"/>
      <c r="BY69" s="37"/>
      <c r="BZ69" s="74"/>
      <c r="CA69" s="37"/>
      <c r="CB69" s="74"/>
      <c r="CC69" s="37"/>
      <c r="CD69" s="37"/>
      <c r="CE69" s="75"/>
      <c r="CF69" s="76" t="s">
        <v>12</v>
      </c>
      <c r="CG69" s="67">
        <f t="shared" si="16"/>
        <v>0</v>
      </c>
      <c r="CH69" s="67" t="str">
        <f t="shared" si="12"/>
        <v xml:space="preserve"> </v>
      </c>
      <c r="CI69" s="67">
        <f t="shared" si="13"/>
        <v>2.68</v>
      </c>
      <c r="CJ69" s="67">
        <v>0</v>
      </c>
      <c r="CR69" s="15">
        <v>0</v>
      </c>
      <c r="CS69" s="67">
        <v>0</v>
      </c>
      <c r="CT69" s="67">
        <v>0</v>
      </c>
      <c r="CU69" s="78">
        <v>1</v>
      </c>
      <c r="CV69" s="67">
        <v>0</v>
      </c>
      <c r="CW69" s="67">
        <v>0</v>
      </c>
      <c r="CX69" s="67">
        <v>0</v>
      </c>
      <c r="CY69" s="67">
        <v>0</v>
      </c>
      <c r="CZ69" s="67">
        <v>0</v>
      </c>
      <c r="DA69" s="67">
        <v>0</v>
      </c>
      <c r="DB69" s="67">
        <v>0</v>
      </c>
      <c r="DC69" s="15">
        <f t="shared" si="14"/>
        <v>1</v>
      </c>
      <c r="DD69" s="79">
        <v>2</v>
      </c>
      <c r="DH69" s="79"/>
      <c r="DI69" s="67" t="s">
        <v>0</v>
      </c>
    </row>
    <row r="70" spans="1:113" s="67" customFormat="1" ht="15" customHeight="1" thickBot="1" x14ac:dyDescent="0.3">
      <c r="A70" s="67">
        <v>318207</v>
      </c>
      <c r="B70" s="67" t="s">
        <v>6</v>
      </c>
      <c r="C70" s="68" t="s">
        <v>15</v>
      </c>
      <c r="D70" s="67">
        <v>60</v>
      </c>
      <c r="E70" s="67">
        <v>0</v>
      </c>
      <c r="F70" s="67">
        <v>60</v>
      </c>
      <c r="G70" s="67">
        <v>12</v>
      </c>
      <c r="H70" s="67">
        <v>0</v>
      </c>
      <c r="I70" s="67">
        <v>15</v>
      </c>
      <c r="J70" s="46" t="s">
        <v>30</v>
      </c>
      <c r="K70" s="46" t="s">
        <v>29</v>
      </c>
      <c r="L70" s="47">
        <v>45728.4146064815</v>
      </c>
      <c r="M70" s="67">
        <v>0</v>
      </c>
      <c r="N70" s="67">
        <v>0</v>
      </c>
      <c r="O70" s="67">
        <v>0</v>
      </c>
      <c r="R70" s="67" t="s">
        <v>24</v>
      </c>
      <c r="S70" s="67" t="b">
        <v>0</v>
      </c>
      <c r="T70" s="67">
        <v>2</v>
      </c>
      <c r="U70" s="80">
        <v>6</v>
      </c>
      <c r="V70" s="67">
        <v>3</v>
      </c>
      <c r="W70" s="67">
        <v>0</v>
      </c>
      <c r="X70" s="67">
        <v>1000</v>
      </c>
      <c r="Z70" s="67">
        <v>10</v>
      </c>
      <c r="AB70" s="85">
        <v>30</v>
      </c>
      <c r="AF70" s="67">
        <v>2000</v>
      </c>
      <c r="AG70" s="67">
        <v>2</v>
      </c>
      <c r="AH70" s="67">
        <v>6.32</v>
      </c>
      <c r="AI70" s="67">
        <v>771</v>
      </c>
      <c r="AJ70" s="67">
        <v>0</v>
      </c>
      <c r="AK70" s="67">
        <v>112</v>
      </c>
      <c r="AM70" s="67" t="s">
        <v>2</v>
      </c>
      <c r="AO70" s="67">
        <v>30</v>
      </c>
      <c r="AW70" s="67" t="b">
        <v>0</v>
      </c>
      <c r="AZ70" s="67" t="s">
        <v>24</v>
      </c>
      <c r="BB70" s="31"/>
      <c r="BC70" s="67">
        <v>94</v>
      </c>
      <c r="BD70" s="89" t="s">
        <v>23</v>
      </c>
      <c r="BE70" s="31"/>
      <c r="BF70" s="67">
        <v>1.6</v>
      </c>
      <c r="BG70" s="67">
        <v>1</v>
      </c>
      <c r="BH70" s="67">
        <v>1</v>
      </c>
      <c r="BI70" s="67">
        <v>0</v>
      </c>
      <c r="BJ70" s="67">
        <v>0.55000000000000004</v>
      </c>
      <c r="BK70" s="67">
        <v>5.5</v>
      </c>
      <c r="BL70" s="67">
        <v>6</v>
      </c>
      <c r="BM70" s="67" t="s">
        <v>1</v>
      </c>
      <c r="BN70" s="57">
        <f t="shared" si="10"/>
        <v>60</v>
      </c>
      <c r="BO70" s="81">
        <f t="shared" si="11"/>
        <v>6</v>
      </c>
      <c r="BP70" s="72">
        <v>250</v>
      </c>
      <c r="BQ70" s="73">
        <v>0</v>
      </c>
      <c r="BR70" s="73">
        <v>0</v>
      </c>
      <c r="BS70" s="73">
        <f t="shared" si="15"/>
        <v>0</v>
      </c>
      <c r="BT70" s="37"/>
      <c r="BU70" s="37"/>
      <c r="BV70" s="74"/>
      <c r="BW70" s="37"/>
      <c r="BX70" s="74"/>
      <c r="BY70" s="37"/>
      <c r="BZ70" s="74"/>
      <c r="CA70" s="37"/>
      <c r="CB70" s="74"/>
      <c r="CC70" s="37"/>
      <c r="CD70" s="37"/>
      <c r="CE70" s="75"/>
      <c r="CF70" s="76" t="s">
        <v>12</v>
      </c>
      <c r="CG70" s="67">
        <f t="shared" si="16"/>
        <v>0</v>
      </c>
      <c r="CH70" s="67" t="str">
        <f t="shared" si="12"/>
        <v xml:space="preserve"> </v>
      </c>
      <c r="CI70" s="67">
        <f t="shared" si="13"/>
        <v>2.68</v>
      </c>
      <c r="CJ70" s="67">
        <v>0</v>
      </c>
      <c r="CR70" s="15">
        <v>0</v>
      </c>
      <c r="CS70" s="67">
        <v>0</v>
      </c>
      <c r="CT70" s="67">
        <v>0</v>
      </c>
      <c r="CU70" s="78">
        <v>1</v>
      </c>
      <c r="CV70" s="67">
        <v>0</v>
      </c>
      <c r="CW70" s="67">
        <v>0</v>
      </c>
      <c r="CX70" s="67">
        <v>0</v>
      </c>
      <c r="CY70" s="67">
        <v>0</v>
      </c>
      <c r="CZ70" s="67">
        <v>0</v>
      </c>
      <c r="DA70" s="67">
        <v>0</v>
      </c>
      <c r="DB70" s="67">
        <v>0</v>
      </c>
      <c r="DC70" s="15">
        <f t="shared" si="14"/>
        <v>1</v>
      </c>
      <c r="DD70" s="79">
        <v>2</v>
      </c>
      <c r="DH70" s="79"/>
      <c r="DI70" s="67" t="s">
        <v>0</v>
      </c>
    </row>
    <row r="71" spans="1:113" s="67" customFormat="1" ht="15" customHeight="1" thickBot="1" x14ac:dyDescent="0.3">
      <c r="A71" s="67">
        <v>318208</v>
      </c>
      <c r="B71" s="67" t="s">
        <v>6</v>
      </c>
      <c r="C71" s="68" t="s">
        <v>15</v>
      </c>
      <c r="D71" s="67">
        <v>60</v>
      </c>
      <c r="E71" s="67">
        <v>0</v>
      </c>
      <c r="F71" s="67">
        <v>60</v>
      </c>
      <c r="G71" s="67">
        <v>13</v>
      </c>
      <c r="H71" s="67">
        <v>0</v>
      </c>
      <c r="I71" s="67">
        <v>37</v>
      </c>
      <c r="J71" s="46" t="s">
        <v>28</v>
      </c>
      <c r="K71" s="46" t="s">
        <v>27</v>
      </c>
      <c r="L71" s="47">
        <v>45728.414861111101</v>
      </c>
      <c r="M71" s="67">
        <v>0</v>
      </c>
      <c r="N71" s="67">
        <v>0</v>
      </c>
      <c r="O71" s="67">
        <v>0</v>
      </c>
      <c r="R71" s="67" t="s">
        <v>24</v>
      </c>
      <c r="S71" s="67" t="b">
        <v>0</v>
      </c>
      <c r="T71" s="67">
        <v>2</v>
      </c>
      <c r="U71" s="80">
        <v>4</v>
      </c>
      <c r="V71" s="67">
        <v>3</v>
      </c>
      <c r="W71" s="67">
        <v>0</v>
      </c>
      <c r="X71" s="67">
        <v>1000</v>
      </c>
      <c r="Z71" s="67">
        <v>10</v>
      </c>
      <c r="AB71" s="85">
        <v>75</v>
      </c>
      <c r="AF71" s="67">
        <v>2000</v>
      </c>
      <c r="AG71" s="67">
        <v>2</v>
      </c>
      <c r="AH71" s="67">
        <v>4.0999999999999996</v>
      </c>
      <c r="AI71" s="67">
        <v>707</v>
      </c>
      <c r="AJ71" s="67">
        <v>0</v>
      </c>
      <c r="AK71" s="67">
        <v>201</v>
      </c>
      <c r="AM71" s="67" t="s">
        <v>2</v>
      </c>
      <c r="AO71" s="67">
        <v>74</v>
      </c>
      <c r="AW71" s="67" t="b">
        <v>0</v>
      </c>
      <c r="AZ71" s="67" t="s">
        <v>24</v>
      </c>
      <c r="BB71" s="31"/>
      <c r="BC71" s="67">
        <v>95</v>
      </c>
      <c r="BD71" s="89" t="s">
        <v>23</v>
      </c>
      <c r="BE71" s="31"/>
      <c r="BF71" s="67">
        <v>1.6</v>
      </c>
      <c r="BG71" s="67">
        <v>1</v>
      </c>
      <c r="BH71" s="67">
        <v>1</v>
      </c>
      <c r="BI71" s="67">
        <v>0</v>
      </c>
      <c r="BJ71" s="67">
        <v>0.55000000000000004</v>
      </c>
      <c r="BK71" s="67">
        <v>5.5</v>
      </c>
      <c r="BL71" s="67">
        <v>6</v>
      </c>
      <c r="BM71" s="67" t="s">
        <v>1</v>
      </c>
      <c r="BN71" s="57">
        <f t="shared" si="10"/>
        <v>60</v>
      </c>
      <c r="BO71" s="81">
        <f t="shared" si="11"/>
        <v>4</v>
      </c>
      <c r="BP71" s="72">
        <v>250</v>
      </c>
      <c r="BQ71" s="73">
        <v>0</v>
      </c>
      <c r="BR71" s="73">
        <v>0</v>
      </c>
      <c r="BS71" s="73">
        <f t="shared" si="15"/>
        <v>0</v>
      </c>
      <c r="BT71" s="37"/>
      <c r="BU71" s="37"/>
      <c r="BV71" s="74"/>
      <c r="BW71" s="37"/>
      <c r="BX71" s="74"/>
      <c r="BY71" s="37"/>
      <c r="BZ71" s="74"/>
      <c r="CA71" s="37"/>
      <c r="CB71" s="74"/>
      <c r="CC71" s="37"/>
      <c r="CD71" s="37"/>
      <c r="CE71" s="75"/>
      <c r="CF71" s="76" t="s">
        <v>12</v>
      </c>
      <c r="CG71" s="67">
        <f t="shared" si="16"/>
        <v>0</v>
      </c>
      <c r="CH71" s="67" t="str">
        <f t="shared" si="12"/>
        <v xml:space="preserve"> </v>
      </c>
      <c r="CI71" s="67">
        <f t="shared" si="13"/>
        <v>2.68</v>
      </c>
      <c r="CJ71" s="67">
        <v>0</v>
      </c>
      <c r="CR71" s="15">
        <v>0</v>
      </c>
      <c r="CS71" s="67">
        <v>0</v>
      </c>
      <c r="CT71" s="67">
        <v>0</v>
      </c>
      <c r="CU71" s="78">
        <v>1</v>
      </c>
      <c r="CV71" s="67">
        <v>0</v>
      </c>
      <c r="CW71" s="67">
        <v>0</v>
      </c>
      <c r="CX71" s="67">
        <v>0</v>
      </c>
      <c r="CY71" s="67">
        <v>0</v>
      </c>
      <c r="CZ71" s="67">
        <v>0</v>
      </c>
      <c r="DA71" s="67">
        <v>0</v>
      </c>
      <c r="DB71" s="67">
        <v>0</v>
      </c>
      <c r="DC71" s="15">
        <f t="shared" si="14"/>
        <v>1</v>
      </c>
      <c r="DD71" s="79">
        <v>2</v>
      </c>
      <c r="DH71" s="79"/>
      <c r="DI71" s="67" t="s">
        <v>0</v>
      </c>
    </row>
    <row r="72" spans="1:113" s="67" customFormat="1" ht="15" customHeight="1" thickBot="1" x14ac:dyDescent="0.3">
      <c r="A72" s="67">
        <v>318209</v>
      </c>
      <c r="B72" s="67" t="s">
        <v>6</v>
      </c>
      <c r="C72" s="68" t="s">
        <v>15</v>
      </c>
      <c r="D72" s="67">
        <v>60</v>
      </c>
      <c r="E72" s="67">
        <v>0</v>
      </c>
      <c r="F72" s="67">
        <v>60</v>
      </c>
      <c r="G72" s="67">
        <v>14</v>
      </c>
      <c r="H72" s="67">
        <v>0</v>
      </c>
      <c r="I72" s="67">
        <v>50</v>
      </c>
      <c r="J72" s="46" t="s">
        <v>26</v>
      </c>
      <c r="K72" s="46" t="s">
        <v>25</v>
      </c>
      <c r="L72" s="47">
        <v>45728.4149652778</v>
      </c>
      <c r="M72" s="67">
        <v>0</v>
      </c>
      <c r="N72" s="67">
        <v>0</v>
      </c>
      <c r="O72" s="67">
        <v>0</v>
      </c>
      <c r="R72" s="67" t="s">
        <v>24</v>
      </c>
      <c r="S72" s="67" t="b">
        <v>0</v>
      </c>
      <c r="T72" s="67">
        <v>2</v>
      </c>
      <c r="U72" s="80">
        <v>4</v>
      </c>
      <c r="V72" s="67">
        <v>3</v>
      </c>
      <c r="W72" s="67">
        <v>0</v>
      </c>
      <c r="X72" s="67">
        <v>1000</v>
      </c>
      <c r="Z72" s="67">
        <v>10</v>
      </c>
      <c r="AB72" s="85">
        <v>100</v>
      </c>
      <c r="AF72" s="67">
        <v>2000</v>
      </c>
      <c r="AG72" s="67">
        <v>2</v>
      </c>
      <c r="AH72" s="67">
        <v>4.09</v>
      </c>
      <c r="AI72" s="67">
        <v>694</v>
      </c>
      <c r="AJ72" s="67">
        <v>0</v>
      </c>
      <c r="AK72" s="67">
        <v>271</v>
      </c>
      <c r="AM72" s="67" t="s">
        <v>2</v>
      </c>
      <c r="AO72" s="67">
        <v>100</v>
      </c>
      <c r="AW72" s="67" t="b">
        <v>0</v>
      </c>
      <c r="AZ72" s="67" t="s">
        <v>24</v>
      </c>
      <c r="BB72" s="31"/>
      <c r="BC72" s="67">
        <v>96</v>
      </c>
      <c r="BD72" s="89" t="s">
        <v>23</v>
      </c>
      <c r="BE72" s="31"/>
      <c r="BF72" s="67">
        <v>1.6</v>
      </c>
      <c r="BG72" s="67">
        <v>1</v>
      </c>
      <c r="BH72" s="67">
        <v>1</v>
      </c>
      <c r="BI72" s="67">
        <v>0</v>
      </c>
      <c r="BJ72" s="67">
        <v>0.55000000000000004</v>
      </c>
      <c r="BK72" s="67">
        <v>5.5</v>
      </c>
      <c r="BL72" s="67">
        <v>6</v>
      </c>
      <c r="BM72" s="67" t="s">
        <v>1</v>
      </c>
      <c r="BN72" s="57">
        <f t="shared" si="10"/>
        <v>60</v>
      </c>
      <c r="BO72" s="81">
        <f t="shared" si="11"/>
        <v>4</v>
      </c>
      <c r="BP72" s="72">
        <v>250</v>
      </c>
      <c r="BQ72" s="73">
        <v>0</v>
      </c>
      <c r="BR72" s="73">
        <v>0</v>
      </c>
      <c r="BS72" s="73">
        <f t="shared" si="15"/>
        <v>0</v>
      </c>
      <c r="BT72" s="37"/>
      <c r="BU72" s="37"/>
      <c r="BV72" s="74"/>
      <c r="BW72" s="37"/>
      <c r="BX72" s="74"/>
      <c r="BY72" s="37"/>
      <c r="BZ72" s="74"/>
      <c r="CA72" s="37"/>
      <c r="CB72" s="74"/>
      <c r="CC72" s="37"/>
      <c r="CD72" s="37"/>
      <c r="CE72" s="75"/>
      <c r="CF72" s="76" t="s">
        <v>12</v>
      </c>
      <c r="CG72" s="67">
        <f t="shared" si="16"/>
        <v>0</v>
      </c>
      <c r="CH72" s="67" t="str">
        <f t="shared" si="12"/>
        <v xml:space="preserve"> </v>
      </c>
      <c r="CI72" s="67">
        <f t="shared" si="13"/>
        <v>2.68</v>
      </c>
      <c r="CJ72" s="67">
        <v>0</v>
      </c>
      <c r="CR72" s="15">
        <v>0</v>
      </c>
      <c r="CS72" s="67">
        <v>0</v>
      </c>
      <c r="CT72" s="67">
        <v>0</v>
      </c>
      <c r="CU72" s="78">
        <v>1</v>
      </c>
      <c r="CV72" s="67">
        <v>0</v>
      </c>
      <c r="CW72" s="67">
        <v>0</v>
      </c>
      <c r="CX72" s="67">
        <v>0</v>
      </c>
      <c r="CY72" s="67">
        <v>0</v>
      </c>
      <c r="CZ72" s="67">
        <v>0</v>
      </c>
      <c r="DA72" s="67">
        <v>0</v>
      </c>
      <c r="DB72" s="67">
        <v>0</v>
      </c>
      <c r="DC72" s="15">
        <f t="shared" si="14"/>
        <v>1</v>
      </c>
      <c r="DD72" s="79">
        <v>2</v>
      </c>
      <c r="DH72" s="79"/>
      <c r="DI72" s="67" t="s">
        <v>0</v>
      </c>
    </row>
    <row r="73" spans="1:113" s="29" customFormat="1" ht="15" customHeight="1" thickBot="1" x14ac:dyDescent="0.3">
      <c r="A73" s="28">
        <v>318876</v>
      </c>
      <c r="B73" s="28" t="s">
        <v>6</v>
      </c>
      <c r="C73" s="48" t="s">
        <v>11</v>
      </c>
      <c r="D73" s="28">
        <v>16</v>
      </c>
      <c r="E73" s="28">
        <v>0</v>
      </c>
      <c r="F73" s="28">
        <v>16</v>
      </c>
      <c r="G73" s="28">
        <v>4</v>
      </c>
      <c r="H73" s="28">
        <v>0</v>
      </c>
      <c r="I73" s="28">
        <v>37</v>
      </c>
      <c r="J73" s="46" t="s">
        <v>22</v>
      </c>
      <c r="K73" s="46" t="s">
        <v>21</v>
      </c>
      <c r="L73" s="47">
        <v>45729.686562499999</v>
      </c>
      <c r="M73" s="28">
        <v>0</v>
      </c>
      <c r="N73" s="28">
        <v>0</v>
      </c>
      <c r="O73" s="28">
        <v>0</v>
      </c>
      <c r="P73" s="40"/>
      <c r="Q73" s="40"/>
      <c r="R73" s="28"/>
      <c r="S73" s="28" t="b">
        <v>0</v>
      </c>
      <c r="T73" s="30">
        <v>0.01</v>
      </c>
      <c r="U73" s="49">
        <v>4.5999999999999996</v>
      </c>
      <c r="V73" s="30">
        <v>0.01</v>
      </c>
      <c r="W73" s="30">
        <v>0</v>
      </c>
      <c r="X73" s="28">
        <v>1000</v>
      </c>
      <c r="Y73" s="40"/>
      <c r="Z73" s="28">
        <v>10</v>
      </c>
      <c r="AA73" s="40"/>
      <c r="AB73" s="50">
        <v>75</v>
      </c>
      <c r="AC73" s="40"/>
      <c r="AD73" s="28">
        <v>10</v>
      </c>
      <c r="AE73" s="40"/>
      <c r="AF73" s="28">
        <v>2000</v>
      </c>
      <c r="AG73" s="28">
        <v>2</v>
      </c>
      <c r="AH73" s="28">
        <v>4.71</v>
      </c>
      <c r="AI73" s="28">
        <v>351</v>
      </c>
      <c r="AJ73" s="28">
        <v>0</v>
      </c>
      <c r="AK73" s="28">
        <v>118</v>
      </c>
      <c r="AL73" s="40"/>
      <c r="AM73" s="28" t="s">
        <v>2</v>
      </c>
      <c r="AN73" s="40"/>
      <c r="AO73" s="28">
        <v>74</v>
      </c>
      <c r="AP73" s="40"/>
      <c r="AQ73" s="40"/>
      <c r="AR73" s="40"/>
      <c r="AS73" s="40"/>
      <c r="AT73" s="40"/>
      <c r="AU73" s="40"/>
      <c r="AV73" s="40"/>
      <c r="AW73" s="28" t="b">
        <v>0</v>
      </c>
      <c r="AX73" s="40"/>
      <c r="AY73" s="40"/>
      <c r="AZ73" s="28"/>
      <c r="BA73" s="40"/>
      <c r="BB73" s="31"/>
      <c r="BC73" s="32">
        <v>101</v>
      </c>
      <c r="BD73" s="33"/>
      <c r="BE73" s="31"/>
      <c r="BF73" s="33">
        <v>0.55000000000000004</v>
      </c>
      <c r="BG73" s="33">
        <v>0</v>
      </c>
      <c r="BH73" s="33">
        <v>0</v>
      </c>
      <c r="BI73" s="33">
        <v>0</v>
      </c>
      <c r="BJ73" s="33">
        <v>0.55000000000000004</v>
      </c>
      <c r="BK73" s="32">
        <v>5.5</v>
      </c>
      <c r="BL73" s="33">
        <v>6</v>
      </c>
      <c r="BM73" s="33" t="s">
        <v>1</v>
      </c>
      <c r="BN73" s="34">
        <f t="shared" ref="BN73:BN123" si="17">D73</f>
        <v>16</v>
      </c>
      <c r="BO73" s="35">
        <f t="shared" ref="BO73:BO123" si="18">U73</f>
        <v>4.5999999999999996</v>
      </c>
      <c r="BP73" s="34">
        <v>250</v>
      </c>
      <c r="BQ73" s="36"/>
      <c r="BR73" s="43"/>
      <c r="BS73" s="43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9"/>
      <c r="CF73" s="44" t="s">
        <v>16</v>
      </c>
      <c r="CI73" s="40">
        <f t="shared" ref="CI73:CI79" si="19">IF(MIN(BF73,BJ73)=0.55,  2.68,          IF(MIN(BF73,BJ73)=0.8,     3.56,          IF(MIN(BF73,BJ73)=0.9,      3.81,             IF(MIN(BF73,BJ73)=1,     4.06,                IF(MIN(BF73,BJ73)=1.2,        4.57,             IF(MIN(BF73,BJ73)=1.6,          5.08  ))))))</f>
        <v>2.68</v>
      </c>
      <c r="CJ73" s="40">
        <v>0</v>
      </c>
      <c r="CR73" s="40">
        <v>0</v>
      </c>
      <c r="CS73" s="40">
        <v>0</v>
      </c>
      <c r="CT73" s="67">
        <v>0</v>
      </c>
      <c r="CU73" s="41">
        <v>0</v>
      </c>
      <c r="CV73" s="67">
        <v>0</v>
      </c>
      <c r="CW73" s="67">
        <v>0</v>
      </c>
      <c r="CX73" s="67">
        <v>0</v>
      </c>
      <c r="CY73" s="67">
        <v>0</v>
      </c>
      <c r="CZ73" s="67">
        <v>0</v>
      </c>
      <c r="DA73" s="67">
        <v>0</v>
      </c>
      <c r="DB73" s="67">
        <v>0</v>
      </c>
      <c r="DC73" s="15">
        <f t="shared" ref="DC73:DC79" si="20">IF(CR73 + CU73 + CJ73 &gt; 0, 1,0)</f>
        <v>0</v>
      </c>
      <c r="DD73" s="42">
        <v>0</v>
      </c>
      <c r="DI73" s="40" t="s">
        <v>0</v>
      </c>
    </row>
    <row r="74" spans="1:113" s="29" customFormat="1" ht="15" customHeight="1" thickBot="1" x14ac:dyDescent="0.3">
      <c r="A74" s="28">
        <v>319132</v>
      </c>
      <c r="B74" s="28" t="s">
        <v>6</v>
      </c>
      <c r="C74" s="48" t="s">
        <v>15</v>
      </c>
      <c r="D74" s="28">
        <v>60</v>
      </c>
      <c r="E74" s="28">
        <v>0</v>
      </c>
      <c r="F74" s="28">
        <v>60</v>
      </c>
      <c r="G74" s="28">
        <v>4</v>
      </c>
      <c r="H74" s="28">
        <v>0</v>
      </c>
      <c r="I74" s="28">
        <v>37</v>
      </c>
      <c r="J74" s="46" t="s">
        <v>20</v>
      </c>
      <c r="K74" s="46" t="s">
        <v>19</v>
      </c>
      <c r="L74" s="47">
        <v>45730.445902777778</v>
      </c>
      <c r="M74" s="28">
        <v>0</v>
      </c>
      <c r="N74" s="28">
        <v>0</v>
      </c>
      <c r="O74" s="28">
        <v>0</v>
      </c>
      <c r="P74" s="40"/>
      <c r="Q74" s="40"/>
      <c r="R74" s="28"/>
      <c r="S74" s="28" t="b">
        <v>0</v>
      </c>
      <c r="T74" s="30">
        <v>2</v>
      </c>
      <c r="U74" s="49">
        <v>3</v>
      </c>
      <c r="V74" s="30">
        <v>3</v>
      </c>
      <c r="W74" s="30">
        <v>0</v>
      </c>
      <c r="X74" s="28">
        <v>1000</v>
      </c>
      <c r="Y74" s="40"/>
      <c r="Z74" s="28">
        <v>10</v>
      </c>
      <c r="AA74" s="40"/>
      <c r="AB74" s="50">
        <v>75</v>
      </c>
      <c r="AC74" s="40"/>
      <c r="AD74" s="40"/>
      <c r="AE74" s="40"/>
      <c r="AF74" s="28">
        <v>2000</v>
      </c>
      <c r="AG74" s="28">
        <v>2</v>
      </c>
      <c r="AH74" s="28">
        <v>3.04</v>
      </c>
      <c r="AI74" s="28">
        <v>372</v>
      </c>
      <c r="AJ74" s="28">
        <v>0</v>
      </c>
      <c r="AK74" s="28">
        <v>79</v>
      </c>
      <c r="AL74" s="40"/>
      <c r="AM74" s="28" t="s">
        <v>2</v>
      </c>
      <c r="AN74" s="40"/>
      <c r="AO74" s="28">
        <v>74</v>
      </c>
      <c r="AP74" s="40"/>
      <c r="AQ74" s="40"/>
      <c r="AR74" s="40"/>
      <c r="AS74" s="40"/>
      <c r="AT74" s="40"/>
      <c r="AU74" s="40"/>
      <c r="AV74" s="40"/>
      <c r="AW74" s="28" t="b">
        <v>0</v>
      </c>
      <c r="AX74" s="40"/>
      <c r="AY74" s="40"/>
      <c r="AZ74" s="28"/>
      <c r="BA74" s="40"/>
      <c r="BB74" s="31"/>
      <c r="BC74" s="32">
        <v>102</v>
      </c>
      <c r="BD74" s="33"/>
      <c r="BE74" s="31"/>
      <c r="BF74" s="33">
        <v>1</v>
      </c>
      <c r="BG74" s="32">
        <v>0</v>
      </c>
      <c r="BH74" s="32">
        <v>0</v>
      </c>
      <c r="BI74" s="32">
        <v>0</v>
      </c>
      <c r="BJ74" s="32">
        <v>0.55000000000000004</v>
      </c>
      <c r="BK74" s="32">
        <v>5.5</v>
      </c>
      <c r="BL74" s="33">
        <v>6</v>
      </c>
      <c r="BM74" s="33" t="s">
        <v>1</v>
      </c>
      <c r="BN74" s="34">
        <f t="shared" si="17"/>
        <v>60</v>
      </c>
      <c r="BO74" s="35">
        <f t="shared" si="18"/>
        <v>3</v>
      </c>
      <c r="BP74" s="34">
        <v>250</v>
      </c>
      <c r="BQ74" s="36"/>
      <c r="BR74" s="43"/>
      <c r="BS74" s="43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9"/>
      <c r="CF74" s="44" t="s">
        <v>12</v>
      </c>
      <c r="CG74" s="40">
        <v>0</v>
      </c>
      <c r="CI74" s="40">
        <f t="shared" si="19"/>
        <v>2.68</v>
      </c>
      <c r="CJ74" s="40">
        <v>0</v>
      </c>
      <c r="CR74" s="40">
        <v>0</v>
      </c>
      <c r="CS74" s="40">
        <v>0</v>
      </c>
      <c r="CT74" s="67">
        <v>0</v>
      </c>
      <c r="CU74" s="41">
        <v>1</v>
      </c>
      <c r="CV74" s="67">
        <v>0</v>
      </c>
      <c r="CW74" s="67">
        <v>0</v>
      </c>
      <c r="CX74" s="67">
        <v>0</v>
      </c>
      <c r="CY74" s="67">
        <v>0</v>
      </c>
      <c r="CZ74" s="67">
        <v>0</v>
      </c>
      <c r="DA74" s="67">
        <v>0</v>
      </c>
      <c r="DB74" s="67">
        <v>0</v>
      </c>
      <c r="DC74" s="15">
        <f t="shared" si="20"/>
        <v>1</v>
      </c>
      <c r="DD74" s="42">
        <v>2</v>
      </c>
      <c r="DI74" s="40" t="s">
        <v>0</v>
      </c>
    </row>
    <row r="75" spans="1:113" s="29" customFormat="1" ht="15" customHeight="1" thickBot="1" x14ac:dyDescent="0.3">
      <c r="A75" s="28">
        <v>319130</v>
      </c>
      <c r="B75" s="28" t="s">
        <v>6</v>
      </c>
      <c r="C75" s="48" t="s">
        <v>15</v>
      </c>
      <c r="D75" s="28">
        <v>60</v>
      </c>
      <c r="E75" s="28">
        <v>0</v>
      </c>
      <c r="F75" s="28">
        <v>60</v>
      </c>
      <c r="G75" s="28">
        <v>2</v>
      </c>
      <c r="H75" s="28">
        <v>0</v>
      </c>
      <c r="I75" s="28">
        <v>20</v>
      </c>
      <c r="J75" s="46" t="s">
        <v>18</v>
      </c>
      <c r="K75" s="46" t="s">
        <v>17</v>
      </c>
      <c r="L75" s="47">
        <v>45730.445543981477</v>
      </c>
      <c r="M75" s="28">
        <v>0</v>
      </c>
      <c r="N75" s="28">
        <v>0</v>
      </c>
      <c r="O75" s="28">
        <v>0</v>
      </c>
      <c r="P75" s="40"/>
      <c r="Q75" s="40"/>
      <c r="R75" s="28"/>
      <c r="S75" s="28" t="b">
        <v>0</v>
      </c>
      <c r="T75" s="30">
        <v>2</v>
      </c>
      <c r="U75" s="49">
        <v>4</v>
      </c>
      <c r="V75" s="30">
        <v>3</v>
      </c>
      <c r="W75" s="30">
        <v>0</v>
      </c>
      <c r="X75" s="28">
        <v>1000</v>
      </c>
      <c r="Y75" s="40"/>
      <c r="Z75" s="28">
        <v>10</v>
      </c>
      <c r="AA75" s="40"/>
      <c r="AB75" s="50">
        <v>40</v>
      </c>
      <c r="AC75" s="40"/>
      <c r="AD75" s="40"/>
      <c r="AE75" s="40"/>
      <c r="AF75" s="28">
        <v>2000</v>
      </c>
      <c r="AG75" s="28">
        <v>2</v>
      </c>
      <c r="AH75" s="28">
        <v>4.08</v>
      </c>
      <c r="AI75" s="28">
        <v>423</v>
      </c>
      <c r="AJ75" s="28">
        <v>0</v>
      </c>
      <c r="AK75" s="28">
        <v>58</v>
      </c>
      <c r="AL75" s="40"/>
      <c r="AM75" s="28" t="s">
        <v>2</v>
      </c>
      <c r="AN75" s="40"/>
      <c r="AO75" s="28">
        <v>40</v>
      </c>
      <c r="AP75" s="40"/>
      <c r="AQ75" s="40"/>
      <c r="AR75" s="40"/>
      <c r="AS75" s="40"/>
      <c r="AT75" s="40"/>
      <c r="AU75" s="40"/>
      <c r="AV75" s="40"/>
      <c r="AW75" s="28" t="b">
        <v>0</v>
      </c>
      <c r="AX75" s="40"/>
      <c r="AY75" s="40"/>
      <c r="AZ75" s="28"/>
      <c r="BA75" s="40"/>
      <c r="BB75" s="31"/>
      <c r="BC75" s="32">
        <v>104</v>
      </c>
      <c r="BD75" s="33"/>
      <c r="BE75" s="31"/>
      <c r="BF75" s="33">
        <v>1</v>
      </c>
      <c r="BG75" s="32">
        <v>0</v>
      </c>
      <c r="BH75" s="32">
        <v>0</v>
      </c>
      <c r="BI75" s="32">
        <v>0</v>
      </c>
      <c r="BJ75" s="32">
        <v>0.55000000000000004</v>
      </c>
      <c r="BK75" s="32">
        <v>5.5</v>
      </c>
      <c r="BL75" s="33">
        <v>6</v>
      </c>
      <c r="BM75" s="33" t="s">
        <v>1</v>
      </c>
      <c r="BN75" s="34">
        <f t="shared" si="17"/>
        <v>60</v>
      </c>
      <c r="BO75" s="35">
        <f t="shared" si="18"/>
        <v>4</v>
      </c>
      <c r="BP75" s="34">
        <v>250</v>
      </c>
      <c r="BQ75" s="36"/>
      <c r="BR75" s="43"/>
      <c r="BS75" s="43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9"/>
      <c r="CF75" s="44" t="s">
        <v>16</v>
      </c>
      <c r="CG75" s="40"/>
      <c r="CI75" s="40">
        <f t="shared" si="19"/>
        <v>2.68</v>
      </c>
      <c r="CJ75" s="40">
        <v>0</v>
      </c>
      <c r="CR75" s="40">
        <v>0</v>
      </c>
      <c r="CS75" s="40">
        <v>0</v>
      </c>
      <c r="CT75" s="67">
        <v>0</v>
      </c>
      <c r="CU75" s="41">
        <v>0</v>
      </c>
      <c r="CV75" s="67">
        <v>0</v>
      </c>
      <c r="CW75" s="67">
        <v>0</v>
      </c>
      <c r="CX75" s="67">
        <v>0</v>
      </c>
      <c r="CY75" s="67">
        <v>0</v>
      </c>
      <c r="CZ75" s="67">
        <v>0</v>
      </c>
      <c r="DA75" s="67">
        <v>0</v>
      </c>
      <c r="DB75" s="67">
        <v>0</v>
      </c>
      <c r="DC75" s="15">
        <f t="shared" si="20"/>
        <v>0</v>
      </c>
      <c r="DD75" s="42">
        <v>0</v>
      </c>
      <c r="DI75" s="40" t="s">
        <v>0</v>
      </c>
    </row>
    <row r="76" spans="1:113" s="29" customFormat="1" ht="15" customHeight="1" thickBot="1" x14ac:dyDescent="0.3">
      <c r="A76" s="28">
        <v>319129</v>
      </c>
      <c r="B76" s="28" t="s">
        <v>6</v>
      </c>
      <c r="C76" s="48" t="s">
        <v>15</v>
      </c>
      <c r="D76" s="28">
        <v>60</v>
      </c>
      <c r="E76" s="28">
        <v>0</v>
      </c>
      <c r="F76" s="28">
        <v>60</v>
      </c>
      <c r="G76" s="28">
        <v>1</v>
      </c>
      <c r="H76" s="28">
        <v>0</v>
      </c>
      <c r="I76" s="28">
        <v>25</v>
      </c>
      <c r="J76" s="46" t="s">
        <v>14</v>
      </c>
      <c r="K76" s="46" t="s">
        <v>13</v>
      </c>
      <c r="L76" s="47">
        <v>45730.445335648154</v>
      </c>
      <c r="M76" s="28">
        <v>0</v>
      </c>
      <c r="N76" s="28">
        <v>0</v>
      </c>
      <c r="O76" s="28">
        <v>0</v>
      </c>
      <c r="P76" s="40"/>
      <c r="Q76" s="40"/>
      <c r="R76" s="28"/>
      <c r="S76" s="28" t="b">
        <v>0</v>
      </c>
      <c r="T76" s="30">
        <v>2</v>
      </c>
      <c r="U76" s="49">
        <v>3</v>
      </c>
      <c r="V76" s="30">
        <v>3</v>
      </c>
      <c r="W76" s="30">
        <v>0</v>
      </c>
      <c r="X76" s="28">
        <v>1000</v>
      </c>
      <c r="Y76" s="40"/>
      <c r="Z76" s="28">
        <v>10</v>
      </c>
      <c r="AA76" s="40"/>
      <c r="AB76" s="50">
        <v>50</v>
      </c>
      <c r="AC76" s="40"/>
      <c r="AD76" s="40"/>
      <c r="AE76" s="40"/>
      <c r="AF76" s="28">
        <v>2000</v>
      </c>
      <c r="AG76" s="28">
        <v>2</v>
      </c>
      <c r="AH76" s="28">
        <v>3.01</v>
      </c>
      <c r="AI76" s="28">
        <v>368</v>
      </c>
      <c r="AJ76" s="28">
        <v>0</v>
      </c>
      <c r="AK76" s="28">
        <v>49</v>
      </c>
      <c r="AL76" s="40"/>
      <c r="AM76" s="28" t="s">
        <v>2</v>
      </c>
      <c r="AN76" s="40"/>
      <c r="AO76" s="28">
        <v>50</v>
      </c>
      <c r="AP76" s="40"/>
      <c r="AQ76" s="40"/>
      <c r="AR76" s="40"/>
      <c r="AS76" s="40"/>
      <c r="AT76" s="40"/>
      <c r="AU76" s="40"/>
      <c r="AV76" s="40"/>
      <c r="AW76" s="28" t="b">
        <v>0</v>
      </c>
      <c r="AX76" s="40"/>
      <c r="AY76" s="40"/>
      <c r="AZ76" s="28"/>
      <c r="BA76" s="40"/>
      <c r="BB76" s="31"/>
      <c r="BC76" s="32">
        <v>105</v>
      </c>
      <c r="BD76" s="33"/>
      <c r="BE76" s="31"/>
      <c r="BF76" s="33">
        <v>1</v>
      </c>
      <c r="BG76" s="32">
        <v>0</v>
      </c>
      <c r="BH76" s="32">
        <v>0</v>
      </c>
      <c r="BI76" s="32">
        <v>0</v>
      </c>
      <c r="BJ76" s="32">
        <v>0.55000000000000004</v>
      </c>
      <c r="BK76" s="32">
        <v>5.5</v>
      </c>
      <c r="BL76" s="33">
        <v>6</v>
      </c>
      <c r="BM76" s="33" t="s">
        <v>1</v>
      </c>
      <c r="BN76" s="34">
        <f t="shared" si="17"/>
        <v>60</v>
      </c>
      <c r="BO76" s="35">
        <f t="shared" si="18"/>
        <v>3</v>
      </c>
      <c r="BP76" s="34">
        <v>250</v>
      </c>
      <c r="BQ76" s="36"/>
      <c r="BR76" s="43"/>
      <c r="BS76" s="43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9"/>
      <c r="CF76" s="44" t="s">
        <v>12</v>
      </c>
      <c r="CG76" s="40">
        <v>0</v>
      </c>
      <c r="CI76" s="40">
        <f t="shared" si="19"/>
        <v>2.68</v>
      </c>
      <c r="CJ76" s="40">
        <v>0</v>
      </c>
      <c r="CR76" s="40">
        <v>0</v>
      </c>
      <c r="CS76" s="40">
        <v>0</v>
      </c>
      <c r="CT76" s="67">
        <v>0</v>
      </c>
      <c r="CU76" s="41">
        <v>1</v>
      </c>
      <c r="CV76" s="67">
        <v>0</v>
      </c>
      <c r="CW76" s="67">
        <v>0</v>
      </c>
      <c r="CX76" s="67">
        <v>0</v>
      </c>
      <c r="CY76" s="67">
        <v>0</v>
      </c>
      <c r="CZ76" s="67">
        <v>0</v>
      </c>
      <c r="DA76" s="67">
        <v>0</v>
      </c>
      <c r="DB76" s="67">
        <v>0</v>
      </c>
      <c r="DC76" s="15">
        <f t="shared" si="20"/>
        <v>1</v>
      </c>
      <c r="DD76" s="42">
        <v>2</v>
      </c>
      <c r="DI76" s="40" t="s">
        <v>0</v>
      </c>
    </row>
    <row r="77" spans="1:113" s="29" customFormat="1" ht="15" customHeight="1" thickBot="1" x14ac:dyDescent="0.3">
      <c r="A77" s="28">
        <v>319128</v>
      </c>
      <c r="B77" s="28" t="s">
        <v>6</v>
      </c>
      <c r="C77" s="48" t="s">
        <v>11</v>
      </c>
      <c r="D77" s="28">
        <v>16</v>
      </c>
      <c r="E77" s="28">
        <v>0</v>
      </c>
      <c r="F77" s="28">
        <v>16</v>
      </c>
      <c r="G77" s="28">
        <v>256</v>
      </c>
      <c r="H77" s="28">
        <v>0</v>
      </c>
      <c r="I77" s="28">
        <v>37</v>
      </c>
      <c r="J77" s="46" t="s">
        <v>10</v>
      </c>
      <c r="K77" s="46" t="s">
        <v>9</v>
      </c>
      <c r="L77" s="47">
        <v>45729.868009259262</v>
      </c>
      <c r="M77" s="28">
        <v>0</v>
      </c>
      <c r="N77" s="28">
        <v>0</v>
      </c>
      <c r="O77" s="28">
        <v>0</v>
      </c>
      <c r="P77" s="40"/>
      <c r="Q77" s="40"/>
      <c r="R77" s="28"/>
      <c r="S77" s="28" t="b">
        <v>0</v>
      </c>
      <c r="T77" s="30">
        <v>0.01</v>
      </c>
      <c r="U77" s="49">
        <v>4.5999999999999996</v>
      </c>
      <c r="V77" s="30">
        <v>0.01</v>
      </c>
      <c r="W77" s="30">
        <v>0</v>
      </c>
      <c r="X77" s="28">
        <v>1000</v>
      </c>
      <c r="Y77" s="40"/>
      <c r="Z77" s="28">
        <v>10</v>
      </c>
      <c r="AA77" s="40"/>
      <c r="AB77" s="50">
        <v>75</v>
      </c>
      <c r="AC77" s="40"/>
      <c r="AD77" s="28">
        <v>10</v>
      </c>
      <c r="AE77" s="40"/>
      <c r="AF77" s="28">
        <v>2000</v>
      </c>
      <c r="AG77" s="28">
        <v>2</v>
      </c>
      <c r="AH77" s="28">
        <v>4.71</v>
      </c>
      <c r="AI77" s="28">
        <v>355</v>
      </c>
      <c r="AJ77" s="28">
        <v>0</v>
      </c>
      <c r="AK77" s="28">
        <v>118</v>
      </c>
      <c r="AL77" s="40"/>
      <c r="AM77" s="28" t="s">
        <v>2</v>
      </c>
      <c r="AN77" s="40"/>
      <c r="AO77" s="28">
        <v>74</v>
      </c>
      <c r="AP77" s="40"/>
      <c r="AQ77" s="40"/>
      <c r="AR77" s="40"/>
      <c r="AS77" s="40"/>
      <c r="AT77" s="40"/>
      <c r="AU77" s="40"/>
      <c r="AV77" s="40"/>
      <c r="AW77" s="28" t="b">
        <v>0</v>
      </c>
      <c r="AX77" s="40"/>
      <c r="AY77" s="40"/>
      <c r="AZ77" s="28"/>
      <c r="BA77" s="40"/>
      <c r="BB77" s="31"/>
      <c r="BC77" s="32">
        <v>106</v>
      </c>
      <c r="BD77" s="33"/>
      <c r="BE77" s="31"/>
      <c r="BF77" s="33">
        <v>0.55000000000000004</v>
      </c>
      <c r="BG77" s="32">
        <v>0</v>
      </c>
      <c r="BH77" s="32">
        <v>0</v>
      </c>
      <c r="BI77" s="32">
        <v>0</v>
      </c>
      <c r="BJ77" s="32">
        <v>0.55000000000000004</v>
      </c>
      <c r="BK77" s="32">
        <v>5.5</v>
      </c>
      <c r="BL77" s="33">
        <v>6</v>
      </c>
      <c r="BM77" s="33" t="s">
        <v>1</v>
      </c>
      <c r="BN77" s="34">
        <f t="shared" si="17"/>
        <v>16</v>
      </c>
      <c r="BO77" s="35">
        <f t="shared" si="18"/>
        <v>4.5999999999999996</v>
      </c>
      <c r="BP77" s="34">
        <v>250</v>
      </c>
      <c r="BQ77" s="36"/>
      <c r="BR77" s="43"/>
      <c r="BS77" s="43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9"/>
      <c r="CF77" s="44" t="s">
        <v>16</v>
      </c>
      <c r="CI77" s="40">
        <f t="shared" si="19"/>
        <v>2.68</v>
      </c>
      <c r="CJ77" s="40">
        <v>0</v>
      </c>
      <c r="CR77" s="40">
        <v>0</v>
      </c>
      <c r="CS77" s="40">
        <v>0</v>
      </c>
      <c r="CT77" s="67">
        <v>0</v>
      </c>
      <c r="CU77" s="45">
        <v>0</v>
      </c>
      <c r="CV77" s="67">
        <v>0</v>
      </c>
      <c r="CW77" s="67">
        <v>0</v>
      </c>
      <c r="CX77" s="67">
        <v>0</v>
      </c>
      <c r="CY77" s="67">
        <v>0</v>
      </c>
      <c r="CZ77" s="67">
        <v>0</v>
      </c>
      <c r="DA77" s="67">
        <v>0</v>
      </c>
      <c r="DB77" s="67">
        <v>0</v>
      </c>
      <c r="DC77" s="15">
        <f t="shared" si="20"/>
        <v>0</v>
      </c>
      <c r="DD77" s="42">
        <v>0</v>
      </c>
      <c r="DI77" s="40" t="s">
        <v>0</v>
      </c>
    </row>
    <row r="78" spans="1:113" s="29" customFormat="1" ht="15" customHeight="1" thickBot="1" x14ac:dyDescent="0.3">
      <c r="A78" s="28">
        <v>319136</v>
      </c>
      <c r="B78" s="28" t="s">
        <v>6</v>
      </c>
      <c r="C78" s="48" t="s">
        <v>5</v>
      </c>
      <c r="D78" s="28">
        <v>35</v>
      </c>
      <c r="E78" s="28">
        <v>0</v>
      </c>
      <c r="F78" s="28">
        <v>35</v>
      </c>
      <c r="G78" s="28">
        <v>4</v>
      </c>
      <c r="H78" s="28">
        <v>0</v>
      </c>
      <c r="I78" s="28">
        <v>35</v>
      </c>
      <c r="J78" s="46" t="s">
        <v>8</v>
      </c>
      <c r="K78" s="46" t="s">
        <v>7</v>
      </c>
      <c r="L78" s="47">
        <v>45730.679942129631</v>
      </c>
      <c r="M78" s="28">
        <v>0</v>
      </c>
      <c r="N78" s="28">
        <v>0</v>
      </c>
      <c r="O78" s="28">
        <v>0</v>
      </c>
      <c r="P78" s="40"/>
      <c r="Q78" s="40"/>
      <c r="R78" s="28"/>
      <c r="S78" s="28" t="b">
        <v>0</v>
      </c>
      <c r="T78" s="30">
        <v>0.01</v>
      </c>
      <c r="U78" s="49">
        <v>7.5</v>
      </c>
      <c r="V78" s="30">
        <v>0.01</v>
      </c>
      <c r="W78" s="30">
        <v>0</v>
      </c>
      <c r="X78" s="28">
        <v>1000</v>
      </c>
      <c r="Y78" s="40"/>
      <c r="Z78" s="28">
        <v>10</v>
      </c>
      <c r="AA78" s="40"/>
      <c r="AB78" s="50">
        <v>70</v>
      </c>
      <c r="AC78" s="40"/>
      <c r="AD78" s="28">
        <v>10</v>
      </c>
      <c r="AE78" s="40"/>
      <c r="AF78" s="28">
        <v>2000</v>
      </c>
      <c r="AG78" s="28">
        <v>2</v>
      </c>
      <c r="AH78" s="28">
        <v>7.66</v>
      </c>
      <c r="AI78" s="28">
        <v>656</v>
      </c>
      <c r="AJ78" s="28">
        <v>0</v>
      </c>
      <c r="AK78" s="28">
        <v>333</v>
      </c>
      <c r="AL78" s="40"/>
      <c r="AM78" s="28" t="s">
        <v>2</v>
      </c>
      <c r="AN78" s="40"/>
      <c r="AO78" s="28">
        <v>70</v>
      </c>
      <c r="AP78" s="40"/>
      <c r="AQ78" s="40"/>
      <c r="AR78" s="40"/>
      <c r="AS78" s="40"/>
      <c r="AT78" s="40"/>
      <c r="AU78" s="40"/>
      <c r="AV78" s="40"/>
      <c r="AW78" s="28" t="b">
        <v>0</v>
      </c>
      <c r="AX78" s="40"/>
      <c r="AY78" s="40"/>
      <c r="AZ78" s="28"/>
      <c r="BA78" s="40"/>
      <c r="BB78" s="31"/>
      <c r="BC78" s="32">
        <v>107</v>
      </c>
      <c r="BD78" s="33"/>
      <c r="BE78" s="31"/>
      <c r="BF78" s="33">
        <v>1.6</v>
      </c>
      <c r="BG78" s="32">
        <v>0.9</v>
      </c>
      <c r="BH78" s="32">
        <v>0</v>
      </c>
      <c r="BI78" s="32">
        <v>0</v>
      </c>
      <c r="BJ78" s="32">
        <v>0.9</v>
      </c>
      <c r="BK78" s="32">
        <v>5.5</v>
      </c>
      <c r="BL78" s="33">
        <v>6</v>
      </c>
      <c r="BM78" s="33" t="s">
        <v>1</v>
      </c>
      <c r="BN78" s="34">
        <f t="shared" si="17"/>
        <v>35</v>
      </c>
      <c r="BO78" s="35">
        <f t="shared" si="18"/>
        <v>7.5</v>
      </c>
      <c r="BP78" s="34">
        <v>300</v>
      </c>
      <c r="BQ78" s="36"/>
      <c r="BR78" s="43"/>
      <c r="BS78" s="43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9"/>
      <c r="CF78" s="44" t="s">
        <v>16</v>
      </c>
      <c r="CI78" s="40">
        <f t="shared" si="19"/>
        <v>3.81</v>
      </c>
      <c r="CJ78" s="40">
        <v>0</v>
      </c>
      <c r="CR78" s="40">
        <v>0</v>
      </c>
      <c r="CS78" s="40">
        <v>0</v>
      </c>
      <c r="CT78" s="67">
        <v>0</v>
      </c>
      <c r="CU78" s="45">
        <v>0</v>
      </c>
      <c r="CV78" s="67">
        <v>0</v>
      </c>
      <c r="CW78" s="67">
        <v>0</v>
      </c>
      <c r="CX78" s="67">
        <v>0</v>
      </c>
      <c r="CY78" s="67">
        <v>0</v>
      </c>
      <c r="CZ78" s="67">
        <v>0</v>
      </c>
      <c r="DA78" s="67">
        <v>0</v>
      </c>
      <c r="DB78" s="67">
        <v>0</v>
      </c>
      <c r="DC78" s="15">
        <f t="shared" si="20"/>
        <v>0</v>
      </c>
      <c r="DD78" s="42">
        <v>0</v>
      </c>
      <c r="DI78" s="40" t="s">
        <v>0</v>
      </c>
    </row>
    <row r="79" spans="1:113" s="29" customFormat="1" ht="15" customHeight="1" thickBot="1" x14ac:dyDescent="0.3">
      <c r="A79" s="28">
        <v>319188</v>
      </c>
      <c r="B79" s="28" t="s">
        <v>6</v>
      </c>
      <c r="C79" s="48" t="s">
        <v>5</v>
      </c>
      <c r="D79" s="28">
        <v>35</v>
      </c>
      <c r="E79" s="28">
        <v>0</v>
      </c>
      <c r="F79" s="28">
        <v>35</v>
      </c>
      <c r="G79" s="28">
        <v>56</v>
      </c>
      <c r="H79" s="28">
        <v>0</v>
      </c>
      <c r="I79" s="28">
        <v>35</v>
      </c>
      <c r="J79" s="46" t="s">
        <v>4</v>
      </c>
      <c r="K79" s="46" t="s">
        <v>3</v>
      </c>
      <c r="L79" s="47">
        <v>45730.811863425923</v>
      </c>
      <c r="M79" s="28">
        <v>0</v>
      </c>
      <c r="N79" s="28">
        <v>0</v>
      </c>
      <c r="O79" s="28">
        <v>0</v>
      </c>
      <c r="P79" s="40"/>
      <c r="Q79" s="40"/>
      <c r="R79" s="28"/>
      <c r="S79" s="28" t="b">
        <v>0</v>
      </c>
      <c r="T79" s="30">
        <v>0.01</v>
      </c>
      <c r="U79" s="49">
        <v>7.5</v>
      </c>
      <c r="V79" s="30">
        <v>0.01</v>
      </c>
      <c r="W79" s="30">
        <v>0</v>
      </c>
      <c r="X79" s="28">
        <v>1000</v>
      </c>
      <c r="Y79" s="40"/>
      <c r="Z79" s="28">
        <v>10</v>
      </c>
      <c r="AA79" s="40"/>
      <c r="AB79" s="50">
        <v>70</v>
      </c>
      <c r="AC79" s="40"/>
      <c r="AD79" s="28">
        <v>10</v>
      </c>
      <c r="AE79" s="40"/>
      <c r="AF79" s="28">
        <v>2000</v>
      </c>
      <c r="AG79" s="28">
        <v>2</v>
      </c>
      <c r="AH79" s="28">
        <v>7.65</v>
      </c>
      <c r="AI79" s="28">
        <v>639</v>
      </c>
      <c r="AJ79" s="28">
        <v>0</v>
      </c>
      <c r="AK79" s="28">
        <v>324</v>
      </c>
      <c r="AL79" s="40"/>
      <c r="AM79" s="28" t="s">
        <v>2</v>
      </c>
      <c r="AN79" s="40"/>
      <c r="AO79" s="28">
        <v>70</v>
      </c>
      <c r="AP79" s="40"/>
      <c r="AQ79" s="40"/>
      <c r="AR79" s="40"/>
      <c r="AS79" s="40"/>
      <c r="AT79" s="40"/>
      <c r="AU79" s="40"/>
      <c r="AV79" s="40"/>
      <c r="AW79" s="28" t="b">
        <v>0</v>
      </c>
      <c r="AX79" s="40"/>
      <c r="AY79" s="40"/>
      <c r="AZ79" s="28"/>
      <c r="BA79" s="40"/>
      <c r="BB79" s="31"/>
      <c r="BC79" s="32">
        <v>108</v>
      </c>
      <c r="BD79" s="33"/>
      <c r="BE79" s="31"/>
      <c r="BF79" s="33">
        <v>1.6</v>
      </c>
      <c r="BG79" s="32">
        <v>0.9</v>
      </c>
      <c r="BH79" s="32">
        <v>0</v>
      </c>
      <c r="BI79" s="32">
        <v>0</v>
      </c>
      <c r="BJ79" s="32">
        <v>0.9</v>
      </c>
      <c r="BK79" s="32">
        <v>5.5</v>
      </c>
      <c r="BL79" s="33">
        <v>6</v>
      </c>
      <c r="BM79" s="33" t="s">
        <v>1</v>
      </c>
      <c r="BN79" s="34">
        <f t="shared" si="17"/>
        <v>35</v>
      </c>
      <c r="BO79" s="35">
        <f t="shared" si="18"/>
        <v>7.5</v>
      </c>
      <c r="BP79" s="34">
        <v>300</v>
      </c>
      <c r="BQ79" s="36"/>
      <c r="BR79" s="43"/>
      <c r="BS79" s="43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9"/>
      <c r="CF79" s="44" t="s">
        <v>16</v>
      </c>
      <c r="CI79" s="40">
        <f t="shared" si="19"/>
        <v>3.81</v>
      </c>
      <c r="CJ79" s="40">
        <v>0</v>
      </c>
      <c r="CR79" s="40">
        <v>0</v>
      </c>
      <c r="CS79" s="40">
        <v>0</v>
      </c>
      <c r="CT79" s="67">
        <v>0</v>
      </c>
      <c r="CU79" s="45">
        <v>0</v>
      </c>
      <c r="CV79" s="67">
        <v>0</v>
      </c>
      <c r="CW79" s="67">
        <v>0</v>
      </c>
      <c r="CX79" s="67">
        <v>0</v>
      </c>
      <c r="CY79" s="67">
        <v>0</v>
      </c>
      <c r="CZ79" s="67">
        <v>0</v>
      </c>
      <c r="DA79" s="67">
        <v>0</v>
      </c>
      <c r="DB79" s="67">
        <v>0</v>
      </c>
      <c r="DC79" s="15">
        <f t="shared" si="20"/>
        <v>0</v>
      </c>
      <c r="DD79" s="42">
        <v>0</v>
      </c>
      <c r="DI79" s="40" t="s">
        <v>0</v>
      </c>
    </row>
    <row r="80" spans="1:113" s="51" customFormat="1" ht="15.75" thickBot="1" x14ac:dyDescent="0.3">
      <c r="A80" s="51">
        <v>522717</v>
      </c>
      <c r="B80" s="51" t="s">
        <v>6</v>
      </c>
      <c r="C80" s="53" t="s">
        <v>15</v>
      </c>
      <c r="D80" s="51">
        <v>60</v>
      </c>
      <c r="E80" s="51">
        <v>0</v>
      </c>
      <c r="F80" s="51">
        <v>60</v>
      </c>
      <c r="G80" s="51">
        <v>3189</v>
      </c>
      <c r="H80" s="51">
        <v>0</v>
      </c>
      <c r="I80" s="51">
        <v>175</v>
      </c>
      <c r="J80" s="54" t="s">
        <v>275</v>
      </c>
      <c r="K80" s="54" t="s">
        <v>276</v>
      </c>
      <c r="L80" s="55">
        <v>45958.455729166701</v>
      </c>
      <c r="M80" s="51">
        <v>0</v>
      </c>
      <c r="N80" s="51">
        <v>0</v>
      </c>
      <c r="O80" s="51">
        <v>0</v>
      </c>
      <c r="S80" s="51" t="b">
        <v>0</v>
      </c>
      <c r="T80" s="51">
        <v>2</v>
      </c>
      <c r="U80" s="52">
        <v>4</v>
      </c>
      <c r="V80" s="51">
        <v>2</v>
      </c>
      <c r="W80" s="51">
        <v>0</v>
      </c>
      <c r="X80" s="51">
        <v>500</v>
      </c>
      <c r="Y80" s="51">
        <v>200</v>
      </c>
      <c r="Z80" s="51">
        <v>10</v>
      </c>
      <c r="AA80" s="51">
        <v>50</v>
      </c>
      <c r="AB80" s="52">
        <v>150</v>
      </c>
      <c r="AD80" s="51">
        <v>80</v>
      </c>
      <c r="AF80" s="51">
        <v>2000</v>
      </c>
      <c r="AG80" s="51">
        <v>2</v>
      </c>
      <c r="AH80" s="51">
        <v>4</v>
      </c>
      <c r="AI80" s="51">
        <v>245</v>
      </c>
      <c r="AJ80" s="51">
        <v>190</v>
      </c>
      <c r="AK80" s="51">
        <v>147</v>
      </c>
      <c r="AM80" s="51" t="s">
        <v>2</v>
      </c>
      <c r="AN80" s="51">
        <v>200</v>
      </c>
      <c r="AO80" s="51">
        <v>150</v>
      </c>
      <c r="AW80" s="51" t="b">
        <v>0</v>
      </c>
      <c r="BD80" s="51" t="s">
        <v>307</v>
      </c>
      <c r="BE80" s="244"/>
      <c r="BF80" s="51">
        <v>1</v>
      </c>
      <c r="BG80" s="51">
        <v>1</v>
      </c>
      <c r="BH80" s="51">
        <v>0</v>
      </c>
      <c r="BI80" s="51">
        <v>0</v>
      </c>
      <c r="BJ80" s="51">
        <v>0</v>
      </c>
      <c r="BM80" s="33" t="s">
        <v>1</v>
      </c>
      <c r="BN80" s="57">
        <f t="shared" si="17"/>
        <v>60</v>
      </c>
      <c r="BO80" s="35">
        <f t="shared" si="18"/>
        <v>4</v>
      </c>
      <c r="BP80" s="34">
        <v>380</v>
      </c>
      <c r="BQ80" s="73">
        <v>0</v>
      </c>
      <c r="BR80" s="73">
        <v>0</v>
      </c>
      <c r="BS80" s="73">
        <f t="shared" ref="BS80:BS86" si="21">(BQ80+BR80)/2</f>
        <v>0</v>
      </c>
      <c r="BT80" s="59"/>
      <c r="BU80" s="59"/>
      <c r="BV80" s="59"/>
      <c r="BW80" s="59"/>
      <c r="BX80" s="59"/>
      <c r="BY80" s="59"/>
      <c r="BZ80" s="59"/>
      <c r="CA80" s="59"/>
      <c r="CB80" s="59"/>
      <c r="CC80" s="59"/>
      <c r="CD80" s="59"/>
      <c r="CE80" s="60"/>
      <c r="CF80" s="44" t="s">
        <v>12</v>
      </c>
      <c r="CG80" s="51">
        <v>0</v>
      </c>
      <c r="CI80" s="51">
        <v>4.0599999999999996</v>
      </c>
      <c r="CR80" s="40">
        <v>0</v>
      </c>
      <c r="CS80" s="51">
        <v>0</v>
      </c>
      <c r="CT80" s="67">
        <v>0</v>
      </c>
      <c r="CU80" s="78">
        <v>1</v>
      </c>
      <c r="CV80" s="67">
        <v>0</v>
      </c>
      <c r="CW80" s="67">
        <v>0</v>
      </c>
      <c r="CX80" s="67">
        <v>0</v>
      </c>
      <c r="CY80" s="67">
        <v>0</v>
      </c>
      <c r="CZ80" s="67">
        <v>0</v>
      </c>
      <c r="DA80" s="67">
        <v>0</v>
      </c>
      <c r="DB80" s="67">
        <v>0</v>
      </c>
      <c r="DC80" s="51">
        <v>1</v>
      </c>
      <c r="DD80" s="51">
        <v>2</v>
      </c>
      <c r="DI80" s="40" t="s">
        <v>0</v>
      </c>
    </row>
    <row r="81" spans="1:113" s="51" customFormat="1" ht="15.75" thickBot="1" x14ac:dyDescent="0.3">
      <c r="A81" s="51">
        <v>522718</v>
      </c>
      <c r="B81" s="51" t="s">
        <v>6</v>
      </c>
      <c r="C81" s="53" t="s">
        <v>15</v>
      </c>
      <c r="D81" s="51">
        <v>60</v>
      </c>
      <c r="E81" s="51">
        <v>0</v>
      </c>
      <c r="F81" s="51">
        <v>60</v>
      </c>
      <c r="G81" s="51">
        <v>3190</v>
      </c>
      <c r="H81" s="51">
        <v>0</v>
      </c>
      <c r="I81" s="51">
        <v>175</v>
      </c>
      <c r="J81" s="54" t="s">
        <v>277</v>
      </c>
      <c r="K81" s="54" t="s">
        <v>278</v>
      </c>
      <c r="L81" s="55">
        <v>45958.456226851798</v>
      </c>
      <c r="M81" s="51">
        <v>0</v>
      </c>
      <c r="N81" s="51">
        <v>0</v>
      </c>
      <c r="O81" s="51">
        <v>0</v>
      </c>
      <c r="S81" s="51" t="b">
        <v>0</v>
      </c>
      <c r="T81" s="51">
        <v>2</v>
      </c>
      <c r="U81" s="52">
        <v>3.5</v>
      </c>
      <c r="V81" s="51">
        <v>2</v>
      </c>
      <c r="W81" s="51">
        <v>0</v>
      </c>
      <c r="X81" s="51">
        <v>500</v>
      </c>
      <c r="Y81" s="51">
        <v>200</v>
      </c>
      <c r="Z81" s="51">
        <v>10</v>
      </c>
      <c r="AA81" s="51">
        <v>50</v>
      </c>
      <c r="AB81" s="52">
        <v>150</v>
      </c>
      <c r="AD81" s="51">
        <v>80</v>
      </c>
      <c r="AF81" s="51">
        <v>2000</v>
      </c>
      <c r="AG81" s="51">
        <v>2</v>
      </c>
      <c r="AH81" s="51">
        <v>3.5</v>
      </c>
      <c r="AI81" s="51">
        <v>232</v>
      </c>
      <c r="AJ81" s="51">
        <v>207</v>
      </c>
      <c r="AK81" s="51">
        <v>121</v>
      </c>
      <c r="AM81" s="51" t="s">
        <v>2</v>
      </c>
      <c r="AN81" s="51">
        <v>200</v>
      </c>
      <c r="AO81" s="51">
        <v>150</v>
      </c>
      <c r="AW81" s="51" t="b">
        <v>0</v>
      </c>
      <c r="BD81" s="51" t="s">
        <v>307</v>
      </c>
      <c r="BE81" s="244"/>
      <c r="BF81" s="51">
        <v>1</v>
      </c>
      <c r="BG81" s="51">
        <v>1</v>
      </c>
      <c r="BH81" s="51">
        <v>0</v>
      </c>
      <c r="BI81" s="51">
        <v>0</v>
      </c>
      <c r="BJ81" s="51">
        <v>0</v>
      </c>
      <c r="BM81" s="33" t="s">
        <v>1</v>
      </c>
      <c r="BN81" s="57">
        <f t="shared" si="17"/>
        <v>60</v>
      </c>
      <c r="BO81" s="35">
        <f t="shared" si="18"/>
        <v>3.5</v>
      </c>
      <c r="BP81" s="34">
        <v>380</v>
      </c>
      <c r="BQ81" s="73">
        <v>0</v>
      </c>
      <c r="BR81" s="73">
        <v>0</v>
      </c>
      <c r="BS81" s="73">
        <f t="shared" si="21"/>
        <v>0</v>
      </c>
      <c r="BT81" s="59"/>
      <c r="BU81" s="59"/>
      <c r="BV81" s="59"/>
      <c r="BW81" s="59"/>
      <c r="BX81" s="59"/>
      <c r="BY81" s="59"/>
      <c r="BZ81" s="59"/>
      <c r="CA81" s="59"/>
      <c r="CB81" s="59"/>
      <c r="CC81" s="59"/>
      <c r="CD81" s="59"/>
      <c r="CE81" s="60"/>
      <c r="CF81" s="44" t="s">
        <v>12</v>
      </c>
      <c r="CG81" s="51">
        <v>0</v>
      </c>
      <c r="CI81" s="51">
        <v>4.0599999999999996</v>
      </c>
      <c r="CR81" s="40">
        <v>0</v>
      </c>
      <c r="CS81" s="51">
        <v>0</v>
      </c>
      <c r="CT81" s="67">
        <v>0</v>
      </c>
      <c r="CU81" s="78">
        <v>1</v>
      </c>
      <c r="CV81" s="67">
        <v>0</v>
      </c>
      <c r="CW81" s="67">
        <v>0</v>
      </c>
      <c r="CX81" s="67">
        <v>0</v>
      </c>
      <c r="CY81" s="67">
        <v>0</v>
      </c>
      <c r="CZ81" s="67">
        <v>0</v>
      </c>
      <c r="DA81" s="67">
        <v>0</v>
      </c>
      <c r="DB81" s="67">
        <v>0</v>
      </c>
      <c r="DC81" s="51">
        <v>1</v>
      </c>
      <c r="DD81" s="51">
        <v>2</v>
      </c>
      <c r="DI81" s="40" t="s">
        <v>0</v>
      </c>
    </row>
    <row r="82" spans="1:113" s="51" customFormat="1" ht="15.75" thickBot="1" x14ac:dyDescent="0.3">
      <c r="A82" s="51">
        <v>522719</v>
      </c>
      <c r="B82" s="51" t="s">
        <v>6</v>
      </c>
      <c r="C82" s="53" t="s">
        <v>15</v>
      </c>
      <c r="D82" s="51">
        <v>60</v>
      </c>
      <c r="E82" s="51">
        <v>0</v>
      </c>
      <c r="F82" s="51">
        <v>60</v>
      </c>
      <c r="G82" s="51">
        <v>3191</v>
      </c>
      <c r="H82" s="51">
        <v>0</v>
      </c>
      <c r="I82" s="51">
        <v>200</v>
      </c>
      <c r="J82" s="54" t="s">
        <v>279</v>
      </c>
      <c r="K82" s="54" t="s">
        <v>280</v>
      </c>
      <c r="L82" s="55">
        <v>45958.456562500003</v>
      </c>
      <c r="M82" s="51">
        <v>0</v>
      </c>
      <c r="N82" s="51">
        <v>0</v>
      </c>
      <c r="O82" s="51">
        <v>0</v>
      </c>
      <c r="S82" s="51" t="b">
        <v>0</v>
      </c>
      <c r="T82" s="51">
        <v>2</v>
      </c>
      <c r="U82" s="52">
        <v>3.5</v>
      </c>
      <c r="V82" s="51">
        <v>2</v>
      </c>
      <c r="W82" s="51">
        <v>0</v>
      </c>
      <c r="X82" s="51">
        <v>500</v>
      </c>
      <c r="Y82" s="51">
        <v>200</v>
      </c>
      <c r="Z82" s="51">
        <v>10</v>
      </c>
      <c r="AA82" s="51">
        <v>50</v>
      </c>
      <c r="AB82" s="52">
        <v>200</v>
      </c>
      <c r="AD82" s="51">
        <v>80</v>
      </c>
      <c r="AF82" s="51">
        <v>2000</v>
      </c>
      <c r="AG82" s="51">
        <v>2</v>
      </c>
      <c r="AH82" s="51">
        <v>3.5</v>
      </c>
      <c r="AI82" s="51">
        <v>232</v>
      </c>
      <c r="AJ82" s="51">
        <v>211</v>
      </c>
      <c r="AK82" s="51">
        <v>163</v>
      </c>
      <c r="AM82" s="51" t="s">
        <v>2</v>
      </c>
      <c r="AN82" s="51">
        <v>200</v>
      </c>
      <c r="AO82" s="51">
        <v>200</v>
      </c>
      <c r="AW82" s="51" t="b">
        <v>0</v>
      </c>
      <c r="BD82" s="51" t="s">
        <v>307</v>
      </c>
      <c r="BE82" s="244"/>
      <c r="BF82" s="51">
        <v>1</v>
      </c>
      <c r="BG82" s="51">
        <v>1</v>
      </c>
      <c r="BH82" s="51">
        <v>0</v>
      </c>
      <c r="BI82" s="51">
        <v>0</v>
      </c>
      <c r="BJ82" s="51">
        <v>0</v>
      </c>
      <c r="BM82" s="33" t="s">
        <v>1</v>
      </c>
      <c r="BN82" s="57">
        <f t="shared" si="17"/>
        <v>60</v>
      </c>
      <c r="BO82" s="35">
        <f t="shared" si="18"/>
        <v>3.5</v>
      </c>
      <c r="BP82" s="34">
        <v>380</v>
      </c>
      <c r="BQ82" s="73">
        <v>0</v>
      </c>
      <c r="BR82" s="73">
        <v>0</v>
      </c>
      <c r="BS82" s="73">
        <f t="shared" si="21"/>
        <v>0</v>
      </c>
      <c r="BT82" s="59"/>
      <c r="BU82" s="59"/>
      <c r="BV82" s="59"/>
      <c r="BW82" s="59"/>
      <c r="BX82" s="59"/>
      <c r="BY82" s="59"/>
      <c r="BZ82" s="59"/>
      <c r="CA82" s="59"/>
      <c r="CB82" s="59"/>
      <c r="CC82" s="59"/>
      <c r="CD82" s="59"/>
      <c r="CE82" s="60"/>
      <c r="CF82" s="44" t="s">
        <v>12</v>
      </c>
      <c r="CG82" s="51">
        <v>0</v>
      </c>
      <c r="CI82" s="51">
        <v>4.0599999999999996</v>
      </c>
      <c r="CR82" s="40">
        <v>0</v>
      </c>
      <c r="CS82" s="51">
        <v>0</v>
      </c>
      <c r="CT82" s="67">
        <v>0</v>
      </c>
      <c r="CU82" s="78">
        <v>1</v>
      </c>
      <c r="CV82" s="67">
        <v>0</v>
      </c>
      <c r="CW82" s="67">
        <v>0</v>
      </c>
      <c r="CX82" s="67">
        <v>0</v>
      </c>
      <c r="CY82" s="67">
        <v>0</v>
      </c>
      <c r="CZ82" s="67">
        <v>0</v>
      </c>
      <c r="DA82" s="67">
        <v>0</v>
      </c>
      <c r="DB82" s="67">
        <v>0</v>
      </c>
      <c r="DC82" s="51">
        <v>1</v>
      </c>
      <c r="DD82" s="51">
        <v>2</v>
      </c>
      <c r="DI82" s="40" t="s">
        <v>0</v>
      </c>
    </row>
    <row r="83" spans="1:113" s="51" customFormat="1" ht="15.75" thickBot="1" x14ac:dyDescent="0.3">
      <c r="A83" s="51">
        <v>522720</v>
      </c>
      <c r="B83" s="51" t="s">
        <v>6</v>
      </c>
      <c r="C83" s="53" t="s">
        <v>15</v>
      </c>
      <c r="D83" s="51">
        <v>60</v>
      </c>
      <c r="E83" s="51">
        <v>0</v>
      </c>
      <c r="F83" s="51">
        <v>60</v>
      </c>
      <c r="G83" s="51">
        <v>3192</v>
      </c>
      <c r="H83" s="51">
        <v>0</v>
      </c>
      <c r="I83" s="51">
        <v>200</v>
      </c>
      <c r="J83" s="54" t="s">
        <v>281</v>
      </c>
      <c r="K83" s="54" t="s">
        <v>282</v>
      </c>
      <c r="L83" s="55">
        <v>45958.456793981502</v>
      </c>
      <c r="M83" s="51">
        <v>0</v>
      </c>
      <c r="N83" s="51">
        <v>0</v>
      </c>
      <c r="O83" s="51">
        <v>0</v>
      </c>
      <c r="S83" s="51" t="b">
        <v>0</v>
      </c>
      <c r="T83" s="51">
        <v>2</v>
      </c>
      <c r="U83" s="52">
        <v>3</v>
      </c>
      <c r="V83" s="51">
        <v>2</v>
      </c>
      <c r="W83" s="51">
        <v>0</v>
      </c>
      <c r="X83" s="51">
        <v>500</v>
      </c>
      <c r="Y83" s="51">
        <v>200</v>
      </c>
      <c r="Z83" s="51">
        <v>10</v>
      </c>
      <c r="AA83" s="51">
        <v>50</v>
      </c>
      <c r="AB83" s="52">
        <v>200</v>
      </c>
      <c r="AD83" s="51">
        <v>80</v>
      </c>
      <c r="AF83" s="51">
        <v>2000</v>
      </c>
      <c r="AG83" s="51">
        <v>2</v>
      </c>
      <c r="AH83" s="51">
        <v>3</v>
      </c>
      <c r="AI83" s="51">
        <v>228</v>
      </c>
      <c r="AJ83" s="51">
        <v>207</v>
      </c>
      <c r="AK83" s="51">
        <v>140</v>
      </c>
      <c r="AM83" s="51" t="s">
        <v>2</v>
      </c>
      <c r="AN83" s="51">
        <v>200</v>
      </c>
      <c r="AO83" s="51">
        <v>200</v>
      </c>
      <c r="AW83" s="51" t="b">
        <v>0</v>
      </c>
      <c r="BD83" s="51" t="s">
        <v>307</v>
      </c>
      <c r="BE83" s="244"/>
      <c r="BF83" s="51">
        <v>1</v>
      </c>
      <c r="BG83" s="51">
        <v>1</v>
      </c>
      <c r="BH83" s="51">
        <v>0</v>
      </c>
      <c r="BI83" s="51">
        <v>0</v>
      </c>
      <c r="BJ83" s="51">
        <v>0</v>
      </c>
      <c r="BM83" s="33" t="s">
        <v>1</v>
      </c>
      <c r="BN83" s="57">
        <f t="shared" si="17"/>
        <v>60</v>
      </c>
      <c r="BO83" s="35">
        <f t="shared" si="18"/>
        <v>3</v>
      </c>
      <c r="BP83" s="34">
        <v>380</v>
      </c>
      <c r="BQ83" s="73">
        <v>0</v>
      </c>
      <c r="BR83" s="73">
        <v>0</v>
      </c>
      <c r="BS83" s="73">
        <f t="shared" si="21"/>
        <v>0</v>
      </c>
      <c r="BT83" s="59"/>
      <c r="BU83" s="59"/>
      <c r="BV83" s="59"/>
      <c r="BW83" s="59"/>
      <c r="BX83" s="59"/>
      <c r="BY83" s="59"/>
      <c r="BZ83" s="59"/>
      <c r="CA83" s="59"/>
      <c r="CB83" s="59"/>
      <c r="CC83" s="59"/>
      <c r="CD83" s="59"/>
      <c r="CE83" s="60"/>
      <c r="CF83" s="44" t="s">
        <v>12</v>
      </c>
      <c r="CG83" s="51">
        <v>0</v>
      </c>
      <c r="CI83" s="51">
        <v>4.0599999999999996</v>
      </c>
      <c r="CR83" s="40">
        <v>0</v>
      </c>
      <c r="CS83" s="51">
        <v>0</v>
      </c>
      <c r="CT83" s="67">
        <v>0</v>
      </c>
      <c r="CU83" s="78">
        <v>1</v>
      </c>
      <c r="CV83" s="67">
        <v>0</v>
      </c>
      <c r="CW83" s="67">
        <v>0</v>
      </c>
      <c r="CX83" s="67">
        <v>0</v>
      </c>
      <c r="CY83" s="67">
        <v>0</v>
      </c>
      <c r="CZ83" s="67">
        <v>0</v>
      </c>
      <c r="DA83" s="67">
        <v>0</v>
      </c>
      <c r="DB83" s="67">
        <v>0</v>
      </c>
      <c r="DC83" s="51">
        <v>1</v>
      </c>
      <c r="DD83" s="51">
        <v>2</v>
      </c>
      <c r="DI83" s="40" t="s">
        <v>0</v>
      </c>
    </row>
    <row r="84" spans="1:113" s="51" customFormat="1" ht="15.75" thickBot="1" x14ac:dyDescent="0.3">
      <c r="A84" s="51">
        <v>522721</v>
      </c>
      <c r="B84" s="51" t="s">
        <v>6</v>
      </c>
      <c r="C84" s="53" t="s">
        <v>15</v>
      </c>
      <c r="D84" s="51">
        <v>60</v>
      </c>
      <c r="E84" s="51">
        <v>0</v>
      </c>
      <c r="F84" s="51">
        <v>60</v>
      </c>
      <c r="G84" s="51">
        <v>3193</v>
      </c>
      <c r="H84" s="51">
        <v>0</v>
      </c>
      <c r="I84" s="51">
        <v>200</v>
      </c>
      <c r="J84" s="54" t="s">
        <v>283</v>
      </c>
      <c r="K84" s="54" t="s">
        <v>284</v>
      </c>
      <c r="L84" s="55">
        <v>45958.459074074097</v>
      </c>
      <c r="M84" s="51">
        <v>0</v>
      </c>
      <c r="N84" s="51">
        <v>0</v>
      </c>
      <c r="O84" s="51">
        <v>0</v>
      </c>
      <c r="S84" s="51" t="b">
        <v>0</v>
      </c>
      <c r="T84" s="51">
        <v>2</v>
      </c>
      <c r="U84" s="52">
        <v>3</v>
      </c>
      <c r="V84" s="51">
        <v>2</v>
      </c>
      <c r="W84" s="51">
        <v>0</v>
      </c>
      <c r="X84" s="51">
        <v>500</v>
      </c>
      <c r="Y84" s="51">
        <v>200</v>
      </c>
      <c r="Z84" s="51">
        <v>10</v>
      </c>
      <c r="AA84" s="51">
        <v>50</v>
      </c>
      <c r="AB84" s="52">
        <v>200</v>
      </c>
      <c r="AD84" s="51">
        <v>80</v>
      </c>
      <c r="AF84" s="51">
        <v>2000</v>
      </c>
      <c r="AG84" s="51">
        <v>2</v>
      </c>
      <c r="AH84" s="51">
        <v>3</v>
      </c>
      <c r="AI84" s="51">
        <v>283</v>
      </c>
      <c r="AJ84" s="51">
        <v>262</v>
      </c>
      <c r="AK84" s="51">
        <v>171</v>
      </c>
      <c r="AM84" s="51" t="s">
        <v>2</v>
      </c>
      <c r="AN84" s="51">
        <v>200</v>
      </c>
      <c r="AO84" s="51">
        <v>200</v>
      </c>
      <c r="AW84" s="51" t="b">
        <v>0</v>
      </c>
      <c r="BD84" s="51" t="s">
        <v>308</v>
      </c>
      <c r="BE84" s="244"/>
      <c r="BF84" s="51">
        <v>1</v>
      </c>
      <c r="BG84" s="51">
        <v>1</v>
      </c>
      <c r="BH84" s="51">
        <v>1</v>
      </c>
      <c r="BI84" s="51">
        <v>0</v>
      </c>
      <c r="BJ84" s="51">
        <v>0</v>
      </c>
      <c r="BM84" s="33" t="s">
        <v>1</v>
      </c>
      <c r="BN84" s="57">
        <f t="shared" si="17"/>
        <v>60</v>
      </c>
      <c r="BO84" s="35">
        <f t="shared" si="18"/>
        <v>3</v>
      </c>
      <c r="BP84" s="34">
        <v>380</v>
      </c>
      <c r="BQ84" s="73">
        <v>0</v>
      </c>
      <c r="BR84" s="73">
        <v>0</v>
      </c>
      <c r="BS84" s="73">
        <f t="shared" si="21"/>
        <v>0</v>
      </c>
      <c r="BT84" s="59"/>
      <c r="BU84" s="59"/>
      <c r="BV84" s="59"/>
      <c r="BW84" s="59"/>
      <c r="BX84" s="59"/>
      <c r="BY84" s="59"/>
      <c r="BZ84" s="59"/>
      <c r="CA84" s="59"/>
      <c r="CB84" s="59"/>
      <c r="CC84" s="59"/>
      <c r="CD84" s="59"/>
      <c r="CE84" s="60"/>
      <c r="CF84" s="44" t="s">
        <v>12</v>
      </c>
      <c r="CG84" s="51">
        <v>0</v>
      </c>
      <c r="CI84" s="51">
        <v>4.0599999999999996</v>
      </c>
      <c r="CR84" s="40">
        <v>0</v>
      </c>
      <c r="CS84" s="51">
        <v>0</v>
      </c>
      <c r="CT84" s="67">
        <v>0</v>
      </c>
      <c r="CU84" s="78">
        <v>1</v>
      </c>
      <c r="CV84" s="67">
        <v>0</v>
      </c>
      <c r="CW84" s="67">
        <v>0</v>
      </c>
      <c r="CX84" s="67">
        <v>0</v>
      </c>
      <c r="CY84" s="67">
        <v>0</v>
      </c>
      <c r="CZ84" s="67">
        <v>0</v>
      </c>
      <c r="DA84" s="67">
        <v>0</v>
      </c>
      <c r="DB84" s="67">
        <v>0</v>
      </c>
      <c r="DC84" s="51">
        <v>1</v>
      </c>
      <c r="DD84" s="51">
        <v>2</v>
      </c>
      <c r="DI84" s="40" t="s">
        <v>0</v>
      </c>
    </row>
    <row r="85" spans="1:113" s="51" customFormat="1" ht="15.75" thickBot="1" x14ac:dyDescent="0.3">
      <c r="A85" s="51">
        <v>522722</v>
      </c>
      <c r="B85" s="51" t="s">
        <v>6</v>
      </c>
      <c r="C85" s="53" t="s">
        <v>15</v>
      </c>
      <c r="D85" s="51">
        <v>60</v>
      </c>
      <c r="E85" s="51">
        <v>0</v>
      </c>
      <c r="F85" s="51">
        <v>60</v>
      </c>
      <c r="G85" s="51">
        <v>3194</v>
      </c>
      <c r="H85" s="51">
        <v>0</v>
      </c>
      <c r="I85" s="51">
        <v>225</v>
      </c>
      <c r="J85" s="54" t="s">
        <v>285</v>
      </c>
      <c r="K85" s="54" t="s">
        <v>286</v>
      </c>
      <c r="L85" s="55">
        <v>45958.459502314799</v>
      </c>
      <c r="M85" s="51">
        <v>0</v>
      </c>
      <c r="N85" s="51">
        <v>0</v>
      </c>
      <c r="O85" s="51">
        <v>0</v>
      </c>
      <c r="S85" s="51" t="b">
        <v>0</v>
      </c>
      <c r="T85" s="51">
        <v>2</v>
      </c>
      <c r="U85" s="52">
        <v>2.7999999523162802</v>
      </c>
      <c r="V85" s="51">
        <v>2</v>
      </c>
      <c r="W85" s="51">
        <v>0</v>
      </c>
      <c r="X85" s="51">
        <v>500</v>
      </c>
      <c r="Y85" s="51">
        <v>200</v>
      </c>
      <c r="Z85" s="51">
        <v>10</v>
      </c>
      <c r="AA85" s="51">
        <v>50</v>
      </c>
      <c r="AB85" s="52">
        <v>250</v>
      </c>
      <c r="AD85" s="51">
        <v>80</v>
      </c>
      <c r="AF85" s="51">
        <v>2000</v>
      </c>
      <c r="AG85" s="51">
        <v>2</v>
      </c>
      <c r="AH85" s="51">
        <v>2.7999999523162802</v>
      </c>
      <c r="AI85" s="51">
        <v>275</v>
      </c>
      <c r="AJ85" s="51">
        <v>262</v>
      </c>
      <c r="AK85" s="51">
        <v>195</v>
      </c>
      <c r="AM85" s="51" t="s">
        <v>2</v>
      </c>
      <c r="AN85" s="51">
        <v>200</v>
      </c>
      <c r="AO85" s="51">
        <v>250</v>
      </c>
      <c r="AW85" s="51" t="b">
        <v>0</v>
      </c>
      <c r="BD85" s="51" t="s">
        <v>308</v>
      </c>
      <c r="BE85" s="244"/>
      <c r="BF85" s="51">
        <v>1</v>
      </c>
      <c r="BG85" s="51">
        <v>1</v>
      </c>
      <c r="BH85" s="51">
        <v>1</v>
      </c>
      <c r="BI85" s="51">
        <v>0</v>
      </c>
      <c r="BJ85" s="51">
        <v>0</v>
      </c>
      <c r="BM85" s="33" t="s">
        <v>1</v>
      </c>
      <c r="BN85" s="57">
        <f t="shared" si="17"/>
        <v>60</v>
      </c>
      <c r="BO85" s="35">
        <f t="shared" si="18"/>
        <v>2.7999999523162802</v>
      </c>
      <c r="BP85" s="34">
        <v>380</v>
      </c>
      <c r="BQ85" s="73">
        <v>0</v>
      </c>
      <c r="BR85" s="73">
        <v>0</v>
      </c>
      <c r="BS85" s="73">
        <f t="shared" si="21"/>
        <v>0</v>
      </c>
      <c r="BT85" s="59"/>
      <c r="BU85" s="59"/>
      <c r="BV85" s="59"/>
      <c r="BW85" s="59"/>
      <c r="BX85" s="59"/>
      <c r="BY85" s="59"/>
      <c r="BZ85" s="59"/>
      <c r="CA85" s="59"/>
      <c r="CB85" s="59"/>
      <c r="CC85" s="59"/>
      <c r="CD85" s="59"/>
      <c r="CE85" s="60"/>
      <c r="CF85" s="44" t="s">
        <v>12</v>
      </c>
      <c r="CG85" s="51">
        <v>0</v>
      </c>
      <c r="CI85" s="51">
        <v>4.0599999999999996</v>
      </c>
      <c r="CR85" s="40">
        <v>0</v>
      </c>
      <c r="CS85" s="51">
        <v>0</v>
      </c>
      <c r="CT85" s="67">
        <v>0</v>
      </c>
      <c r="CU85" s="78">
        <v>1</v>
      </c>
      <c r="CV85" s="67">
        <v>0</v>
      </c>
      <c r="CW85" s="67">
        <v>0</v>
      </c>
      <c r="CX85" s="67">
        <v>0</v>
      </c>
      <c r="CY85" s="67">
        <v>0</v>
      </c>
      <c r="CZ85" s="67">
        <v>0</v>
      </c>
      <c r="DA85" s="67">
        <v>0</v>
      </c>
      <c r="DB85" s="67">
        <v>0</v>
      </c>
      <c r="DC85" s="51">
        <v>1</v>
      </c>
      <c r="DD85" s="51">
        <v>2</v>
      </c>
      <c r="DI85" s="40" t="s">
        <v>0</v>
      </c>
    </row>
    <row r="86" spans="1:113" s="51" customFormat="1" ht="15.75" thickBot="1" x14ac:dyDescent="0.3">
      <c r="A86" s="51">
        <v>522723</v>
      </c>
      <c r="B86" s="51" t="s">
        <v>6</v>
      </c>
      <c r="C86" s="53" t="s">
        <v>15</v>
      </c>
      <c r="D86" s="51">
        <v>60</v>
      </c>
      <c r="E86" s="51">
        <v>0</v>
      </c>
      <c r="F86" s="51">
        <v>60</v>
      </c>
      <c r="G86" s="51">
        <v>3195</v>
      </c>
      <c r="H86" s="51">
        <v>0</v>
      </c>
      <c r="I86" s="51">
        <v>235</v>
      </c>
      <c r="J86" s="54" t="s">
        <v>287</v>
      </c>
      <c r="K86" s="54" t="s">
        <v>288</v>
      </c>
      <c r="L86" s="55">
        <v>45958.459756944401</v>
      </c>
      <c r="M86" s="51">
        <v>0</v>
      </c>
      <c r="N86" s="51">
        <v>0</v>
      </c>
      <c r="O86" s="51">
        <v>0</v>
      </c>
      <c r="S86" s="51" t="b">
        <v>0</v>
      </c>
      <c r="T86" s="51">
        <v>2</v>
      </c>
      <c r="U86" s="52">
        <v>2.5</v>
      </c>
      <c r="V86" s="51">
        <v>2</v>
      </c>
      <c r="W86" s="51">
        <v>0</v>
      </c>
      <c r="X86" s="51">
        <v>500</v>
      </c>
      <c r="Y86" s="51">
        <v>200</v>
      </c>
      <c r="Z86" s="51">
        <v>10</v>
      </c>
      <c r="AA86" s="51">
        <v>50</v>
      </c>
      <c r="AB86" s="52">
        <v>270</v>
      </c>
      <c r="AD86" s="51">
        <v>80</v>
      </c>
      <c r="AF86" s="51">
        <v>2000</v>
      </c>
      <c r="AG86" s="51">
        <v>2</v>
      </c>
      <c r="AH86" s="51">
        <v>2.5</v>
      </c>
      <c r="AI86" s="51">
        <v>271</v>
      </c>
      <c r="AJ86" s="51">
        <v>262</v>
      </c>
      <c r="AK86" s="51">
        <v>185</v>
      </c>
      <c r="AM86" s="51" t="s">
        <v>2</v>
      </c>
      <c r="AN86" s="51">
        <v>200</v>
      </c>
      <c r="AO86" s="51">
        <v>270</v>
      </c>
      <c r="AW86" s="51" t="b">
        <v>0</v>
      </c>
      <c r="BD86" s="51" t="s">
        <v>308</v>
      </c>
      <c r="BE86" s="244"/>
      <c r="BF86" s="51">
        <v>1</v>
      </c>
      <c r="BG86" s="51">
        <v>1</v>
      </c>
      <c r="BH86" s="51">
        <v>1</v>
      </c>
      <c r="BI86" s="51">
        <v>0</v>
      </c>
      <c r="BJ86" s="51">
        <v>0</v>
      </c>
      <c r="BM86" s="33" t="s">
        <v>1</v>
      </c>
      <c r="BN86" s="57">
        <f t="shared" si="17"/>
        <v>60</v>
      </c>
      <c r="BO86" s="35">
        <f t="shared" si="18"/>
        <v>2.5</v>
      </c>
      <c r="BP86" s="34">
        <v>380</v>
      </c>
      <c r="BQ86" s="73">
        <v>0</v>
      </c>
      <c r="BR86" s="73">
        <v>0</v>
      </c>
      <c r="BS86" s="73">
        <f t="shared" si="21"/>
        <v>0</v>
      </c>
      <c r="BT86" s="59"/>
      <c r="BU86" s="59"/>
      <c r="BV86" s="59"/>
      <c r="BW86" s="59"/>
      <c r="BX86" s="59"/>
      <c r="BY86" s="59"/>
      <c r="BZ86" s="59"/>
      <c r="CA86" s="59"/>
      <c r="CB86" s="59"/>
      <c r="CC86" s="59"/>
      <c r="CD86" s="59"/>
      <c r="CE86" s="60"/>
      <c r="CF86" s="44" t="s">
        <v>12</v>
      </c>
      <c r="CG86" s="51">
        <v>0</v>
      </c>
      <c r="CI86" s="51">
        <v>4.0599999999999996</v>
      </c>
      <c r="CR86" s="40">
        <v>0</v>
      </c>
      <c r="CS86" s="51">
        <v>0</v>
      </c>
      <c r="CT86" s="67">
        <v>0</v>
      </c>
      <c r="CU86" s="78">
        <v>1</v>
      </c>
      <c r="CV86" s="67">
        <v>0</v>
      </c>
      <c r="CW86" s="67">
        <v>0</v>
      </c>
      <c r="CX86" s="67">
        <v>0</v>
      </c>
      <c r="CY86" s="67">
        <v>0</v>
      </c>
      <c r="CZ86" s="67">
        <v>0</v>
      </c>
      <c r="DA86" s="67">
        <v>0</v>
      </c>
      <c r="DB86" s="67">
        <v>0</v>
      </c>
      <c r="DC86" s="51">
        <v>1</v>
      </c>
      <c r="DD86" s="51">
        <v>2</v>
      </c>
      <c r="DI86" s="40" t="s">
        <v>0</v>
      </c>
    </row>
    <row r="87" spans="1:113" s="51" customFormat="1" ht="15.75" thickBot="1" x14ac:dyDescent="0.3">
      <c r="A87" s="51">
        <v>522724</v>
      </c>
      <c r="B87" s="51" t="s">
        <v>6</v>
      </c>
      <c r="C87" s="53" t="s">
        <v>15</v>
      </c>
      <c r="D87" s="51">
        <v>60</v>
      </c>
      <c r="E87" s="51">
        <v>0</v>
      </c>
      <c r="F87" s="51">
        <v>60</v>
      </c>
      <c r="G87" s="51">
        <v>3196</v>
      </c>
      <c r="H87" s="51">
        <v>0</v>
      </c>
      <c r="I87" s="51">
        <v>235</v>
      </c>
      <c r="J87" s="54" t="s">
        <v>289</v>
      </c>
      <c r="K87" s="54" t="s">
        <v>290</v>
      </c>
      <c r="L87" s="55">
        <v>45958.459884259297</v>
      </c>
      <c r="M87" s="51">
        <v>0</v>
      </c>
      <c r="N87" s="51">
        <v>0</v>
      </c>
      <c r="O87" s="51">
        <v>0</v>
      </c>
      <c r="S87" s="51" t="b">
        <v>0</v>
      </c>
      <c r="T87" s="51">
        <v>2</v>
      </c>
      <c r="U87" s="52">
        <v>2.4000000953674299</v>
      </c>
      <c r="V87" s="51">
        <v>2</v>
      </c>
      <c r="W87" s="51">
        <v>0</v>
      </c>
      <c r="X87" s="51">
        <v>500</v>
      </c>
      <c r="Y87" s="51">
        <v>200</v>
      </c>
      <c r="Z87" s="51">
        <v>10</v>
      </c>
      <c r="AA87" s="51">
        <v>50</v>
      </c>
      <c r="AB87" s="52">
        <v>270</v>
      </c>
      <c r="AD87" s="51">
        <v>80</v>
      </c>
      <c r="AF87" s="51">
        <v>2000</v>
      </c>
      <c r="AG87" s="51">
        <v>2</v>
      </c>
      <c r="AH87" s="51">
        <v>2.4000000953674299</v>
      </c>
      <c r="AI87" s="51">
        <v>271</v>
      </c>
      <c r="AJ87" s="51">
        <v>258</v>
      </c>
      <c r="AK87" s="51">
        <v>178</v>
      </c>
      <c r="AM87" s="51" t="s">
        <v>2</v>
      </c>
      <c r="AN87" s="51">
        <v>200</v>
      </c>
      <c r="AO87" s="51">
        <v>270</v>
      </c>
      <c r="AW87" s="51" t="b">
        <v>0</v>
      </c>
      <c r="BD87" s="51" t="s">
        <v>308</v>
      </c>
      <c r="BE87" s="244"/>
      <c r="BF87" s="51">
        <v>1</v>
      </c>
      <c r="BG87" s="51">
        <v>1</v>
      </c>
      <c r="BH87" s="51">
        <v>1</v>
      </c>
      <c r="BI87" s="51">
        <v>0</v>
      </c>
      <c r="BJ87" s="51">
        <v>0</v>
      </c>
      <c r="BM87" s="33" t="s">
        <v>1</v>
      </c>
      <c r="BN87" s="57">
        <f t="shared" si="17"/>
        <v>60</v>
      </c>
      <c r="BO87" s="35">
        <f t="shared" si="18"/>
        <v>2.4000000953674299</v>
      </c>
      <c r="BP87" s="34">
        <v>380</v>
      </c>
      <c r="BQ87" s="73">
        <v>0</v>
      </c>
      <c r="BR87" s="73">
        <v>0</v>
      </c>
      <c r="BS87" s="73">
        <f t="shared" ref="BS87" si="22">(BQ87+BR87)/2</f>
        <v>0</v>
      </c>
      <c r="BT87" s="59"/>
      <c r="BU87" s="59"/>
      <c r="BV87" s="59"/>
      <c r="BW87" s="59"/>
      <c r="BX87" s="59"/>
      <c r="BY87" s="59"/>
      <c r="BZ87" s="59"/>
      <c r="CA87" s="59"/>
      <c r="CB87" s="59"/>
      <c r="CC87" s="59"/>
      <c r="CD87" s="59"/>
      <c r="CE87" s="60"/>
      <c r="CF87" s="44" t="s">
        <v>12</v>
      </c>
      <c r="CG87" s="51">
        <v>0</v>
      </c>
      <c r="CI87" s="51">
        <v>4.0599999999999996</v>
      </c>
      <c r="CR87" s="40">
        <v>0</v>
      </c>
      <c r="CS87" s="51">
        <v>0</v>
      </c>
      <c r="CT87" s="67">
        <v>0</v>
      </c>
      <c r="CU87" s="78">
        <v>1</v>
      </c>
      <c r="CV87" s="67">
        <v>0</v>
      </c>
      <c r="CW87" s="67">
        <v>0</v>
      </c>
      <c r="CX87" s="67">
        <v>0</v>
      </c>
      <c r="CY87" s="67">
        <v>0</v>
      </c>
      <c r="CZ87" s="67">
        <v>0</v>
      </c>
      <c r="DA87" s="67">
        <v>0</v>
      </c>
      <c r="DB87" s="67">
        <v>0</v>
      </c>
      <c r="DC87" s="51">
        <v>1</v>
      </c>
      <c r="DD87" s="51">
        <v>2</v>
      </c>
      <c r="DI87" s="40" t="s">
        <v>0</v>
      </c>
    </row>
    <row r="88" spans="1:113" s="51" customFormat="1" ht="15.75" thickBot="1" x14ac:dyDescent="0.3">
      <c r="A88" s="51">
        <v>522733</v>
      </c>
      <c r="B88" s="51" t="s">
        <v>6</v>
      </c>
      <c r="C88" s="53" t="s">
        <v>15</v>
      </c>
      <c r="D88" s="51">
        <v>60</v>
      </c>
      <c r="E88" s="51">
        <v>0</v>
      </c>
      <c r="F88" s="51">
        <v>60</v>
      </c>
      <c r="G88" s="51">
        <v>3205</v>
      </c>
      <c r="H88" s="51">
        <v>0</v>
      </c>
      <c r="I88" s="51">
        <v>150</v>
      </c>
      <c r="J88" s="54" t="s">
        <v>291</v>
      </c>
      <c r="K88" s="54" t="s">
        <v>292</v>
      </c>
      <c r="L88" s="55">
        <v>45958.476666666698</v>
      </c>
      <c r="M88" s="51">
        <v>0</v>
      </c>
      <c r="N88" s="51">
        <v>0</v>
      </c>
      <c r="O88" s="51">
        <v>0</v>
      </c>
      <c r="S88" s="51" t="b">
        <v>0</v>
      </c>
      <c r="T88" s="51">
        <v>2</v>
      </c>
      <c r="U88" s="52">
        <v>4</v>
      </c>
      <c r="V88" s="51">
        <v>2</v>
      </c>
      <c r="W88" s="51">
        <v>0</v>
      </c>
      <c r="X88" s="51">
        <v>500</v>
      </c>
      <c r="Y88" s="51">
        <v>200</v>
      </c>
      <c r="Z88" s="51">
        <v>10</v>
      </c>
      <c r="AA88" s="51">
        <v>50</v>
      </c>
      <c r="AB88" s="52">
        <v>100</v>
      </c>
      <c r="AD88" s="51">
        <v>80</v>
      </c>
      <c r="AF88" s="51">
        <v>2000</v>
      </c>
      <c r="AG88" s="51">
        <v>2</v>
      </c>
      <c r="AH88" s="51">
        <v>4</v>
      </c>
      <c r="AI88" s="51">
        <v>317</v>
      </c>
      <c r="AJ88" s="51">
        <v>271</v>
      </c>
      <c r="AK88" s="51">
        <v>123</v>
      </c>
      <c r="AM88" s="51" t="s">
        <v>2</v>
      </c>
      <c r="AN88" s="51">
        <v>200</v>
      </c>
      <c r="AO88" s="51">
        <v>100</v>
      </c>
      <c r="AW88" s="51" t="b">
        <v>0</v>
      </c>
      <c r="BD88" s="51" t="s">
        <v>308</v>
      </c>
      <c r="BE88" s="244"/>
      <c r="BF88" s="51">
        <v>1</v>
      </c>
      <c r="BG88" s="51">
        <v>1</v>
      </c>
      <c r="BH88" s="51">
        <v>1</v>
      </c>
      <c r="BI88" s="51">
        <v>0</v>
      </c>
      <c r="BJ88" s="51">
        <v>0</v>
      </c>
      <c r="BM88" s="33" t="s">
        <v>1</v>
      </c>
      <c r="BN88" s="57">
        <f t="shared" si="17"/>
        <v>60</v>
      </c>
      <c r="BO88" s="35">
        <f t="shared" si="18"/>
        <v>4</v>
      </c>
      <c r="BP88" s="34">
        <v>380</v>
      </c>
      <c r="BQ88" s="73">
        <v>0</v>
      </c>
      <c r="BR88" s="73">
        <v>0</v>
      </c>
      <c r="BS88" s="73">
        <f t="shared" ref="BS88" si="23">(BQ88+BR88)/2</f>
        <v>0</v>
      </c>
      <c r="BT88" s="59"/>
      <c r="BU88" s="59"/>
      <c r="BV88" s="59"/>
      <c r="BW88" s="59"/>
      <c r="BX88" s="59"/>
      <c r="BY88" s="59"/>
      <c r="BZ88" s="59"/>
      <c r="CA88" s="59"/>
      <c r="CB88" s="59"/>
      <c r="CC88" s="59"/>
      <c r="CD88" s="59"/>
      <c r="CE88" s="60"/>
      <c r="CF88" s="44" t="s">
        <v>12</v>
      </c>
      <c r="CG88" s="51">
        <v>0</v>
      </c>
      <c r="CI88" s="51">
        <v>4.0599999999999996</v>
      </c>
      <c r="CR88" s="40">
        <v>0</v>
      </c>
      <c r="CS88" s="51">
        <v>0</v>
      </c>
      <c r="CT88" s="67">
        <v>0</v>
      </c>
      <c r="CU88" s="78">
        <v>1</v>
      </c>
      <c r="CV88" s="67">
        <v>0</v>
      </c>
      <c r="CW88" s="67">
        <v>0</v>
      </c>
      <c r="CX88" s="67">
        <v>0</v>
      </c>
      <c r="CY88" s="67">
        <v>0</v>
      </c>
      <c r="CZ88" s="67">
        <v>0</v>
      </c>
      <c r="DA88" s="67">
        <v>0</v>
      </c>
      <c r="DB88" s="67">
        <v>0</v>
      </c>
      <c r="DC88" s="51">
        <v>1</v>
      </c>
      <c r="DD88" s="51">
        <v>2</v>
      </c>
      <c r="DI88" s="40" t="s">
        <v>0</v>
      </c>
    </row>
    <row r="89" spans="1:113" s="51" customFormat="1" ht="15.75" thickBot="1" x14ac:dyDescent="0.3">
      <c r="A89" s="51">
        <v>522734</v>
      </c>
      <c r="B89" s="51" t="s">
        <v>6</v>
      </c>
      <c r="C89" s="53" t="s">
        <v>15</v>
      </c>
      <c r="D89" s="51">
        <v>60</v>
      </c>
      <c r="E89" s="51">
        <v>0</v>
      </c>
      <c r="F89" s="51">
        <v>60</v>
      </c>
      <c r="G89" s="51">
        <v>3206</v>
      </c>
      <c r="H89" s="51">
        <v>0</v>
      </c>
      <c r="I89" s="51">
        <v>140</v>
      </c>
      <c r="J89" s="54" t="s">
        <v>293</v>
      </c>
      <c r="K89" s="54" t="s">
        <v>294</v>
      </c>
      <c r="L89" s="55">
        <v>45958.478240740696</v>
      </c>
      <c r="M89" s="51">
        <v>0</v>
      </c>
      <c r="N89" s="51">
        <v>0</v>
      </c>
      <c r="O89" s="51">
        <v>0</v>
      </c>
      <c r="S89" s="51" t="b">
        <v>0</v>
      </c>
      <c r="T89" s="51">
        <v>2</v>
      </c>
      <c r="U89" s="52">
        <v>7</v>
      </c>
      <c r="V89" s="51">
        <v>2</v>
      </c>
      <c r="W89" s="51">
        <v>0</v>
      </c>
      <c r="X89" s="51">
        <v>500</v>
      </c>
      <c r="Y89" s="51">
        <v>200</v>
      </c>
      <c r="Z89" s="51">
        <v>10</v>
      </c>
      <c r="AA89" s="51">
        <v>50</v>
      </c>
      <c r="AB89" s="52">
        <v>80</v>
      </c>
      <c r="AD89" s="51">
        <v>80</v>
      </c>
      <c r="AF89" s="51">
        <v>2000</v>
      </c>
      <c r="AG89" s="51">
        <v>2</v>
      </c>
      <c r="AH89" s="51">
        <v>7.0300002098083496</v>
      </c>
      <c r="AI89" s="51">
        <v>423</v>
      </c>
      <c r="AJ89" s="51">
        <v>338</v>
      </c>
      <c r="AK89" s="51">
        <v>233</v>
      </c>
      <c r="AM89" s="51" t="s">
        <v>2</v>
      </c>
      <c r="AN89" s="51">
        <v>200</v>
      </c>
      <c r="AO89" s="51">
        <v>80</v>
      </c>
      <c r="AW89" s="51" t="b">
        <v>0</v>
      </c>
      <c r="BD89" s="51" t="s">
        <v>309</v>
      </c>
      <c r="BE89" s="244"/>
      <c r="BF89" s="51">
        <v>1</v>
      </c>
      <c r="BG89" s="51">
        <v>1</v>
      </c>
      <c r="BH89" s="51">
        <v>1</v>
      </c>
      <c r="BI89" s="51">
        <v>1</v>
      </c>
      <c r="BJ89" s="51">
        <v>0</v>
      </c>
      <c r="BM89" s="33" t="s">
        <v>1</v>
      </c>
      <c r="BN89" s="57">
        <f t="shared" si="17"/>
        <v>60</v>
      </c>
      <c r="BO89" s="35">
        <f t="shared" si="18"/>
        <v>7</v>
      </c>
      <c r="BP89" s="34">
        <v>380</v>
      </c>
      <c r="BT89" s="59"/>
      <c r="BU89" s="59"/>
      <c r="BV89" s="59"/>
      <c r="BW89" s="59"/>
      <c r="BX89" s="59"/>
      <c r="BY89" s="59"/>
      <c r="BZ89" s="59"/>
      <c r="CA89" s="59"/>
      <c r="CB89" s="59"/>
      <c r="CC89" s="59"/>
      <c r="CD89" s="59"/>
      <c r="CE89" s="60"/>
      <c r="CF89" s="44" t="s">
        <v>16</v>
      </c>
      <c r="CI89" s="51">
        <v>4.0599999999999996</v>
      </c>
      <c r="CR89" s="40">
        <v>0</v>
      </c>
      <c r="CS89" s="51">
        <v>0</v>
      </c>
      <c r="CT89" s="67">
        <v>0</v>
      </c>
      <c r="CU89" s="51">
        <v>0</v>
      </c>
      <c r="CV89" s="67">
        <v>0</v>
      </c>
      <c r="CW89" s="67">
        <v>0</v>
      </c>
      <c r="CX89" s="67">
        <v>0</v>
      </c>
      <c r="CY89" s="67">
        <v>0</v>
      </c>
      <c r="CZ89" s="67">
        <v>0</v>
      </c>
      <c r="DA89" s="67">
        <v>0</v>
      </c>
      <c r="DB89" s="67">
        <v>0</v>
      </c>
      <c r="DD89" s="51">
        <v>0</v>
      </c>
      <c r="DI89" s="40" t="s">
        <v>0</v>
      </c>
    </row>
    <row r="90" spans="1:113" s="51" customFormat="1" ht="15.75" thickBot="1" x14ac:dyDescent="0.3">
      <c r="A90" s="51">
        <v>522735</v>
      </c>
      <c r="B90" s="51" t="s">
        <v>6</v>
      </c>
      <c r="C90" s="53" t="s">
        <v>15</v>
      </c>
      <c r="D90" s="51">
        <v>60</v>
      </c>
      <c r="E90" s="51">
        <v>0</v>
      </c>
      <c r="F90" s="51">
        <v>60</v>
      </c>
      <c r="G90" s="51">
        <v>3207</v>
      </c>
      <c r="H90" s="51">
        <v>0</v>
      </c>
      <c r="I90" s="51">
        <v>140</v>
      </c>
      <c r="J90" s="54" t="s">
        <v>295</v>
      </c>
      <c r="K90" s="54" t="s">
        <v>296</v>
      </c>
      <c r="L90" s="55">
        <v>45958.478344907402</v>
      </c>
      <c r="M90" s="51">
        <v>0</v>
      </c>
      <c r="N90" s="51">
        <v>0</v>
      </c>
      <c r="O90" s="51">
        <v>0</v>
      </c>
      <c r="S90" s="51" t="b">
        <v>0</v>
      </c>
      <c r="T90" s="51">
        <v>2</v>
      </c>
      <c r="U90" s="52">
        <v>6</v>
      </c>
      <c r="V90" s="51">
        <v>2</v>
      </c>
      <c r="W90" s="51">
        <v>0</v>
      </c>
      <c r="X90" s="51">
        <v>500</v>
      </c>
      <c r="Y90" s="51">
        <v>200</v>
      </c>
      <c r="Z90" s="51">
        <v>10</v>
      </c>
      <c r="AA90" s="51">
        <v>50</v>
      </c>
      <c r="AB90" s="52">
        <v>80</v>
      </c>
      <c r="AD90" s="51">
        <v>80</v>
      </c>
      <c r="AF90" s="51">
        <v>2000</v>
      </c>
      <c r="AG90" s="51">
        <v>2</v>
      </c>
      <c r="AH90" s="51">
        <v>6.0199999809265101</v>
      </c>
      <c r="AI90" s="51">
        <v>393</v>
      </c>
      <c r="AJ90" s="51">
        <v>317</v>
      </c>
      <c r="AK90" s="51">
        <v>184</v>
      </c>
      <c r="AM90" s="51" t="s">
        <v>2</v>
      </c>
      <c r="AN90" s="51">
        <v>200</v>
      </c>
      <c r="AO90" s="51">
        <v>80</v>
      </c>
      <c r="AW90" s="51" t="b">
        <v>0</v>
      </c>
      <c r="BD90" s="51" t="s">
        <v>309</v>
      </c>
      <c r="BE90" s="244"/>
      <c r="BF90" s="51">
        <v>1</v>
      </c>
      <c r="BG90" s="51">
        <v>1</v>
      </c>
      <c r="BH90" s="51">
        <v>1</v>
      </c>
      <c r="BI90" s="51">
        <v>1</v>
      </c>
      <c r="BJ90" s="51">
        <v>0</v>
      </c>
      <c r="BM90" s="33" t="s">
        <v>1</v>
      </c>
      <c r="BN90" s="57">
        <f t="shared" si="17"/>
        <v>60</v>
      </c>
      <c r="BO90" s="35">
        <f t="shared" si="18"/>
        <v>6</v>
      </c>
      <c r="BP90" s="34">
        <v>380</v>
      </c>
      <c r="BT90" s="59"/>
      <c r="BU90" s="59"/>
      <c r="BV90" s="59"/>
      <c r="BW90" s="59"/>
      <c r="BX90" s="59"/>
      <c r="BY90" s="59"/>
      <c r="BZ90" s="59"/>
      <c r="CA90" s="59"/>
      <c r="CB90" s="59"/>
      <c r="CC90" s="59"/>
      <c r="CD90" s="59"/>
      <c r="CE90" s="60"/>
      <c r="CF90" s="44" t="s">
        <v>16</v>
      </c>
      <c r="CI90" s="51">
        <v>4.0599999999999996</v>
      </c>
      <c r="CR90" s="40">
        <v>0</v>
      </c>
      <c r="CS90" s="51">
        <v>0</v>
      </c>
      <c r="CT90" s="67">
        <v>0</v>
      </c>
      <c r="CU90" s="51">
        <v>0</v>
      </c>
      <c r="CV90" s="67">
        <v>0</v>
      </c>
      <c r="CW90" s="67">
        <v>0</v>
      </c>
      <c r="CX90" s="67">
        <v>0</v>
      </c>
      <c r="CY90" s="67">
        <v>0</v>
      </c>
      <c r="CZ90" s="67">
        <v>0</v>
      </c>
      <c r="DA90" s="67">
        <v>0</v>
      </c>
      <c r="DB90" s="67">
        <v>0</v>
      </c>
      <c r="DD90" s="51">
        <v>0</v>
      </c>
      <c r="DI90" s="40" t="s">
        <v>0</v>
      </c>
    </row>
    <row r="91" spans="1:113" s="51" customFormat="1" ht="15.75" thickBot="1" x14ac:dyDescent="0.3">
      <c r="A91" s="51">
        <v>522736</v>
      </c>
      <c r="B91" s="51" t="s">
        <v>6</v>
      </c>
      <c r="C91" s="53" t="s">
        <v>15</v>
      </c>
      <c r="D91" s="51">
        <v>60</v>
      </c>
      <c r="E91" s="51">
        <v>0</v>
      </c>
      <c r="F91" s="51">
        <v>60</v>
      </c>
      <c r="G91" s="51">
        <v>3208</v>
      </c>
      <c r="H91" s="51">
        <v>0</v>
      </c>
      <c r="I91" s="51">
        <v>145</v>
      </c>
      <c r="J91" s="54" t="s">
        <v>297</v>
      </c>
      <c r="K91" s="54" t="s">
        <v>298</v>
      </c>
      <c r="L91" s="55">
        <v>45958.4784953704</v>
      </c>
      <c r="M91" s="51">
        <v>0</v>
      </c>
      <c r="N91" s="51">
        <v>0</v>
      </c>
      <c r="O91" s="51">
        <v>0</v>
      </c>
      <c r="S91" s="51" t="b">
        <v>0</v>
      </c>
      <c r="T91" s="51">
        <v>2</v>
      </c>
      <c r="U91" s="52">
        <v>6.5</v>
      </c>
      <c r="V91" s="51">
        <v>2</v>
      </c>
      <c r="W91" s="51">
        <v>0</v>
      </c>
      <c r="X91" s="51">
        <v>500</v>
      </c>
      <c r="Y91" s="51">
        <v>200</v>
      </c>
      <c r="Z91" s="51">
        <v>10</v>
      </c>
      <c r="AA91" s="51">
        <v>50</v>
      </c>
      <c r="AB91" s="52">
        <v>90</v>
      </c>
      <c r="AD91" s="51">
        <v>80</v>
      </c>
      <c r="AF91" s="51">
        <v>2000</v>
      </c>
      <c r="AG91" s="51">
        <v>2</v>
      </c>
      <c r="AH91" s="51">
        <v>6.5100002288818404</v>
      </c>
      <c r="AI91" s="51">
        <v>389</v>
      </c>
      <c r="AJ91" s="51">
        <v>313</v>
      </c>
      <c r="AK91" s="51">
        <v>223</v>
      </c>
      <c r="AM91" s="51" t="s">
        <v>2</v>
      </c>
      <c r="AN91" s="51">
        <v>200</v>
      </c>
      <c r="AO91" s="51">
        <v>90</v>
      </c>
      <c r="AW91" s="51" t="b">
        <v>0</v>
      </c>
      <c r="BD91" s="51" t="s">
        <v>309</v>
      </c>
      <c r="BE91" s="244"/>
      <c r="BF91" s="51">
        <v>1</v>
      </c>
      <c r="BG91" s="51">
        <v>1</v>
      </c>
      <c r="BH91" s="51">
        <v>1</v>
      </c>
      <c r="BI91" s="51">
        <v>1</v>
      </c>
      <c r="BJ91" s="51">
        <v>0</v>
      </c>
      <c r="BM91" s="33" t="s">
        <v>1</v>
      </c>
      <c r="BN91" s="57">
        <f t="shared" si="17"/>
        <v>60</v>
      </c>
      <c r="BO91" s="35">
        <f t="shared" si="18"/>
        <v>6.5</v>
      </c>
      <c r="BP91" s="34">
        <v>380</v>
      </c>
      <c r="BT91" s="59"/>
      <c r="BU91" s="59"/>
      <c r="BV91" s="59"/>
      <c r="BW91" s="59"/>
      <c r="BX91" s="59"/>
      <c r="BY91" s="59"/>
      <c r="BZ91" s="59"/>
      <c r="CA91" s="59"/>
      <c r="CB91" s="59"/>
      <c r="CC91" s="59"/>
      <c r="CD91" s="59"/>
      <c r="CE91" s="60"/>
      <c r="CF91" s="44" t="s">
        <v>16</v>
      </c>
      <c r="CI91" s="51">
        <v>4.0599999999999996</v>
      </c>
      <c r="CR91" s="40">
        <v>0</v>
      </c>
      <c r="CS91" s="51">
        <v>0</v>
      </c>
      <c r="CT91" s="67">
        <v>0</v>
      </c>
      <c r="CU91" s="51">
        <v>0</v>
      </c>
      <c r="CV91" s="67">
        <v>0</v>
      </c>
      <c r="CW91" s="67">
        <v>0</v>
      </c>
      <c r="CX91" s="67">
        <v>0</v>
      </c>
      <c r="CY91" s="67">
        <v>0</v>
      </c>
      <c r="CZ91" s="67">
        <v>0</v>
      </c>
      <c r="DA91" s="67">
        <v>0</v>
      </c>
      <c r="DB91" s="67">
        <v>0</v>
      </c>
      <c r="DD91" s="51">
        <v>0</v>
      </c>
      <c r="DI91" s="40" t="s">
        <v>0</v>
      </c>
    </row>
    <row r="92" spans="1:113" s="51" customFormat="1" ht="15.75" thickBot="1" x14ac:dyDescent="0.3">
      <c r="A92" s="51">
        <v>522738</v>
      </c>
      <c r="B92" s="51" t="s">
        <v>6</v>
      </c>
      <c r="C92" s="53" t="s">
        <v>15</v>
      </c>
      <c r="D92" s="51">
        <v>60</v>
      </c>
      <c r="E92" s="51">
        <v>0</v>
      </c>
      <c r="F92" s="51">
        <v>60</v>
      </c>
      <c r="G92" s="51">
        <v>3210</v>
      </c>
      <c r="H92" s="51">
        <v>0</v>
      </c>
      <c r="I92" s="51">
        <v>125</v>
      </c>
      <c r="J92" s="54" t="s">
        <v>299</v>
      </c>
      <c r="K92" s="54" t="s">
        <v>300</v>
      </c>
      <c r="L92" s="55">
        <v>45958.480844907397</v>
      </c>
      <c r="M92" s="51">
        <v>0</v>
      </c>
      <c r="N92" s="51">
        <v>0</v>
      </c>
      <c r="O92" s="51">
        <v>0</v>
      </c>
      <c r="S92" s="51" t="b">
        <v>0</v>
      </c>
      <c r="T92" s="51">
        <v>2</v>
      </c>
      <c r="U92" s="52">
        <v>4.3000001907348597</v>
      </c>
      <c r="V92" s="51">
        <v>2</v>
      </c>
      <c r="W92" s="51">
        <v>0</v>
      </c>
      <c r="X92" s="51">
        <v>500</v>
      </c>
      <c r="Y92" s="51">
        <v>200</v>
      </c>
      <c r="Z92" s="51">
        <v>10</v>
      </c>
      <c r="AA92" s="51">
        <v>50</v>
      </c>
      <c r="AB92" s="52">
        <v>50</v>
      </c>
      <c r="AD92" s="51">
        <v>80</v>
      </c>
      <c r="AF92" s="51">
        <v>2000</v>
      </c>
      <c r="AG92" s="51">
        <v>2</v>
      </c>
      <c r="AH92" s="51">
        <v>4.3099999427795401</v>
      </c>
      <c r="AI92" s="51">
        <v>377</v>
      </c>
      <c r="AJ92" s="51">
        <v>305</v>
      </c>
      <c r="AK92" s="51">
        <v>73</v>
      </c>
      <c r="AM92" s="51" t="s">
        <v>2</v>
      </c>
      <c r="AN92" s="51">
        <v>200</v>
      </c>
      <c r="AO92" s="51">
        <v>50</v>
      </c>
      <c r="AW92" s="51" t="b">
        <v>0</v>
      </c>
      <c r="BD92" s="51" t="s">
        <v>310</v>
      </c>
      <c r="BE92" s="244"/>
      <c r="BF92" s="51">
        <v>0.8</v>
      </c>
      <c r="BG92" s="51">
        <v>1.2</v>
      </c>
      <c r="BH92" s="51">
        <v>1</v>
      </c>
      <c r="BI92" s="51">
        <v>0</v>
      </c>
      <c r="BJ92" s="51">
        <v>0</v>
      </c>
      <c r="BM92" s="33" t="s">
        <v>1</v>
      </c>
      <c r="BN92" s="57">
        <f t="shared" si="17"/>
        <v>60</v>
      </c>
      <c r="BO92" s="35">
        <f t="shared" si="18"/>
        <v>4.3000001907348597</v>
      </c>
      <c r="BP92" s="34">
        <v>380</v>
      </c>
      <c r="BQ92" s="73">
        <v>0</v>
      </c>
      <c r="BR92" s="73">
        <v>0</v>
      </c>
      <c r="BS92" s="73">
        <f t="shared" ref="BS92:BS96" si="24">(BQ92+BR92)/2</f>
        <v>0</v>
      </c>
      <c r="BT92" s="59"/>
      <c r="BU92" s="59"/>
      <c r="BV92" s="59"/>
      <c r="BW92" s="59"/>
      <c r="BX92" s="59"/>
      <c r="BY92" s="59"/>
      <c r="BZ92" s="59"/>
      <c r="CA92" s="59"/>
      <c r="CB92" s="59"/>
      <c r="CC92" s="59"/>
      <c r="CD92" s="59"/>
      <c r="CE92" s="60"/>
      <c r="CF92" s="44" t="s">
        <v>12</v>
      </c>
      <c r="CG92" s="51">
        <v>0</v>
      </c>
      <c r="CI92" s="51">
        <v>3.56</v>
      </c>
      <c r="CR92" s="40">
        <v>0</v>
      </c>
      <c r="CS92" s="51">
        <v>0</v>
      </c>
      <c r="CT92" s="67">
        <v>0</v>
      </c>
      <c r="CU92" s="78">
        <v>1</v>
      </c>
      <c r="CV92" s="67">
        <v>0</v>
      </c>
      <c r="CW92" s="67">
        <v>0</v>
      </c>
      <c r="CX92" s="67">
        <v>0</v>
      </c>
      <c r="CY92" s="67">
        <v>0</v>
      </c>
      <c r="CZ92" s="67">
        <v>0</v>
      </c>
      <c r="DA92" s="67">
        <v>0</v>
      </c>
      <c r="DB92" s="67">
        <v>0</v>
      </c>
      <c r="DD92" s="51">
        <v>2</v>
      </c>
      <c r="DI92" s="40" t="s">
        <v>0</v>
      </c>
    </row>
    <row r="93" spans="1:113" s="51" customFormat="1" ht="15.75" thickBot="1" x14ac:dyDescent="0.3">
      <c r="A93" s="51">
        <v>522739</v>
      </c>
      <c r="B93" s="51" t="s">
        <v>6</v>
      </c>
      <c r="C93" s="53" t="s">
        <v>15</v>
      </c>
      <c r="D93" s="51">
        <v>60</v>
      </c>
      <c r="E93" s="51">
        <v>0</v>
      </c>
      <c r="F93" s="51">
        <v>60</v>
      </c>
      <c r="G93" s="51">
        <v>3211</v>
      </c>
      <c r="H93" s="51">
        <v>0</v>
      </c>
      <c r="I93" s="51">
        <v>140</v>
      </c>
      <c r="J93" s="54" t="s">
        <v>301</v>
      </c>
      <c r="K93" s="54" t="s">
        <v>302</v>
      </c>
      <c r="L93" s="55">
        <v>45958.481076388904</v>
      </c>
      <c r="M93" s="51">
        <v>0</v>
      </c>
      <c r="N93" s="51">
        <v>0</v>
      </c>
      <c r="O93" s="51">
        <v>0</v>
      </c>
      <c r="S93" s="51" t="b">
        <v>0</v>
      </c>
      <c r="T93" s="51">
        <v>2</v>
      </c>
      <c r="U93" s="52">
        <v>3</v>
      </c>
      <c r="V93" s="51">
        <v>2</v>
      </c>
      <c r="W93" s="51">
        <v>0</v>
      </c>
      <c r="X93" s="51">
        <v>500</v>
      </c>
      <c r="Y93" s="51">
        <v>200</v>
      </c>
      <c r="Z93" s="51">
        <v>10</v>
      </c>
      <c r="AA93" s="51">
        <v>50</v>
      </c>
      <c r="AB93" s="52">
        <v>80</v>
      </c>
      <c r="AD93" s="51">
        <v>80</v>
      </c>
      <c r="AF93" s="51">
        <v>2000</v>
      </c>
      <c r="AG93" s="51">
        <v>2</v>
      </c>
      <c r="AH93" s="51">
        <v>3</v>
      </c>
      <c r="AI93" s="51">
        <v>347</v>
      </c>
      <c r="AJ93" s="51">
        <v>317</v>
      </c>
      <c r="AK93" s="51">
        <v>79</v>
      </c>
      <c r="AM93" s="51" t="s">
        <v>2</v>
      </c>
      <c r="AN93" s="51">
        <v>200</v>
      </c>
      <c r="AO93" s="51">
        <v>80</v>
      </c>
      <c r="AW93" s="51" t="b">
        <v>0</v>
      </c>
      <c r="BD93" s="51" t="s">
        <v>310</v>
      </c>
      <c r="BE93" s="244"/>
      <c r="BF93" s="51">
        <v>0.8</v>
      </c>
      <c r="BG93" s="51">
        <v>1.2</v>
      </c>
      <c r="BH93" s="51">
        <v>1</v>
      </c>
      <c r="BI93" s="51">
        <v>0</v>
      </c>
      <c r="BJ93" s="51">
        <v>0</v>
      </c>
      <c r="BM93" s="33" t="s">
        <v>1</v>
      </c>
      <c r="BN93" s="57">
        <f t="shared" si="17"/>
        <v>60</v>
      </c>
      <c r="BO93" s="35">
        <f t="shared" si="18"/>
        <v>3</v>
      </c>
      <c r="BP93" s="34">
        <v>380</v>
      </c>
      <c r="BQ93" s="73">
        <v>0</v>
      </c>
      <c r="BR93" s="73">
        <v>0</v>
      </c>
      <c r="BS93" s="73">
        <f t="shared" si="24"/>
        <v>0</v>
      </c>
      <c r="BT93" s="59"/>
      <c r="BU93" s="59"/>
      <c r="BV93" s="59"/>
      <c r="BW93" s="59"/>
      <c r="BX93" s="59"/>
      <c r="BY93" s="59"/>
      <c r="BZ93" s="59"/>
      <c r="CA93" s="59"/>
      <c r="CB93" s="59"/>
      <c r="CC93" s="59"/>
      <c r="CD93" s="59"/>
      <c r="CE93" s="60"/>
      <c r="CF93" s="44" t="s">
        <v>12</v>
      </c>
      <c r="CG93" s="51">
        <v>0</v>
      </c>
      <c r="CI93" s="51">
        <v>2.56</v>
      </c>
      <c r="CR93" s="40">
        <v>0</v>
      </c>
      <c r="CS93" s="51">
        <v>0</v>
      </c>
      <c r="CT93" s="67">
        <v>0</v>
      </c>
      <c r="CU93" s="78">
        <v>1</v>
      </c>
      <c r="CV93" s="67">
        <v>0</v>
      </c>
      <c r="CW93" s="67">
        <v>0</v>
      </c>
      <c r="CX93" s="67">
        <v>0</v>
      </c>
      <c r="CY93" s="67">
        <v>0</v>
      </c>
      <c r="CZ93" s="67">
        <v>0</v>
      </c>
      <c r="DA93" s="67">
        <v>0</v>
      </c>
      <c r="DB93" s="67">
        <v>0</v>
      </c>
      <c r="DD93" s="51">
        <v>2</v>
      </c>
      <c r="DI93" s="40" t="s">
        <v>0</v>
      </c>
    </row>
    <row r="94" spans="1:113" s="51" customFormat="1" ht="15.75" thickBot="1" x14ac:dyDescent="0.3">
      <c r="A94" s="51">
        <v>522740</v>
      </c>
      <c r="B94" s="51" t="s">
        <v>6</v>
      </c>
      <c r="C94" s="53" t="s">
        <v>15</v>
      </c>
      <c r="D94" s="51">
        <v>60</v>
      </c>
      <c r="E94" s="51">
        <v>0</v>
      </c>
      <c r="F94" s="51">
        <v>60</v>
      </c>
      <c r="G94" s="51">
        <v>3212</v>
      </c>
      <c r="H94" s="51">
        <v>0</v>
      </c>
      <c r="I94" s="51">
        <v>140</v>
      </c>
      <c r="J94" s="54" t="s">
        <v>303</v>
      </c>
      <c r="K94" s="54" t="s">
        <v>304</v>
      </c>
      <c r="L94" s="55">
        <v>45958.481261574103</v>
      </c>
      <c r="M94" s="51">
        <v>0</v>
      </c>
      <c r="N94" s="51">
        <v>0</v>
      </c>
      <c r="O94" s="51">
        <v>0</v>
      </c>
      <c r="S94" s="51" t="b">
        <v>0</v>
      </c>
      <c r="T94" s="51">
        <v>2</v>
      </c>
      <c r="U94" s="52">
        <v>3.5</v>
      </c>
      <c r="V94" s="51">
        <v>2</v>
      </c>
      <c r="W94" s="51">
        <v>0</v>
      </c>
      <c r="X94" s="51">
        <v>500</v>
      </c>
      <c r="Y94" s="51">
        <v>200</v>
      </c>
      <c r="Z94" s="51">
        <v>10</v>
      </c>
      <c r="AA94" s="51">
        <v>50</v>
      </c>
      <c r="AB94" s="52">
        <v>80</v>
      </c>
      <c r="AD94" s="51">
        <v>80</v>
      </c>
      <c r="AF94" s="51">
        <v>2000</v>
      </c>
      <c r="AG94" s="51">
        <v>2</v>
      </c>
      <c r="AH94" s="51">
        <v>3.5</v>
      </c>
      <c r="AI94" s="51">
        <v>377</v>
      </c>
      <c r="AJ94" s="51">
        <v>334</v>
      </c>
      <c r="AK94" s="51">
        <v>99</v>
      </c>
      <c r="AM94" s="51" t="s">
        <v>2</v>
      </c>
      <c r="AN94" s="51">
        <v>200</v>
      </c>
      <c r="AO94" s="51">
        <v>80</v>
      </c>
      <c r="AW94" s="51" t="b">
        <v>0</v>
      </c>
      <c r="BD94" s="51" t="s">
        <v>310</v>
      </c>
      <c r="BE94" s="244"/>
      <c r="BF94" s="51">
        <v>0.8</v>
      </c>
      <c r="BG94" s="51">
        <v>1.2</v>
      </c>
      <c r="BH94" s="51">
        <v>1</v>
      </c>
      <c r="BI94" s="51">
        <v>0</v>
      </c>
      <c r="BJ94" s="51">
        <v>0</v>
      </c>
      <c r="BM94" s="33" t="s">
        <v>1</v>
      </c>
      <c r="BN94" s="57">
        <f t="shared" si="17"/>
        <v>60</v>
      </c>
      <c r="BO94" s="35">
        <f t="shared" si="18"/>
        <v>3.5</v>
      </c>
      <c r="BP94" s="34">
        <v>380</v>
      </c>
      <c r="BQ94" s="73">
        <v>0</v>
      </c>
      <c r="BR94" s="73">
        <v>0</v>
      </c>
      <c r="BS94" s="73">
        <f t="shared" si="24"/>
        <v>0</v>
      </c>
      <c r="BT94" s="59"/>
      <c r="BU94" s="59"/>
      <c r="BV94" s="59"/>
      <c r="BW94" s="59"/>
      <c r="BX94" s="59"/>
      <c r="BY94" s="59"/>
      <c r="BZ94" s="59"/>
      <c r="CA94" s="59"/>
      <c r="CB94" s="59"/>
      <c r="CC94" s="59"/>
      <c r="CD94" s="59"/>
      <c r="CE94" s="60"/>
      <c r="CF94" s="44" t="s">
        <v>12</v>
      </c>
      <c r="CG94" s="51">
        <v>0</v>
      </c>
      <c r="CI94" s="51">
        <v>2.56</v>
      </c>
      <c r="CR94" s="40">
        <v>0</v>
      </c>
      <c r="CS94" s="51">
        <v>0</v>
      </c>
      <c r="CT94" s="67">
        <v>0</v>
      </c>
      <c r="CU94" s="78">
        <v>1</v>
      </c>
      <c r="CV94" s="67">
        <v>0</v>
      </c>
      <c r="CW94" s="67">
        <v>0</v>
      </c>
      <c r="CX94" s="67">
        <v>0</v>
      </c>
      <c r="CY94" s="67">
        <v>0</v>
      </c>
      <c r="CZ94" s="67">
        <v>0</v>
      </c>
      <c r="DA94" s="67">
        <v>0</v>
      </c>
      <c r="DB94" s="67">
        <v>0</v>
      </c>
      <c r="DD94" s="51">
        <v>2</v>
      </c>
      <c r="DI94" s="40" t="s">
        <v>0</v>
      </c>
    </row>
    <row r="95" spans="1:113" s="51" customFormat="1" ht="15.75" thickBot="1" x14ac:dyDescent="0.3">
      <c r="A95" s="51">
        <v>522741</v>
      </c>
      <c r="B95" s="51" t="s">
        <v>6</v>
      </c>
      <c r="C95" s="53" t="s">
        <v>15</v>
      </c>
      <c r="D95" s="51">
        <v>60</v>
      </c>
      <c r="E95" s="51">
        <v>0</v>
      </c>
      <c r="F95" s="51">
        <v>60</v>
      </c>
      <c r="G95" s="51">
        <v>3213</v>
      </c>
      <c r="H95" s="51">
        <v>0</v>
      </c>
      <c r="I95" s="51">
        <v>150</v>
      </c>
      <c r="J95" s="54" t="s">
        <v>305</v>
      </c>
      <c r="K95" s="54" t="s">
        <v>306</v>
      </c>
      <c r="L95" s="55">
        <v>45958.481446759302</v>
      </c>
      <c r="M95" s="51">
        <v>0</v>
      </c>
      <c r="N95" s="51">
        <v>0</v>
      </c>
      <c r="O95" s="51">
        <v>0</v>
      </c>
      <c r="S95" s="51" t="b">
        <v>0</v>
      </c>
      <c r="T95" s="51">
        <v>2</v>
      </c>
      <c r="U95" s="52">
        <v>3.2000000476837198</v>
      </c>
      <c r="V95" s="51">
        <v>2</v>
      </c>
      <c r="W95" s="51">
        <v>0</v>
      </c>
      <c r="X95" s="51">
        <v>500</v>
      </c>
      <c r="Y95" s="51">
        <v>200</v>
      </c>
      <c r="Z95" s="51">
        <v>10</v>
      </c>
      <c r="AA95" s="51">
        <v>50</v>
      </c>
      <c r="AB95" s="52">
        <v>100</v>
      </c>
      <c r="AD95" s="51">
        <v>80</v>
      </c>
      <c r="AF95" s="51">
        <v>2000</v>
      </c>
      <c r="AG95" s="51">
        <v>2</v>
      </c>
      <c r="AH95" s="51">
        <v>3.2000000476837198</v>
      </c>
      <c r="AI95" s="51">
        <v>377</v>
      </c>
      <c r="AJ95" s="51">
        <v>343</v>
      </c>
      <c r="AK95" s="51">
        <v>116</v>
      </c>
      <c r="AM95" s="51" t="s">
        <v>2</v>
      </c>
      <c r="AN95" s="51">
        <v>200</v>
      </c>
      <c r="AO95" s="51">
        <v>100</v>
      </c>
      <c r="AW95" s="51" t="b">
        <v>0</v>
      </c>
      <c r="BD95" s="51" t="s">
        <v>310</v>
      </c>
      <c r="BE95" s="244"/>
      <c r="BF95" s="51">
        <v>0.8</v>
      </c>
      <c r="BG95" s="51">
        <v>1.2</v>
      </c>
      <c r="BH95" s="51">
        <v>1</v>
      </c>
      <c r="BI95" s="51">
        <v>0</v>
      </c>
      <c r="BJ95" s="51">
        <v>0</v>
      </c>
      <c r="BM95" s="33" t="s">
        <v>1</v>
      </c>
      <c r="BN95" s="57">
        <f t="shared" si="17"/>
        <v>60</v>
      </c>
      <c r="BO95" s="35">
        <f t="shared" si="18"/>
        <v>3.2000000476837198</v>
      </c>
      <c r="BP95" s="34">
        <v>380</v>
      </c>
      <c r="BQ95" s="73">
        <v>0</v>
      </c>
      <c r="BR95" s="73">
        <v>0</v>
      </c>
      <c r="BS95" s="73">
        <f t="shared" si="24"/>
        <v>0</v>
      </c>
      <c r="BT95" s="59"/>
      <c r="BU95" s="59"/>
      <c r="BV95" s="59"/>
      <c r="BW95" s="59"/>
      <c r="BX95" s="59"/>
      <c r="BY95" s="59"/>
      <c r="BZ95" s="59"/>
      <c r="CA95" s="59"/>
      <c r="CB95" s="59"/>
      <c r="CC95" s="59"/>
      <c r="CD95" s="59"/>
      <c r="CE95" s="60"/>
      <c r="CF95" s="44" t="s">
        <v>12</v>
      </c>
      <c r="CG95" s="51">
        <v>0</v>
      </c>
      <c r="CI95" s="51">
        <v>3.56</v>
      </c>
      <c r="CR95" s="40">
        <v>0</v>
      </c>
      <c r="CS95" s="51">
        <v>0</v>
      </c>
      <c r="CT95" s="67">
        <v>0</v>
      </c>
      <c r="CU95" s="78">
        <v>1</v>
      </c>
      <c r="CV95" s="67">
        <v>0</v>
      </c>
      <c r="CW95" s="67">
        <v>0</v>
      </c>
      <c r="CX95" s="67">
        <v>0</v>
      </c>
      <c r="CY95" s="67">
        <v>0</v>
      </c>
      <c r="CZ95" s="67">
        <v>0</v>
      </c>
      <c r="DA95" s="67">
        <v>0</v>
      </c>
      <c r="DB95" s="67">
        <v>0</v>
      </c>
      <c r="DD95" s="51">
        <v>2</v>
      </c>
      <c r="DI95" s="40" t="s">
        <v>0</v>
      </c>
    </row>
    <row r="96" spans="1:113" s="40" customFormat="1" ht="15.75" thickBot="1" x14ac:dyDescent="0.3">
      <c r="A96" s="40">
        <v>527514</v>
      </c>
      <c r="B96" s="40" t="s">
        <v>6</v>
      </c>
      <c r="C96" s="53" t="s">
        <v>15</v>
      </c>
      <c r="D96" s="40">
        <v>60</v>
      </c>
      <c r="E96" s="40">
        <v>0</v>
      </c>
      <c r="F96" s="40">
        <v>60</v>
      </c>
      <c r="G96" s="40">
        <v>602</v>
      </c>
      <c r="H96" s="40">
        <v>0</v>
      </c>
      <c r="I96" s="40">
        <v>137</v>
      </c>
      <c r="J96" s="54" t="s">
        <v>311</v>
      </c>
      <c r="K96" s="54" t="s">
        <v>312</v>
      </c>
      <c r="L96" s="55">
        <v>45965.4473842593</v>
      </c>
      <c r="M96" s="40">
        <v>0</v>
      </c>
      <c r="N96" s="40">
        <v>0</v>
      </c>
      <c r="O96" s="40">
        <v>0</v>
      </c>
      <c r="S96" s="40" t="b">
        <v>0</v>
      </c>
      <c r="T96" s="40">
        <v>2</v>
      </c>
      <c r="U96" s="52">
        <v>7</v>
      </c>
      <c r="V96" s="40">
        <v>2</v>
      </c>
      <c r="W96" s="40">
        <v>0</v>
      </c>
      <c r="X96" s="40">
        <v>500</v>
      </c>
      <c r="Y96" s="40">
        <v>200</v>
      </c>
      <c r="Z96" s="40">
        <v>10</v>
      </c>
      <c r="AA96" s="40">
        <v>50</v>
      </c>
      <c r="AB96" s="52">
        <v>75</v>
      </c>
      <c r="AD96" s="40">
        <v>80</v>
      </c>
      <c r="AF96" s="40">
        <v>2000</v>
      </c>
      <c r="AG96" s="40">
        <v>2</v>
      </c>
      <c r="AH96" s="40">
        <v>7.0199999809265101</v>
      </c>
      <c r="AI96" s="40">
        <v>389</v>
      </c>
      <c r="AJ96" s="40">
        <v>372</v>
      </c>
      <c r="AK96" s="40">
        <v>198</v>
      </c>
      <c r="AM96" s="40" t="s">
        <v>2</v>
      </c>
      <c r="AN96" s="40">
        <v>200</v>
      </c>
      <c r="AO96" s="40">
        <v>74</v>
      </c>
      <c r="AW96" s="40" t="b">
        <v>0</v>
      </c>
      <c r="BD96" s="40" t="s">
        <v>333</v>
      </c>
      <c r="BE96" s="244"/>
      <c r="BF96" s="40">
        <v>1.6</v>
      </c>
      <c r="BG96" s="40">
        <v>2</v>
      </c>
      <c r="BH96" s="40">
        <v>0</v>
      </c>
      <c r="BI96" s="40">
        <v>0</v>
      </c>
      <c r="BJ96" s="40">
        <v>0</v>
      </c>
      <c r="BM96" s="33" t="s">
        <v>1</v>
      </c>
      <c r="BN96" s="57">
        <f t="shared" si="17"/>
        <v>60</v>
      </c>
      <c r="BO96" s="35">
        <f t="shared" si="18"/>
        <v>7</v>
      </c>
      <c r="BP96" s="93">
        <v>350</v>
      </c>
      <c r="BQ96" s="40">
        <v>7.3689999999999998</v>
      </c>
      <c r="BR96" s="40">
        <v>7.4279999999999999</v>
      </c>
      <c r="BS96" s="40">
        <f t="shared" si="24"/>
        <v>7.3985000000000003</v>
      </c>
      <c r="BT96" s="59"/>
      <c r="BU96" s="59"/>
      <c r="BV96" s="59"/>
      <c r="BW96" s="59"/>
      <c r="BX96" s="59"/>
      <c r="BY96" s="59"/>
      <c r="BZ96" s="59"/>
      <c r="CA96" s="59"/>
      <c r="CB96" s="59"/>
      <c r="CC96" s="59"/>
      <c r="CD96" s="59"/>
      <c r="CE96" s="60"/>
      <c r="CF96" s="44" t="s">
        <v>16</v>
      </c>
      <c r="CG96" s="40">
        <v>7.4</v>
      </c>
      <c r="CI96" s="40">
        <v>5.08</v>
      </c>
      <c r="CR96" s="40">
        <v>0</v>
      </c>
      <c r="CS96" s="40">
        <v>0</v>
      </c>
      <c r="CT96" s="67">
        <v>0</v>
      </c>
      <c r="CU96" s="40">
        <v>0</v>
      </c>
      <c r="CV96" s="67">
        <v>0</v>
      </c>
      <c r="CW96" s="67">
        <v>0</v>
      </c>
      <c r="CX96" s="67">
        <v>0</v>
      </c>
      <c r="CY96" s="67">
        <v>0</v>
      </c>
      <c r="CZ96" s="67">
        <v>0</v>
      </c>
      <c r="DA96" s="67">
        <v>0</v>
      </c>
      <c r="DB96" s="67">
        <v>0</v>
      </c>
      <c r="DD96" s="40">
        <v>0</v>
      </c>
      <c r="DI96" s="40" t="s">
        <v>0</v>
      </c>
    </row>
    <row r="97" spans="1:113" s="40" customFormat="1" ht="15.75" thickBot="1" x14ac:dyDescent="0.3">
      <c r="A97" s="40">
        <v>527515</v>
      </c>
      <c r="B97" s="40" t="s">
        <v>6</v>
      </c>
      <c r="C97" s="53" t="s">
        <v>15</v>
      </c>
      <c r="D97" s="40">
        <v>60</v>
      </c>
      <c r="E97" s="40">
        <v>0</v>
      </c>
      <c r="F97" s="40">
        <v>60</v>
      </c>
      <c r="G97" s="40">
        <v>603</v>
      </c>
      <c r="H97" s="40">
        <v>0</v>
      </c>
      <c r="I97" s="40">
        <v>37</v>
      </c>
      <c r="J97" s="54" t="s">
        <v>313</v>
      </c>
      <c r="K97" s="54" t="s">
        <v>314</v>
      </c>
      <c r="L97" s="55">
        <v>45965.448634259301</v>
      </c>
      <c r="M97" s="40">
        <v>0</v>
      </c>
      <c r="N97" s="40">
        <v>0</v>
      </c>
      <c r="O97" s="40">
        <v>0</v>
      </c>
      <c r="S97" s="40" t="b">
        <v>0</v>
      </c>
      <c r="T97" s="40">
        <v>2</v>
      </c>
      <c r="U97" s="52">
        <v>6.5</v>
      </c>
      <c r="V97" s="40">
        <v>2</v>
      </c>
      <c r="W97" s="40">
        <v>0</v>
      </c>
      <c r="X97" s="40">
        <v>500</v>
      </c>
      <c r="Z97" s="40">
        <v>10</v>
      </c>
      <c r="AB97" s="52">
        <v>75</v>
      </c>
      <c r="AD97" s="40">
        <v>80</v>
      </c>
      <c r="AF97" s="40">
        <v>2000</v>
      </c>
      <c r="AG97" s="40">
        <v>2</v>
      </c>
      <c r="AH97" s="40">
        <v>6.5599999427795401</v>
      </c>
      <c r="AI97" s="40">
        <v>571</v>
      </c>
      <c r="AJ97" s="40">
        <v>0</v>
      </c>
      <c r="AK97" s="40">
        <v>267</v>
      </c>
      <c r="AM97" s="40" t="s">
        <v>2</v>
      </c>
      <c r="AO97" s="40">
        <v>74</v>
      </c>
      <c r="AW97" s="40" t="b">
        <v>0</v>
      </c>
      <c r="BD97" s="40" t="s">
        <v>333</v>
      </c>
      <c r="BE97" s="244"/>
      <c r="BF97" s="40">
        <v>1.6</v>
      </c>
      <c r="BG97" s="40">
        <v>2</v>
      </c>
      <c r="BH97" s="40">
        <v>0</v>
      </c>
      <c r="BI97" s="40">
        <v>0</v>
      </c>
      <c r="BJ97" s="40">
        <v>0</v>
      </c>
      <c r="BM97" s="33" t="s">
        <v>1</v>
      </c>
      <c r="BN97" s="57">
        <f t="shared" si="17"/>
        <v>60</v>
      </c>
      <c r="BO97" s="35">
        <f t="shared" si="18"/>
        <v>6.5</v>
      </c>
      <c r="BP97" s="93">
        <v>350</v>
      </c>
      <c r="BQ97" s="73">
        <v>0</v>
      </c>
      <c r="BR97" s="73">
        <v>0</v>
      </c>
      <c r="BS97" s="73">
        <f t="shared" ref="BS97:BS107" si="25">(BQ97+BR97)/2</f>
        <v>0</v>
      </c>
      <c r="BT97" s="59"/>
      <c r="BU97" s="59"/>
      <c r="BV97" s="59"/>
      <c r="BW97" s="59"/>
      <c r="BX97" s="59"/>
      <c r="BY97" s="59"/>
      <c r="BZ97" s="59"/>
      <c r="CA97" s="59"/>
      <c r="CB97" s="59"/>
      <c r="CC97" s="59"/>
      <c r="CD97" s="59"/>
      <c r="CE97" s="60"/>
      <c r="CF97" s="44" t="s">
        <v>12</v>
      </c>
      <c r="CG97" s="40">
        <v>0</v>
      </c>
      <c r="CI97" s="40">
        <v>5.08</v>
      </c>
      <c r="CR97" s="40">
        <v>0</v>
      </c>
      <c r="CS97" s="40">
        <v>0</v>
      </c>
      <c r="CT97" s="67">
        <v>0</v>
      </c>
      <c r="CU97" s="78">
        <v>1</v>
      </c>
      <c r="CV97" s="67">
        <v>0</v>
      </c>
      <c r="CW97" s="67">
        <v>0</v>
      </c>
      <c r="CX97" s="67">
        <v>0</v>
      </c>
      <c r="CY97" s="67">
        <v>0</v>
      </c>
      <c r="CZ97" s="67">
        <v>0</v>
      </c>
      <c r="DA97" s="67">
        <v>0</v>
      </c>
      <c r="DB97" s="67">
        <v>0</v>
      </c>
      <c r="DD97" s="40">
        <v>2</v>
      </c>
      <c r="DI97" s="40" t="s">
        <v>0</v>
      </c>
    </row>
    <row r="98" spans="1:113" s="40" customFormat="1" ht="15.75" thickBot="1" x14ac:dyDescent="0.3">
      <c r="A98" s="40">
        <v>527516</v>
      </c>
      <c r="B98" s="40" t="s">
        <v>6</v>
      </c>
      <c r="C98" s="53" t="s">
        <v>15</v>
      </c>
      <c r="D98" s="40">
        <v>60</v>
      </c>
      <c r="E98" s="40">
        <v>0</v>
      </c>
      <c r="F98" s="40">
        <v>60</v>
      </c>
      <c r="G98" s="40">
        <v>604</v>
      </c>
      <c r="H98" s="40">
        <v>0</v>
      </c>
      <c r="I98" s="40">
        <v>30</v>
      </c>
      <c r="J98" s="54" t="s">
        <v>315</v>
      </c>
      <c r="K98" s="54" t="s">
        <v>316</v>
      </c>
      <c r="L98" s="55">
        <v>45965.448831018497</v>
      </c>
      <c r="M98" s="40">
        <v>0</v>
      </c>
      <c r="N98" s="40">
        <v>0</v>
      </c>
      <c r="O98" s="40">
        <v>0</v>
      </c>
      <c r="S98" s="40" t="b">
        <v>0</v>
      </c>
      <c r="T98" s="40">
        <v>2</v>
      </c>
      <c r="U98" s="52">
        <v>8.5</v>
      </c>
      <c r="V98" s="40">
        <v>2</v>
      </c>
      <c r="W98" s="40">
        <v>0</v>
      </c>
      <c r="X98" s="40">
        <v>500</v>
      </c>
      <c r="Z98" s="40">
        <v>10</v>
      </c>
      <c r="AB98" s="52">
        <v>60</v>
      </c>
      <c r="AD98" s="40">
        <v>80</v>
      </c>
      <c r="AF98" s="40">
        <v>2000</v>
      </c>
      <c r="AG98" s="40">
        <v>2</v>
      </c>
      <c r="AH98" s="40">
        <v>8.6000003814697301</v>
      </c>
      <c r="AI98" s="40">
        <v>618</v>
      </c>
      <c r="AJ98" s="40">
        <v>0</v>
      </c>
      <c r="AK98" s="40">
        <v>298</v>
      </c>
      <c r="AM98" s="40" t="s">
        <v>2</v>
      </c>
      <c r="AO98" s="40">
        <v>60</v>
      </c>
      <c r="AW98" s="40" t="b">
        <v>0</v>
      </c>
      <c r="BD98" s="40" t="s">
        <v>333</v>
      </c>
      <c r="BE98" s="244"/>
      <c r="BF98" s="40">
        <v>1.6</v>
      </c>
      <c r="BG98" s="40">
        <v>2</v>
      </c>
      <c r="BH98" s="40">
        <v>0</v>
      </c>
      <c r="BI98" s="40">
        <v>0</v>
      </c>
      <c r="BJ98" s="40">
        <v>0</v>
      </c>
      <c r="BM98" s="33" t="s">
        <v>1</v>
      </c>
      <c r="BN98" s="57">
        <f t="shared" si="17"/>
        <v>60</v>
      </c>
      <c r="BO98" s="35">
        <f t="shared" si="18"/>
        <v>8.5</v>
      </c>
      <c r="BP98" s="93">
        <v>350</v>
      </c>
      <c r="BQ98" s="73">
        <v>0</v>
      </c>
      <c r="BR98" s="73">
        <v>0</v>
      </c>
      <c r="BS98" s="73">
        <f t="shared" si="25"/>
        <v>0</v>
      </c>
      <c r="BT98" s="59"/>
      <c r="BU98" s="59"/>
      <c r="BV98" s="59"/>
      <c r="BW98" s="59"/>
      <c r="BX98" s="59"/>
      <c r="BY98" s="59"/>
      <c r="BZ98" s="59"/>
      <c r="CA98" s="59"/>
      <c r="CB98" s="59"/>
      <c r="CC98" s="59"/>
      <c r="CD98" s="59"/>
      <c r="CE98" s="60"/>
      <c r="CF98" s="44" t="s">
        <v>12</v>
      </c>
      <c r="CG98" s="40">
        <v>0</v>
      </c>
      <c r="CI98" s="40">
        <v>5.08</v>
      </c>
      <c r="CR98" s="40">
        <v>0</v>
      </c>
      <c r="CS98" s="40">
        <v>0</v>
      </c>
      <c r="CT98" s="67">
        <v>0</v>
      </c>
      <c r="CU98" s="78">
        <v>1</v>
      </c>
      <c r="CV98" s="67">
        <v>0</v>
      </c>
      <c r="CW98" s="67">
        <v>0</v>
      </c>
      <c r="CX98" s="67">
        <v>0</v>
      </c>
      <c r="CY98" s="67">
        <v>0</v>
      </c>
      <c r="CZ98" s="67">
        <v>0</v>
      </c>
      <c r="DA98" s="67">
        <v>0</v>
      </c>
      <c r="DB98" s="67">
        <v>0</v>
      </c>
      <c r="DD98" s="40">
        <v>2</v>
      </c>
      <c r="DI98" s="40" t="s">
        <v>0</v>
      </c>
    </row>
    <row r="99" spans="1:113" s="40" customFormat="1" ht="15.75" thickBot="1" x14ac:dyDescent="0.3">
      <c r="A99" s="40">
        <v>527517</v>
      </c>
      <c r="B99" s="40" t="s">
        <v>6</v>
      </c>
      <c r="C99" s="53" t="s">
        <v>15</v>
      </c>
      <c r="D99" s="40">
        <v>60</v>
      </c>
      <c r="E99" s="40">
        <v>0</v>
      </c>
      <c r="F99" s="40">
        <v>60</v>
      </c>
      <c r="G99" s="40">
        <v>605</v>
      </c>
      <c r="H99" s="40">
        <v>0</v>
      </c>
      <c r="I99" s="40">
        <v>25</v>
      </c>
      <c r="J99" s="54" t="s">
        <v>317</v>
      </c>
      <c r="K99" s="54" t="s">
        <v>318</v>
      </c>
      <c r="L99" s="55">
        <v>45965.448935185203</v>
      </c>
      <c r="M99" s="40">
        <v>0</v>
      </c>
      <c r="N99" s="40">
        <v>0</v>
      </c>
      <c r="O99" s="40">
        <v>0</v>
      </c>
      <c r="S99" s="40" t="b">
        <v>0</v>
      </c>
      <c r="T99" s="40">
        <v>2</v>
      </c>
      <c r="U99" s="52">
        <v>8.5</v>
      </c>
      <c r="V99" s="40">
        <v>2</v>
      </c>
      <c r="W99" s="40">
        <v>0</v>
      </c>
      <c r="X99" s="40">
        <v>500</v>
      </c>
      <c r="Z99" s="40">
        <v>10</v>
      </c>
      <c r="AB99" s="52">
        <v>50</v>
      </c>
      <c r="AD99" s="40">
        <v>80</v>
      </c>
      <c r="AF99" s="40">
        <v>2000</v>
      </c>
      <c r="AG99" s="40">
        <v>2</v>
      </c>
      <c r="AH99" s="40">
        <v>8.6300001144409197</v>
      </c>
      <c r="AI99" s="40">
        <v>626</v>
      </c>
      <c r="AJ99" s="40">
        <v>0</v>
      </c>
      <c r="AK99" s="40">
        <v>247</v>
      </c>
      <c r="AM99" s="40" t="s">
        <v>2</v>
      </c>
      <c r="AO99" s="40">
        <v>50</v>
      </c>
      <c r="AW99" s="40" t="b">
        <v>0</v>
      </c>
      <c r="BD99" s="40" t="s">
        <v>333</v>
      </c>
      <c r="BE99" s="244"/>
      <c r="BF99" s="40">
        <v>1.6</v>
      </c>
      <c r="BG99" s="40">
        <v>2</v>
      </c>
      <c r="BH99" s="40">
        <v>0</v>
      </c>
      <c r="BI99" s="40">
        <v>0</v>
      </c>
      <c r="BJ99" s="40">
        <v>0</v>
      </c>
      <c r="BM99" s="33" t="s">
        <v>1</v>
      </c>
      <c r="BN99" s="57">
        <f t="shared" si="17"/>
        <v>60</v>
      </c>
      <c r="BO99" s="35">
        <f t="shared" si="18"/>
        <v>8.5</v>
      </c>
      <c r="BP99" s="93">
        <v>350</v>
      </c>
      <c r="BQ99" s="73">
        <v>0</v>
      </c>
      <c r="BR99" s="73">
        <v>0</v>
      </c>
      <c r="BS99" s="73">
        <f t="shared" si="25"/>
        <v>0</v>
      </c>
      <c r="BT99" s="59"/>
      <c r="BU99" s="59"/>
      <c r="BV99" s="59"/>
      <c r="BW99" s="59"/>
      <c r="BX99" s="59"/>
      <c r="BY99" s="59"/>
      <c r="BZ99" s="59"/>
      <c r="CA99" s="59"/>
      <c r="CB99" s="59"/>
      <c r="CC99" s="59"/>
      <c r="CD99" s="59"/>
      <c r="CE99" s="60"/>
      <c r="CF99" s="44" t="s">
        <v>12</v>
      </c>
      <c r="CG99" s="40">
        <v>0</v>
      </c>
      <c r="CI99" s="40">
        <v>5.08</v>
      </c>
      <c r="CR99" s="40">
        <v>0</v>
      </c>
      <c r="CS99" s="40">
        <v>0</v>
      </c>
      <c r="CT99" s="67">
        <v>0</v>
      </c>
      <c r="CU99" s="78">
        <v>1</v>
      </c>
      <c r="CV99" s="67">
        <v>0</v>
      </c>
      <c r="CW99" s="67">
        <v>0</v>
      </c>
      <c r="CX99" s="67">
        <v>0</v>
      </c>
      <c r="CY99" s="67">
        <v>0</v>
      </c>
      <c r="CZ99" s="67">
        <v>0</v>
      </c>
      <c r="DA99" s="67">
        <v>0</v>
      </c>
      <c r="DB99" s="67">
        <v>0</v>
      </c>
      <c r="DD99" s="40">
        <v>2</v>
      </c>
      <c r="DI99" s="40" t="s">
        <v>0</v>
      </c>
    </row>
    <row r="100" spans="1:113" s="40" customFormat="1" ht="15.75" thickBot="1" x14ac:dyDescent="0.3">
      <c r="A100" s="40">
        <v>527518</v>
      </c>
      <c r="B100" s="40" t="s">
        <v>6</v>
      </c>
      <c r="C100" s="53" t="s">
        <v>15</v>
      </c>
      <c r="D100" s="40">
        <v>60</v>
      </c>
      <c r="E100" s="40">
        <v>0</v>
      </c>
      <c r="F100" s="40">
        <v>60</v>
      </c>
      <c r="G100" s="40">
        <v>606</v>
      </c>
      <c r="H100" s="40">
        <v>0</v>
      </c>
      <c r="I100" s="40">
        <v>15</v>
      </c>
      <c r="J100" s="54" t="s">
        <v>319</v>
      </c>
      <c r="K100" s="54" t="s">
        <v>320</v>
      </c>
      <c r="L100" s="55">
        <v>45965.449606481503</v>
      </c>
      <c r="M100" s="40">
        <v>0</v>
      </c>
      <c r="N100" s="40">
        <v>0</v>
      </c>
      <c r="O100" s="40">
        <v>0</v>
      </c>
      <c r="S100" s="40" t="b">
        <v>0</v>
      </c>
      <c r="T100" s="40">
        <v>2</v>
      </c>
      <c r="U100" s="52">
        <v>7.5</v>
      </c>
      <c r="V100" s="40">
        <v>2</v>
      </c>
      <c r="W100" s="40">
        <v>0</v>
      </c>
      <c r="X100" s="40">
        <v>500</v>
      </c>
      <c r="Z100" s="40">
        <v>10</v>
      </c>
      <c r="AB100" s="52">
        <v>30</v>
      </c>
      <c r="AD100" s="40">
        <v>80</v>
      </c>
      <c r="AF100" s="40">
        <v>2000</v>
      </c>
      <c r="AG100" s="40">
        <v>2</v>
      </c>
      <c r="AH100" s="40">
        <v>7.9200000762939498</v>
      </c>
      <c r="AI100" s="40">
        <v>593</v>
      </c>
      <c r="AJ100" s="40">
        <v>0</v>
      </c>
      <c r="AK100" s="40">
        <v>113</v>
      </c>
      <c r="AM100" s="40" t="s">
        <v>2</v>
      </c>
      <c r="AO100" s="40">
        <v>30</v>
      </c>
      <c r="AW100" s="40" t="b">
        <v>0</v>
      </c>
      <c r="BD100" s="40" t="s">
        <v>334</v>
      </c>
      <c r="BE100" s="244"/>
      <c r="BF100" s="40">
        <v>1.2</v>
      </c>
      <c r="BG100" s="40">
        <v>1.2</v>
      </c>
      <c r="BH100" s="40">
        <v>0</v>
      </c>
      <c r="BI100" s="40">
        <v>0</v>
      </c>
      <c r="BJ100" s="40">
        <v>0</v>
      </c>
      <c r="BM100" s="33" t="s">
        <v>1</v>
      </c>
      <c r="BN100" s="57">
        <f t="shared" si="17"/>
        <v>60</v>
      </c>
      <c r="BO100" s="35">
        <f t="shared" si="18"/>
        <v>7.5</v>
      </c>
      <c r="BP100" s="93">
        <v>350</v>
      </c>
      <c r="BQ100" s="73">
        <v>0</v>
      </c>
      <c r="BR100" s="73">
        <v>0</v>
      </c>
      <c r="BS100" s="73">
        <f t="shared" si="25"/>
        <v>0</v>
      </c>
      <c r="BT100" s="59"/>
      <c r="BU100" s="59"/>
      <c r="BV100" s="59"/>
      <c r="BW100" s="59"/>
      <c r="BX100" s="59"/>
      <c r="BY100" s="59"/>
      <c r="BZ100" s="59"/>
      <c r="CA100" s="59"/>
      <c r="CB100" s="59"/>
      <c r="CC100" s="59"/>
      <c r="CD100" s="59"/>
      <c r="CE100" s="60"/>
      <c r="CF100" s="44" t="s">
        <v>12</v>
      </c>
      <c r="CG100" s="40">
        <v>0</v>
      </c>
      <c r="CI100" s="40">
        <v>4.57</v>
      </c>
      <c r="CR100" s="40">
        <v>0</v>
      </c>
      <c r="CS100" s="40">
        <v>0</v>
      </c>
      <c r="CT100" s="67">
        <v>0</v>
      </c>
      <c r="CU100" s="78">
        <v>1</v>
      </c>
      <c r="CV100" s="67">
        <v>0</v>
      </c>
      <c r="CW100" s="67">
        <v>0</v>
      </c>
      <c r="CX100" s="67">
        <v>0</v>
      </c>
      <c r="CY100" s="67">
        <v>0</v>
      </c>
      <c r="CZ100" s="67">
        <v>0</v>
      </c>
      <c r="DA100" s="67">
        <v>0</v>
      </c>
      <c r="DB100" s="67">
        <v>0</v>
      </c>
      <c r="DD100" s="40">
        <v>2</v>
      </c>
      <c r="DI100" s="40" t="s">
        <v>0</v>
      </c>
    </row>
    <row r="101" spans="1:113" s="40" customFormat="1" ht="15.75" thickBot="1" x14ac:dyDescent="0.3">
      <c r="A101" s="40">
        <v>527519</v>
      </c>
      <c r="B101" s="40" t="s">
        <v>6</v>
      </c>
      <c r="C101" s="53" t="s">
        <v>15</v>
      </c>
      <c r="D101" s="40">
        <v>60</v>
      </c>
      <c r="E101" s="40">
        <v>0</v>
      </c>
      <c r="F101" s="40">
        <v>60</v>
      </c>
      <c r="G101" s="40">
        <v>607</v>
      </c>
      <c r="H101" s="40">
        <v>0</v>
      </c>
      <c r="I101" s="40">
        <v>15</v>
      </c>
      <c r="J101" s="54" t="s">
        <v>321</v>
      </c>
      <c r="K101" s="54" t="s">
        <v>322</v>
      </c>
      <c r="L101" s="55">
        <v>45965.449733796297</v>
      </c>
      <c r="M101" s="40">
        <v>0</v>
      </c>
      <c r="N101" s="40">
        <v>0</v>
      </c>
      <c r="O101" s="40">
        <v>0</v>
      </c>
      <c r="S101" s="40" t="b">
        <v>0</v>
      </c>
      <c r="T101" s="40">
        <v>2</v>
      </c>
      <c r="U101" s="52">
        <v>7</v>
      </c>
      <c r="V101" s="40">
        <v>2</v>
      </c>
      <c r="W101" s="40">
        <v>0</v>
      </c>
      <c r="X101" s="40">
        <v>500</v>
      </c>
      <c r="Z101" s="40">
        <v>10</v>
      </c>
      <c r="AB101" s="52">
        <v>30</v>
      </c>
      <c r="AD101" s="40">
        <v>80</v>
      </c>
      <c r="AF101" s="40">
        <v>2000</v>
      </c>
      <c r="AG101" s="40">
        <v>2</v>
      </c>
      <c r="AH101" s="40">
        <v>7.4000000953674299</v>
      </c>
      <c r="AI101" s="40">
        <v>580</v>
      </c>
      <c r="AJ101" s="40">
        <v>0</v>
      </c>
      <c r="AK101" s="40">
        <v>103</v>
      </c>
      <c r="AM101" s="40" t="s">
        <v>2</v>
      </c>
      <c r="AO101" s="40">
        <v>30</v>
      </c>
      <c r="AW101" s="40" t="b">
        <v>0</v>
      </c>
      <c r="BD101" s="40" t="s">
        <v>334</v>
      </c>
      <c r="BE101" s="244"/>
      <c r="BF101" s="40">
        <v>1.2</v>
      </c>
      <c r="BG101" s="40">
        <v>1.2</v>
      </c>
      <c r="BH101" s="40">
        <v>0</v>
      </c>
      <c r="BI101" s="40">
        <v>0</v>
      </c>
      <c r="BJ101" s="40">
        <v>0</v>
      </c>
      <c r="BM101" s="33" t="s">
        <v>1</v>
      </c>
      <c r="BN101" s="57">
        <f t="shared" si="17"/>
        <v>60</v>
      </c>
      <c r="BO101" s="35">
        <f t="shared" si="18"/>
        <v>7</v>
      </c>
      <c r="BP101" s="93">
        <v>350</v>
      </c>
      <c r="BQ101" s="73">
        <v>0</v>
      </c>
      <c r="BR101" s="73">
        <v>0</v>
      </c>
      <c r="BS101" s="73">
        <f t="shared" si="25"/>
        <v>0</v>
      </c>
      <c r="BT101" s="59"/>
      <c r="BU101" s="59"/>
      <c r="BV101" s="59"/>
      <c r="BW101" s="59"/>
      <c r="BX101" s="59"/>
      <c r="BY101" s="59"/>
      <c r="BZ101" s="59"/>
      <c r="CA101" s="59"/>
      <c r="CB101" s="59"/>
      <c r="CC101" s="59"/>
      <c r="CD101" s="59"/>
      <c r="CE101" s="60"/>
      <c r="CF101" s="44" t="s">
        <v>12</v>
      </c>
      <c r="CG101" s="40">
        <v>0</v>
      </c>
      <c r="CI101" s="40">
        <v>4.57</v>
      </c>
      <c r="CR101" s="40">
        <v>0</v>
      </c>
      <c r="CS101" s="40">
        <v>0</v>
      </c>
      <c r="CT101" s="67">
        <v>0</v>
      </c>
      <c r="CU101" s="78">
        <v>1</v>
      </c>
      <c r="CV101" s="67">
        <v>0</v>
      </c>
      <c r="CW101" s="67">
        <v>0</v>
      </c>
      <c r="CX101" s="67">
        <v>0</v>
      </c>
      <c r="CY101" s="67">
        <v>0</v>
      </c>
      <c r="CZ101" s="67">
        <v>0</v>
      </c>
      <c r="DA101" s="67">
        <v>0</v>
      </c>
      <c r="DB101" s="67">
        <v>0</v>
      </c>
      <c r="DD101" s="40">
        <v>2</v>
      </c>
      <c r="DI101" s="40" t="s">
        <v>0</v>
      </c>
    </row>
    <row r="102" spans="1:113" s="40" customFormat="1" ht="15.75" thickBot="1" x14ac:dyDescent="0.3">
      <c r="A102" s="40">
        <v>527520</v>
      </c>
      <c r="B102" s="40" t="s">
        <v>6</v>
      </c>
      <c r="C102" s="53" t="s">
        <v>15</v>
      </c>
      <c r="D102" s="40">
        <v>60</v>
      </c>
      <c r="E102" s="40">
        <v>0</v>
      </c>
      <c r="F102" s="40">
        <v>60</v>
      </c>
      <c r="G102" s="40">
        <v>608</v>
      </c>
      <c r="H102" s="40">
        <v>0</v>
      </c>
      <c r="I102" s="40">
        <v>10</v>
      </c>
      <c r="J102" s="54" t="s">
        <v>323</v>
      </c>
      <c r="K102" s="54" t="s">
        <v>324</v>
      </c>
      <c r="L102" s="55">
        <v>45965.449884259302</v>
      </c>
      <c r="M102" s="40">
        <v>0</v>
      </c>
      <c r="N102" s="40">
        <v>0</v>
      </c>
      <c r="O102" s="40">
        <v>0</v>
      </c>
      <c r="S102" s="40" t="b">
        <v>0</v>
      </c>
      <c r="T102" s="40">
        <v>2</v>
      </c>
      <c r="U102" s="52">
        <v>9</v>
      </c>
      <c r="V102" s="40">
        <v>2</v>
      </c>
      <c r="W102" s="40">
        <v>0</v>
      </c>
      <c r="X102" s="40">
        <v>500</v>
      </c>
      <c r="Z102" s="40">
        <v>10</v>
      </c>
      <c r="AB102" s="52">
        <v>20</v>
      </c>
      <c r="AD102" s="40">
        <v>80</v>
      </c>
      <c r="AF102" s="40">
        <v>2000</v>
      </c>
      <c r="AG102" s="40">
        <v>2</v>
      </c>
      <c r="AH102" s="40">
        <v>7.28999996185303</v>
      </c>
      <c r="AI102" s="40">
        <v>584</v>
      </c>
      <c r="AJ102" s="40">
        <v>0</v>
      </c>
      <c r="AK102" s="40">
        <v>77</v>
      </c>
      <c r="AM102" s="40" t="s">
        <v>2</v>
      </c>
      <c r="AO102" s="40">
        <v>20</v>
      </c>
      <c r="AW102" s="40" t="b">
        <v>0</v>
      </c>
      <c r="AX102" s="40">
        <v>56</v>
      </c>
      <c r="BD102" s="40" t="s">
        <v>334</v>
      </c>
      <c r="BE102" s="244"/>
      <c r="BF102" s="40">
        <v>1.2</v>
      </c>
      <c r="BG102" s="40">
        <v>1.2</v>
      </c>
      <c r="BH102" s="40">
        <v>0</v>
      </c>
      <c r="BI102" s="40">
        <v>0</v>
      </c>
      <c r="BJ102" s="40">
        <v>0</v>
      </c>
      <c r="BM102" s="33" t="s">
        <v>1</v>
      </c>
      <c r="BN102" s="57">
        <f t="shared" si="17"/>
        <v>60</v>
      </c>
      <c r="BO102" s="35">
        <f t="shared" si="18"/>
        <v>9</v>
      </c>
      <c r="BP102" s="93">
        <v>350</v>
      </c>
      <c r="BQ102" s="73">
        <v>0</v>
      </c>
      <c r="BR102" s="73">
        <v>0</v>
      </c>
      <c r="BS102" s="73">
        <f t="shared" si="25"/>
        <v>0</v>
      </c>
      <c r="BT102" s="59"/>
      <c r="BU102" s="59"/>
      <c r="BV102" s="59"/>
      <c r="BW102" s="59"/>
      <c r="BX102" s="59"/>
      <c r="BY102" s="59"/>
      <c r="BZ102" s="59"/>
      <c r="CA102" s="59"/>
      <c r="CB102" s="59"/>
      <c r="CC102" s="59"/>
      <c r="CD102" s="59"/>
      <c r="CE102" s="60"/>
      <c r="CF102" s="44" t="s">
        <v>12</v>
      </c>
      <c r="CG102" s="40">
        <v>0</v>
      </c>
      <c r="CI102" s="40">
        <v>4.57</v>
      </c>
      <c r="CR102" s="40">
        <v>0</v>
      </c>
      <c r="CS102" s="40">
        <v>0</v>
      </c>
      <c r="CT102" s="67">
        <v>0</v>
      </c>
      <c r="CU102" s="78">
        <v>1</v>
      </c>
      <c r="CV102" s="67">
        <v>0</v>
      </c>
      <c r="CW102" s="67">
        <v>0</v>
      </c>
      <c r="CX102" s="67">
        <v>0</v>
      </c>
      <c r="CY102" s="67">
        <v>0</v>
      </c>
      <c r="CZ102" s="67">
        <v>0</v>
      </c>
      <c r="DA102" s="67">
        <v>0</v>
      </c>
      <c r="DB102" s="67">
        <v>0</v>
      </c>
      <c r="DD102" s="40">
        <v>2</v>
      </c>
      <c r="DI102" s="40" t="s">
        <v>0</v>
      </c>
    </row>
    <row r="103" spans="1:113" s="40" customFormat="1" ht="15.75" thickBot="1" x14ac:dyDescent="0.3">
      <c r="A103" s="40">
        <v>527521</v>
      </c>
      <c r="B103" s="40" t="s">
        <v>6</v>
      </c>
      <c r="C103" s="53" t="s">
        <v>15</v>
      </c>
      <c r="D103" s="40">
        <v>60</v>
      </c>
      <c r="E103" s="40">
        <v>0</v>
      </c>
      <c r="F103" s="40">
        <v>60</v>
      </c>
      <c r="G103" s="40">
        <v>609</v>
      </c>
      <c r="H103" s="40">
        <v>0</v>
      </c>
      <c r="I103" s="40">
        <v>5</v>
      </c>
      <c r="J103" s="54" t="s">
        <v>325</v>
      </c>
      <c r="K103" s="54" t="s">
        <v>326</v>
      </c>
      <c r="L103" s="55">
        <v>45965.450613425899</v>
      </c>
      <c r="M103" s="40">
        <v>0</v>
      </c>
      <c r="N103" s="40">
        <v>0</v>
      </c>
      <c r="O103" s="40">
        <v>0</v>
      </c>
      <c r="S103" s="40" t="b">
        <v>0</v>
      </c>
      <c r="T103" s="40">
        <v>2</v>
      </c>
      <c r="U103" s="52">
        <v>9</v>
      </c>
      <c r="V103" s="40">
        <v>2</v>
      </c>
      <c r="W103" s="40">
        <v>0</v>
      </c>
      <c r="X103" s="40">
        <v>500</v>
      </c>
      <c r="Z103" s="40">
        <v>10</v>
      </c>
      <c r="AB103" s="52">
        <v>10</v>
      </c>
      <c r="AD103" s="40">
        <v>80</v>
      </c>
      <c r="AF103" s="40">
        <v>2000</v>
      </c>
      <c r="AG103" s="40">
        <v>2</v>
      </c>
      <c r="AH103" s="40">
        <v>3.9900000095367401</v>
      </c>
      <c r="AI103" s="40">
        <v>296</v>
      </c>
      <c r="AJ103" s="40">
        <v>0</v>
      </c>
      <c r="AK103" s="40">
        <v>0</v>
      </c>
      <c r="AM103" s="40" t="s">
        <v>2</v>
      </c>
      <c r="AO103" s="40">
        <v>10</v>
      </c>
      <c r="AW103" s="40" t="b">
        <v>0</v>
      </c>
      <c r="AX103" s="40">
        <v>56</v>
      </c>
      <c r="BD103" s="40" t="s">
        <v>334</v>
      </c>
      <c r="BE103" s="244"/>
      <c r="BF103" s="40">
        <v>1.2</v>
      </c>
      <c r="BG103" s="40">
        <v>1.2</v>
      </c>
      <c r="BH103" s="40">
        <v>0</v>
      </c>
      <c r="BI103" s="40">
        <v>0</v>
      </c>
      <c r="BJ103" s="40">
        <v>0</v>
      </c>
      <c r="BM103" s="33" t="s">
        <v>1</v>
      </c>
      <c r="BN103" s="57">
        <f t="shared" si="17"/>
        <v>60</v>
      </c>
      <c r="BO103" s="35">
        <f t="shared" si="18"/>
        <v>9</v>
      </c>
      <c r="BP103" s="93">
        <v>350</v>
      </c>
      <c r="BQ103" s="73">
        <v>0</v>
      </c>
      <c r="BR103" s="73">
        <v>0</v>
      </c>
      <c r="BS103" s="73">
        <f t="shared" si="25"/>
        <v>0</v>
      </c>
      <c r="BT103" s="59"/>
      <c r="BU103" s="59"/>
      <c r="BV103" s="59"/>
      <c r="BW103" s="59"/>
      <c r="BX103" s="59"/>
      <c r="BY103" s="59"/>
      <c r="BZ103" s="59"/>
      <c r="CA103" s="59"/>
      <c r="CB103" s="59"/>
      <c r="CC103" s="59"/>
      <c r="CD103" s="59"/>
      <c r="CE103" s="60"/>
      <c r="CF103" s="44" t="s">
        <v>12</v>
      </c>
      <c r="CG103" s="40">
        <v>0</v>
      </c>
      <c r="CI103" s="40">
        <v>4.57</v>
      </c>
      <c r="CR103" s="40">
        <v>0</v>
      </c>
      <c r="CS103" s="40">
        <v>0</v>
      </c>
      <c r="CT103" s="67">
        <v>0</v>
      </c>
      <c r="CU103" s="78">
        <v>1</v>
      </c>
      <c r="CV103" s="67">
        <v>0</v>
      </c>
      <c r="CW103" s="67">
        <v>0</v>
      </c>
      <c r="CX103" s="67">
        <v>0</v>
      </c>
      <c r="CY103" s="67">
        <v>0</v>
      </c>
      <c r="CZ103" s="67">
        <v>0</v>
      </c>
      <c r="DA103" s="67">
        <v>0</v>
      </c>
      <c r="DB103" s="67">
        <v>0</v>
      </c>
      <c r="DD103" s="40">
        <v>2</v>
      </c>
      <c r="DI103" s="40" t="s">
        <v>0</v>
      </c>
    </row>
    <row r="104" spans="1:113" s="40" customFormat="1" ht="15.75" thickBot="1" x14ac:dyDescent="0.3">
      <c r="A104" s="40">
        <v>527522</v>
      </c>
      <c r="B104" s="40" t="s">
        <v>6</v>
      </c>
      <c r="C104" s="53" t="s">
        <v>15</v>
      </c>
      <c r="D104" s="40">
        <v>60</v>
      </c>
      <c r="E104" s="40">
        <v>0</v>
      </c>
      <c r="F104" s="40">
        <v>60</v>
      </c>
      <c r="G104" s="40">
        <v>610</v>
      </c>
      <c r="H104" s="40">
        <v>0</v>
      </c>
      <c r="I104" s="40">
        <v>37</v>
      </c>
      <c r="J104" s="54" t="s">
        <v>327</v>
      </c>
      <c r="K104" s="54" t="s">
        <v>328</v>
      </c>
      <c r="L104" s="55">
        <v>45965.451712962997</v>
      </c>
      <c r="M104" s="40">
        <v>0</v>
      </c>
      <c r="N104" s="40">
        <v>0</v>
      </c>
      <c r="O104" s="40">
        <v>0</v>
      </c>
      <c r="S104" s="40" t="b">
        <v>0</v>
      </c>
      <c r="T104" s="40">
        <v>2</v>
      </c>
      <c r="U104" s="52">
        <v>3</v>
      </c>
      <c r="V104" s="40">
        <v>2</v>
      </c>
      <c r="W104" s="40">
        <v>0</v>
      </c>
      <c r="X104" s="40">
        <v>500</v>
      </c>
      <c r="Z104" s="40">
        <v>10</v>
      </c>
      <c r="AB104" s="52">
        <v>75</v>
      </c>
      <c r="AD104" s="40">
        <v>80</v>
      </c>
      <c r="AF104" s="40">
        <v>2000</v>
      </c>
      <c r="AG104" s="40">
        <v>2</v>
      </c>
      <c r="AH104" s="40">
        <v>3.0699999332428001</v>
      </c>
      <c r="AI104" s="40">
        <v>330</v>
      </c>
      <c r="AJ104" s="40">
        <v>0</v>
      </c>
      <c r="AK104" s="40">
        <v>71</v>
      </c>
      <c r="AM104" s="40" t="s">
        <v>2</v>
      </c>
      <c r="AO104" s="40">
        <v>74</v>
      </c>
      <c r="AW104" s="40" t="b">
        <v>0</v>
      </c>
      <c r="BD104" s="40" t="s">
        <v>335</v>
      </c>
      <c r="BE104" s="244"/>
      <c r="BF104" s="40">
        <v>0.55000000000000004</v>
      </c>
      <c r="BG104" s="40">
        <v>0.55000000000000004</v>
      </c>
      <c r="BH104" s="40">
        <v>0</v>
      </c>
      <c r="BI104" s="40">
        <v>0</v>
      </c>
      <c r="BJ104" s="40">
        <v>0</v>
      </c>
      <c r="BM104" s="33" t="s">
        <v>1</v>
      </c>
      <c r="BN104" s="57">
        <f t="shared" si="17"/>
        <v>60</v>
      </c>
      <c r="BO104" s="35">
        <f t="shared" si="18"/>
        <v>3</v>
      </c>
      <c r="BP104" s="93">
        <v>225</v>
      </c>
      <c r="BQ104" s="73">
        <v>0</v>
      </c>
      <c r="BR104" s="73">
        <v>0</v>
      </c>
      <c r="BS104" s="73">
        <f t="shared" si="25"/>
        <v>0</v>
      </c>
      <c r="BT104" s="59"/>
      <c r="BU104" s="59"/>
      <c r="BV104" s="59"/>
      <c r="BW104" s="59"/>
      <c r="BX104" s="59"/>
      <c r="BY104" s="59"/>
      <c r="BZ104" s="59"/>
      <c r="CA104" s="59"/>
      <c r="CB104" s="59"/>
      <c r="CC104" s="59"/>
      <c r="CD104" s="59"/>
      <c r="CE104" s="60"/>
      <c r="CF104" s="44" t="s">
        <v>12</v>
      </c>
      <c r="CG104" s="40">
        <v>0</v>
      </c>
      <c r="CI104" s="40">
        <v>2.68</v>
      </c>
      <c r="CR104" s="40">
        <v>0</v>
      </c>
      <c r="CS104" s="40">
        <v>0</v>
      </c>
      <c r="CT104" s="67">
        <v>0</v>
      </c>
      <c r="CU104" s="78">
        <v>1</v>
      </c>
      <c r="CV104" s="67">
        <v>0</v>
      </c>
      <c r="CW104" s="67">
        <v>0</v>
      </c>
      <c r="CX104" s="67">
        <v>0</v>
      </c>
      <c r="CY104" s="67">
        <v>0</v>
      </c>
      <c r="CZ104" s="67">
        <v>0</v>
      </c>
      <c r="DA104" s="67">
        <v>0</v>
      </c>
      <c r="DB104" s="67">
        <v>0</v>
      </c>
      <c r="DD104" s="40">
        <v>2</v>
      </c>
      <c r="DI104" s="40" t="s">
        <v>0</v>
      </c>
    </row>
    <row r="105" spans="1:113" s="94" customFormat="1" ht="15.75" thickBot="1" x14ac:dyDescent="0.3">
      <c r="A105" s="94">
        <v>527523</v>
      </c>
      <c r="B105" s="94" t="s">
        <v>6</v>
      </c>
      <c r="C105" s="95" t="s">
        <v>15</v>
      </c>
      <c r="D105" s="94">
        <v>60</v>
      </c>
      <c r="E105" s="94">
        <v>0</v>
      </c>
      <c r="F105" s="94">
        <v>60</v>
      </c>
      <c r="G105" s="94">
        <v>611</v>
      </c>
      <c r="H105" s="94">
        <v>0</v>
      </c>
      <c r="I105" s="94">
        <v>37</v>
      </c>
      <c r="J105" s="96" t="s">
        <v>329</v>
      </c>
      <c r="K105" s="96" t="s">
        <v>330</v>
      </c>
      <c r="L105" s="97">
        <v>45965.451840277798</v>
      </c>
      <c r="M105" s="94">
        <v>0</v>
      </c>
      <c r="N105" s="94">
        <v>0</v>
      </c>
      <c r="O105" s="94">
        <v>0</v>
      </c>
      <c r="S105" s="94" t="b">
        <v>0</v>
      </c>
      <c r="T105" s="94">
        <v>2</v>
      </c>
      <c r="U105" s="98">
        <v>2.5999999046325701</v>
      </c>
      <c r="V105" s="94">
        <v>2</v>
      </c>
      <c r="W105" s="94">
        <v>0</v>
      </c>
      <c r="X105" s="94">
        <v>500</v>
      </c>
      <c r="Z105" s="94">
        <v>10</v>
      </c>
      <c r="AB105" s="98">
        <v>75</v>
      </c>
      <c r="AD105" s="94">
        <v>80</v>
      </c>
      <c r="AF105" s="94">
        <v>2000</v>
      </c>
      <c r="AG105" s="94">
        <v>2</v>
      </c>
      <c r="AH105" s="94">
        <v>2.6600000858306898</v>
      </c>
      <c r="AI105" s="94">
        <v>321</v>
      </c>
      <c r="AJ105" s="94">
        <v>0</v>
      </c>
      <c r="AK105" s="94">
        <v>60</v>
      </c>
      <c r="AM105" s="94" t="s">
        <v>2</v>
      </c>
      <c r="AO105" s="94">
        <v>74</v>
      </c>
      <c r="AW105" s="94" t="b">
        <v>0</v>
      </c>
      <c r="BD105" s="94" t="s">
        <v>335</v>
      </c>
      <c r="BE105" s="245"/>
      <c r="BF105" s="94">
        <v>0.55000000000000004</v>
      </c>
      <c r="BG105" s="94">
        <v>0.55000000000000004</v>
      </c>
      <c r="BH105" s="94">
        <v>0</v>
      </c>
      <c r="BI105" s="94">
        <v>0</v>
      </c>
      <c r="BJ105" s="94">
        <v>0</v>
      </c>
      <c r="BM105" s="99" t="s">
        <v>1</v>
      </c>
      <c r="BN105" s="100">
        <f t="shared" si="17"/>
        <v>60</v>
      </c>
      <c r="BO105" s="101">
        <f t="shared" si="18"/>
        <v>2.5999999046325701</v>
      </c>
      <c r="BP105" s="102">
        <v>225</v>
      </c>
      <c r="BQ105" s="103">
        <v>0</v>
      </c>
      <c r="BR105" s="103">
        <v>0</v>
      </c>
      <c r="BS105" s="103">
        <f t="shared" si="25"/>
        <v>0</v>
      </c>
      <c r="BT105" s="104"/>
      <c r="BU105" s="104"/>
      <c r="BV105" s="104"/>
      <c r="BW105" s="104"/>
      <c r="BX105" s="104"/>
      <c r="BY105" s="104"/>
      <c r="BZ105" s="104"/>
      <c r="CA105" s="104"/>
      <c r="CB105" s="104"/>
      <c r="CC105" s="104"/>
      <c r="CD105" s="104"/>
      <c r="CE105" s="105"/>
      <c r="CF105" s="106" t="s">
        <v>12</v>
      </c>
      <c r="CG105" s="94">
        <v>0</v>
      </c>
      <c r="CI105" s="94">
        <v>2.68</v>
      </c>
      <c r="CR105" s="94">
        <v>0</v>
      </c>
      <c r="CS105" s="94">
        <v>0</v>
      </c>
      <c r="CT105" s="107">
        <v>0</v>
      </c>
      <c r="CU105" s="108">
        <v>1</v>
      </c>
      <c r="CV105" s="107">
        <v>0</v>
      </c>
      <c r="CW105" s="107">
        <v>0</v>
      </c>
      <c r="CX105" s="107">
        <v>0</v>
      </c>
      <c r="CY105" s="107">
        <v>0</v>
      </c>
      <c r="CZ105" s="107">
        <v>0</v>
      </c>
      <c r="DA105" s="107">
        <v>0</v>
      </c>
      <c r="DB105" s="107">
        <v>0</v>
      </c>
      <c r="DD105" s="94">
        <v>2</v>
      </c>
      <c r="DI105" s="94" t="s">
        <v>0</v>
      </c>
    </row>
    <row r="106" spans="1:113" s="119" customFormat="1" ht="15.75" thickBot="1" x14ac:dyDescent="0.3">
      <c r="A106" s="119">
        <v>527524</v>
      </c>
      <c r="B106" s="119" t="s">
        <v>6</v>
      </c>
      <c r="C106" s="95" t="s">
        <v>15</v>
      </c>
      <c r="D106" s="119">
        <v>60</v>
      </c>
      <c r="E106" s="119">
        <v>0</v>
      </c>
      <c r="F106" s="119">
        <v>60</v>
      </c>
      <c r="G106" s="119">
        <v>612</v>
      </c>
      <c r="H106" s="119">
        <v>0</v>
      </c>
      <c r="I106" s="119">
        <v>25</v>
      </c>
      <c r="J106" s="124" t="s">
        <v>672</v>
      </c>
      <c r="K106" s="124" t="s">
        <v>673</v>
      </c>
      <c r="L106" s="125">
        <v>45965.452037037001</v>
      </c>
      <c r="M106" s="119">
        <v>0</v>
      </c>
      <c r="N106" s="119">
        <v>0</v>
      </c>
      <c r="O106" s="119">
        <v>0</v>
      </c>
      <c r="S106" s="119" t="b">
        <v>0</v>
      </c>
      <c r="T106" s="119">
        <v>2</v>
      </c>
      <c r="U106" s="126">
        <v>4.5999999046325701</v>
      </c>
      <c r="V106" s="119">
        <v>2</v>
      </c>
      <c r="W106" s="119">
        <v>0</v>
      </c>
      <c r="X106" s="119">
        <v>500</v>
      </c>
      <c r="Z106" s="119">
        <v>10</v>
      </c>
      <c r="AB106" s="126">
        <v>50</v>
      </c>
      <c r="AD106" s="119">
        <v>80</v>
      </c>
      <c r="AF106" s="119">
        <v>2000</v>
      </c>
      <c r="AG106" s="119">
        <v>2</v>
      </c>
      <c r="AH106" s="119">
        <v>4.7600002288818404</v>
      </c>
      <c r="AI106" s="119">
        <v>385</v>
      </c>
      <c r="AJ106" s="119">
        <v>0</v>
      </c>
      <c r="AK106" s="119">
        <v>82</v>
      </c>
      <c r="AM106" s="119" t="s">
        <v>2</v>
      </c>
      <c r="AO106" s="119">
        <v>50</v>
      </c>
      <c r="AW106" s="119" t="b">
        <v>0</v>
      </c>
      <c r="BD106" s="119" t="s">
        <v>335</v>
      </c>
      <c r="BE106" s="246"/>
      <c r="BF106" s="119">
        <v>0.55000000000000004</v>
      </c>
      <c r="BG106" s="119">
        <v>0.55000000000000004</v>
      </c>
      <c r="BH106" s="119">
        <v>0</v>
      </c>
      <c r="BI106" s="119">
        <v>0</v>
      </c>
      <c r="BJ106" s="119">
        <v>0</v>
      </c>
      <c r="BM106" s="120" t="s">
        <v>1</v>
      </c>
      <c r="BN106" s="121">
        <f t="shared" ref="BN106" si="26">D106</f>
        <v>60</v>
      </c>
      <c r="BO106" s="122">
        <f t="shared" ref="BO106" si="27">U106</f>
        <v>4.5999999046325701</v>
      </c>
      <c r="BP106" s="123">
        <v>225</v>
      </c>
      <c r="BS106" s="127"/>
      <c r="BT106" s="59"/>
      <c r="BU106" s="59"/>
      <c r="BV106" s="59"/>
      <c r="BW106" s="59"/>
      <c r="BX106" s="59"/>
      <c r="BY106" s="59"/>
      <c r="BZ106" s="59"/>
      <c r="CA106" s="59"/>
      <c r="CB106" s="59"/>
      <c r="CC106" s="59"/>
      <c r="CD106" s="59"/>
      <c r="CE106" s="60"/>
      <c r="CF106" s="44" t="s">
        <v>16</v>
      </c>
      <c r="CG106" s="129"/>
      <c r="CU106" s="119">
        <v>0</v>
      </c>
      <c r="DD106" s="119">
        <v>0</v>
      </c>
      <c r="DI106" s="119" t="s">
        <v>0</v>
      </c>
    </row>
    <row r="107" spans="1:113" s="109" customFormat="1" ht="15.75" thickBot="1" x14ac:dyDescent="0.3">
      <c r="A107" s="109">
        <v>527525</v>
      </c>
      <c r="B107" s="109" t="s">
        <v>6</v>
      </c>
      <c r="C107" s="110" t="s">
        <v>15</v>
      </c>
      <c r="D107" s="109">
        <v>60</v>
      </c>
      <c r="E107" s="109">
        <v>0</v>
      </c>
      <c r="F107" s="109">
        <v>60</v>
      </c>
      <c r="G107" s="109">
        <v>613</v>
      </c>
      <c r="H107" s="109">
        <v>0</v>
      </c>
      <c r="I107" s="109">
        <v>20</v>
      </c>
      <c r="J107" s="111" t="s">
        <v>331</v>
      </c>
      <c r="K107" s="111" t="s">
        <v>332</v>
      </c>
      <c r="L107" s="112">
        <v>45965.452129629601</v>
      </c>
      <c r="M107" s="109">
        <v>0</v>
      </c>
      <c r="N107" s="109">
        <v>0</v>
      </c>
      <c r="O107" s="109">
        <v>0</v>
      </c>
      <c r="S107" s="109" t="b">
        <v>0</v>
      </c>
      <c r="T107" s="109">
        <v>2</v>
      </c>
      <c r="U107" s="113">
        <v>4.5999999046325701</v>
      </c>
      <c r="V107" s="109">
        <v>2</v>
      </c>
      <c r="W107" s="109">
        <v>0</v>
      </c>
      <c r="X107" s="109">
        <v>500</v>
      </c>
      <c r="Z107" s="109">
        <v>10</v>
      </c>
      <c r="AB107" s="113">
        <v>40</v>
      </c>
      <c r="AD107" s="109">
        <v>80</v>
      </c>
      <c r="AF107" s="109">
        <v>2000</v>
      </c>
      <c r="AG107" s="109">
        <v>2</v>
      </c>
      <c r="AH107" s="109">
        <v>4.8099999427795401</v>
      </c>
      <c r="AI107" s="109">
        <v>393</v>
      </c>
      <c r="AJ107" s="109">
        <v>0</v>
      </c>
      <c r="AK107" s="109">
        <v>65</v>
      </c>
      <c r="AM107" s="109" t="s">
        <v>2</v>
      </c>
      <c r="AO107" s="109">
        <v>40</v>
      </c>
      <c r="AW107" s="109" t="b">
        <v>0</v>
      </c>
      <c r="BD107" s="109" t="s">
        <v>335</v>
      </c>
      <c r="BE107" s="247"/>
      <c r="BF107" s="109">
        <v>0.55000000000000004</v>
      </c>
      <c r="BG107" s="109">
        <v>0.55000000000000004</v>
      </c>
      <c r="BH107" s="109">
        <v>0</v>
      </c>
      <c r="BI107" s="109">
        <v>0</v>
      </c>
      <c r="BJ107" s="109">
        <v>0</v>
      </c>
      <c r="BM107" s="114" t="s">
        <v>1</v>
      </c>
      <c r="BN107" s="115">
        <f t="shared" si="17"/>
        <v>60</v>
      </c>
      <c r="BO107" s="116">
        <f t="shared" si="18"/>
        <v>4.5999999046325701</v>
      </c>
      <c r="BP107" s="117">
        <v>225</v>
      </c>
      <c r="BQ107" s="109">
        <v>2.74</v>
      </c>
      <c r="BR107" s="109">
        <v>2.798</v>
      </c>
      <c r="BS107" s="128">
        <f t="shared" si="25"/>
        <v>2.7690000000000001</v>
      </c>
      <c r="BT107" s="59"/>
      <c r="BU107" s="59"/>
      <c r="BV107" s="59"/>
      <c r="BW107" s="59"/>
      <c r="BX107" s="59"/>
      <c r="BY107" s="59"/>
      <c r="BZ107" s="59"/>
      <c r="CA107" s="59"/>
      <c r="CB107" s="59"/>
      <c r="CC107" s="59"/>
      <c r="CD107" s="59"/>
      <c r="CE107" s="60"/>
      <c r="CF107" s="44" t="s">
        <v>16</v>
      </c>
      <c r="CG107" s="130">
        <v>2.7690000000000001</v>
      </c>
      <c r="CI107" s="109">
        <v>2.68</v>
      </c>
      <c r="CR107" s="109">
        <v>0</v>
      </c>
      <c r="CS107" s="109">
        <v>0</v>
      </c>
      <c r="CT107" s="118">
        <v>0</v>
      </c>
      <c r="CU107" s="109">
        <v>0</v>
      </c>
      <c r="CV107" s="118">
        <v>0</v>
      </c>
      <c r="CW107" s="118">
        <v>0</v>
      </c>
      <c r="CX107" s="118">
        <v>0</v>
      </c>
      <c r="CY107" s="118">
        <v>0</v>
      </c>
      <c r="CZ107" s="118">
        <v>0</v>
      </c>
      <c r="DA107" s="118">
        <v>0</v>
      </c>
      <c r="DB107" s="118">
        <v>0</v>
      </c>
      <c r="DD107" s="109">
        <v>0</v>
      </c>
      <c r="DI107" s="109" t="s">
        <v>0</v>
      </c>
    </row>
    <row r="108" spans="1:113" s="40" customFormat="1" ht="15.75" thickBot="1" x14ac:dyDescent="0.3">
      <c r="A108" s="40">
        <v>528488</v>
      </c>
      <c r="B108" s="40" t="s">
        <v>6</v>
      </c>
      <c r="C108" s="53" t="s">
        <v>15</v>
      </c>
      <c r="D108" s="40">
        <v>60</v>
      </c>
      <c r="E108" s="40">
        <v>0</v>
      </c>
      <c r="F108" s="40">
        <v>60</v>
      </c>
      <c r="G108" s="40">
        <v>4</v>
      </c>
      <c r="H108" s="40">
        <v>0</v>
      </c>
      <c r="I108" s="40">
        <v>20</v>
      </c>
      <c r="J108" s="54" t="s">
        <v>336</v>
      </c>
      <c r="K108" s="54" t="s">
        <v>337</v>
      </c>
      <c r="L108" s="56">
        <v>45966.496342592596</v>
      </c>
      <c r="M108" s="40">
        <v>0</v>
      </c>
      <c r="N108" s="40">
        <v>0</v>
      </c>
      <c r="O108" s="40">
        <v>0</v>
      </c>
      <c r="S108" s="40" t="b">
        <v>0</v>
      </c>
      <c r="T108" s="40">
        <v>2</v>
      </c>
      <c r="U108" s="52">
        <v>8.5</v>
      </c>
      <c r="V108" s="40">
        <v>2</v>
      </c>
      <c r="W108" s="40">
        <v>0</v>
      </c>
      <c r="X108" s="40">
        <v>500</v>
      </c>
      <c r="Z108" s="40">
        <v>10</v>
      </c>
      <c r="AB108" s="52">
        <v>40</v>
      </c>
      <c r="AD108" s="40">
        <v>80</v>
      </c>
      <c r="AF108" s="40">
        <v>2000</v>
      </c>
      <c r="AG108" s="40">
        <v>2</v>
      </c>
      <c r="AH108" s="40">
        <v>8.7100000381469727</v>
      </c>
      <c r="AI108" s="40">
        <v>775</v>
      </c>
      <c r="AJ108" s="40">
        <v>0</v>
      </c>
      <c r="AK108" s="40">
        <v>235</v>
      </c>
      <c r="AM108" s="40" t="s">
        <v>2</v>
      </c>
      <c r="AO108" s="40">
        <v>40</v>
      </c>
      <c r="AW108" s="40" t="b">
        <v>0</v>
      </c>
      <c r="BD108" s="40" t="s">
        <v>370</v>
      </c>
      <c r="BE108" s="244"/>
      <c r="BF108" s="40">
        <v>1.2</v>
      </c>
      <c r="BG108" s="40">
        <v>1.6</v>
      </c>
      <c r="BH108" s="40">
        <v>1.6</v>
      </c>
      <c r="BI108" s="40">
        <v>0</v>
      </c>
      <c r="BJ108" s="40">
        <v>0</v>
      </c>
      <c r="BM108" s="33" t="s">
        <v>1</v>
      </c>
      <c r="BN108" s="57">
        <v>60</v>
      </c>
      <c r="BO108" s="35">
        <f t="shared" si="18"/>
        <v>8.5</v>
      </c>
      <c r="BP108" s="93">
        <v>300</v>
      </c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60"/>
      <c r="CF108" s="44" t="s">
        <v>12</v>
      </c>
      <c r="CG108" s="40">
        <v>0</v>
      </c>
      <c r="CI108" s="40">
        <v>4.57</v>
      </c>
      <c r="CR108" s="40">
        <v>0</v>
      </c>
      <c r="CS108" s="40">
        <v>0</v>
      </c>
      <c r="CT108" s="67">
        <v>0</v>
      </c>
      <c r="CU108" s="40">
        <v>1</v>
      </c>
      <c r="CV108" s="67">
        <v>0</v>
      </c>
      <c r="CW108" s="67">
        <v>0</v>
      </c>
      <c r="CX108" s="67">
        <v>0</v>
      </c>
      <c r="CY108" s="67">
        <v>0</v>
      </c>
      <c r="CZ108" s="67">
        <v>0</v>
      </c>
      <c r="DA108" s="67">
        <v>0</v>
      </c>
      <c r="DB108" s="67">
        <v>0</v>
      </c>
      <c r="DD108" s="40">
        <v>2</v>
      </c>
      <c r="DI108" s="40" t="s">
        <v>0</v>
      </c>
    </row>
    <row r="109" spans="1:113" s="40" customFormat="1" ht="15.75" thickBot="1" x14ac:dyDescent="0.3">
      <c r="A109" s="40">
        <v>528489</v>
      </c>
      <c r="B109" s="40" t="s">
        <v>6</v>
      </c>
      <c r="C109" s="53" t="s">
        <v>15</v>
      </c>
      <c r="D109" s="40">
        <v>60</v>
      </c>
      <c r="E109" s="40">
        <v>0</v>
      </c>
      <c r="F109" s="40">
        <v>60</v>
      </c>
      <c r="G109" s="40">
        <v>5</v>
      </c>
      <c r="H109" s="40">
        <v>0</v>
      </c>
      <c r="I109" s="40">
        <v>25</v>
      </c>
      <c r="J109" s="54" t="s">
        <v>338</v>
      </c>
      <c r="K109" s="54" t="s">
        <v>339</v>
      </c>
      <c r="L109" s="56">
        <v>45966.497187499997</v>
      </c>
      <c r="M109" s="40">
        <v>0</v>
      </c>
      <c r="N109" s="40">
        <v>0</v>
      </c>
      <c r="O109" s="40">
        <v>0</v>
      </c>
      <c r="S109" s="40" t="b">
        <v>0</v>
      </c>
      <c r="T109" s="40">
        <v>2</v>
      </c>
      <c r="U109" s="52">
        <v>5.5</v>
      </c>
      <c r="V109" s="40">
        <v>2</v>
      </c>
      <c r="W109" s="40">
        <v>0</v>
      </c>
      <c r="X109" s="40">
        <v>500</v>
      </c>
      <c r="Z109" s="40">
        <v>10</v>
      </c>
      <c r="AB109" s="52">
        <v>50</v>
      </c>
      <c r="AD109" s="40">
        <v>80</v>
      </c>
      <c r="AF109" s="40">
        <v>2000</v>
      </c>
      <c r="AG109" s="40">
        <v>2</v>
      </c>
      <c r="AH109" s="40">
        <v>5.679999828338623</v>
      </c>
      <c r="AI109" s="40">
        <v>665</v>
      </c>
      <c r="AJ109" s="40">
        <v>0</v>
      </c>
      <c r="AK109" s="40">
        <v>167</v>
      </c>
      <c r="AM109" s="40" t="s">
        <v>2</v>
      </c>
      <c r="AO109" s="40">
        <v>50</v>
      </c>
      <c r="AW109" s="40" t="b">
        <v>0</v>
      </c>
      <c r="BD109" s="40" t="s">
        <v>371</v>
      </c>
      <c r="BE109" s="244"/>
      <c r="BF109" s="40">
        <v>1.6</v>
      </c>
      <c r="BG109" s="40">
        <v>1</v>
      </c>
      <c r="BH109" s="40">
        <v>0.55000000000000004</v>
      </c>
      <c r="BI109" s="40">
        <v>0</v>
      </c>
      <c r="BJ109" s="40">
        <v>0</v>
      </c>
      <c r="BM109" s="33" t="s">
        <v>1</v>
      </c>
      <c r="BN109" s="57">
        <f t="shared" si="17"/>
        <v>60</v>
      </c>
      <c r="BO109" s="35">
        <f t="shared" si="18"/>
        <v>5.5</v>
      </c>
      <c r="BP109" s="93">
        <v>250</v>
      </c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60"/>
      <c r="CF109" s="44" t="s">
        <v>12</v>
      </c>
      <c r="CG109" s="40">
        <v>0</v>
      </c>
      <c r="CI109" s="40">
        <v>2.68</v>
      </c>
      <c r="CR109" s="40">
        <v>0</v>
      </c>
      <c r="CS109" s="40">
        <v>0</v>
      </c>
      <c r="CT109" s="67">
        <v>0</v>
      </c>
      <c r="CU109" s="40">
        <v>1</v>
      </c>
      <c r="CV109" s="67">
        <v>0</v>
      </c>
      <c r="CW109" s="67">
        <v>0</v>
      </c>
      <c r="CX109" s="67">
        <v>0</v>
      </c>
      <c r="CY109" s="67">
        <v>0</v>
      </c>
      <c r="CZ109" s="67">
        <v>0</v>
      </c>
      <c r="DA109" s="67">
        <v>0</v>
      </c>
      <c r="DB109" s="67">
        <v>0</v>
      </c>
      <c r="DD109" s="40">
        <v>2</v>
      </c>
      <c r="DI109" s="40" t="s">
        <v>0</v>
      </c>
    </row>
    <row r="110" spans="1:113" s="40" customFormat="1" ht="15.75" thickBot="1" x14ac:dyDescent="0.3">
      <c r="A110" s="40">
        <v>528490</v>
      </c>
      <c r="B110" s="40" t="s">
        <v>6</v>
      </c>
      <c r="C110" s="53" t="s">
        <v>15</v>
      </c>
      <c r="D110" s="40">
        <v>60</v>
      </c>
      <c r="E110" s="40">
        <v>0</v>
      </c>
      <c r="F110" s="40">
        <v>60</v>
      </c>
      <c r="G110" s="40">
        <v>6</v>
      </c>
      <c r="H110" s="40">
        <v>0</v>
      </c>
      <c r="I110" s="40">
        <v>25</v>
      </c>
      <c r="J110" s="54" t="s">
        <v>340</v>
      </c>
      <c r="K110" s="54" t="s">
        <v>341</v>
      </c>
      <c r="L110" s="56">
        <v>45966.49728009259</v>
      </c>
      <c r="M110" s="40">
        <v>0</v>
      </c>
      <c r="N110" s="40">
        <v>0</v>
      </c>
      <c r="O110" s="40">
        <v>0</v>
      </c>
      <c r="S110" s="40" t="b">
        <v>0</v>
      </c>
      <c r="T110" s="40">
        <v>2</v>
      </c>
      <c r="U110" s="52">
        <v>5</v>
      </c>
      <c r="V110" s="40">
        <v>2</v>
      </c>
      <c r="W110" s="40">
        <v>0</v>
      </c>
      <c r="X110" s="40">
        <v>500</v>
      </c>
      <c r="Z110" s="40">
        <v>10</v>
      </c>
      <c r="AB110" s="52">
        <v>50</v>
      </c>
      <c r="AD110" s="40">
        <v>80</v>
      </c>
      <c r="AF110" s="40">
        <v>2000</v>
      </c>
      <c r="AG110" s="40">
        <v>2</v>
      </c>
      <c r="AH110" s="40">
        <v>5.1399998664855957</v>
      </c>
      <c r="AI110" s="40">
        <v>622</v>
      </c>
      <c r="AJ110" s="40">
        <v>0</v>
      </c>
      <c r="AK110" s="40">
        <v>140</v>
      </c>
      <c r="AM110" s="40" t="s">
        <v>2</v>
      </c>
      <c r="AO110" s="40">
        <v>50</v>
      </c>
      <c r="AW110" s="40" t="b">
        <v>0</v>
      </c>
      <c r="BD110" s="40" t="s">
        <v>371</v>
      </c>
      <c r="BE110" s="244"/>
      <c r="BF110" s="40">
        <v>1.6</v>
      </c>
      <c r="BG110" s="40">
        <v>1</v>
      </c>
      <c r="BH110" s="40">
        <v>0.55000000000000004</v>
      </c>
      <c r="BI110" s="40">
        <v>0</v>
      </c>
      <c r="BJ110" s="40">
        <v>0</v>
      </c>
      <c r="BM110" s="33" t="s">
        <v>1</v>
      </c>
      <c r="BN110" s="57">
        <f t="shared" si="17"/>
        <v>60</v>
      </c>
      <c r="BO110" s="35">
        <f t="shared" si="18"/>
        <v>5</v>
      </c>
      <c r="BP110" s="93">
        <v>250</v>
      </c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60"/>
      <c r="CF110" s="44" t="s">
        <v>12</v>
      </c>
      <c r="CG110" s="40">
        <v>0</v>
      </c>
      <c r="CI110" s="40">
        <v>2.68</v>
      </c>
      <c r="CR110" s="40">
        <v>0</v>
      </c>
      <c r="CS110" s="40">
        <v>0</v>
      </c>
      <c r="CT110" s="67">
        <v>0</v>
      </c>
      <c r="CU110" s="40">
        <v>1</v>
      </c>
      <c r="CV110" s="67">
        <v>0</v>
      </c>
      <c r="CW110" s="67">
        <v>0</v>
      </c>
      <c r="CX110" s="67">
        <v>0</v>
      </c>
      <c r="CY110" s="67">
        <v>0</v>
      </c>
      <c r="CZ110" s="67">
        <v>0</v>
      </c>
      <c r="DA110" s="67">
        <v>0</v>
      </c>
      <c r="DB110" s="67">
        <v>0</v>
      </c>
      <c r="DD110" s="40">
        <v>2</v>
      </c>
      <c r="DI110" s="40" t="s">
        <v>0</v>
      </c>
    </row>
    <row r="111" spans="1:113" s="40" customFormat="1" ht="15.75" thickBot="1" x14ac:dyDescent="0.3">
      <c r="A111" s="40">
        <v>528491</v>
      </c>
      <c r="B111" s="40" t="s">
        <v>6</v>
      </c>
      <c r="C111" s="53" t="s">
        <v>15</v>
      </c>
      <c r="D111" s="40">
        <v>60</v>
      </c>
      <c r="E111" s="40">
        <v>0</v>
      </c>
      <c r="F111" s="40">
        <v>60</v>
      </c>
      <c r="G111" s="40">
        <v>7</v>
      </c>
      <c r="H111" s="40">
        <v>0</v>
      </c>
      <c r="I111" s="40">
        <v>17</v>
      </c>
      <c r="J111" s="54" t="s">
        <v>342</v>
      </c>
      <c r="K111" s="54" t="s">
        <v>343</v>
      </c>
      <c r="L111" s="56">
        <v>45966.497407407405</v>
      </c>
      <c r="M111" s="40">
        <v>0</v>
      </c>
      <c r="N111" s="40">
        <v>0</v>
      </c>
      <c r="O111" s="40">
        <v>0</v>
      </c>
      <c r="S111" s="40" t="b">
        <v>0</v>
      </c>
      <c r="T111" s="40">
        <v>2</v>
      </c>
      <c r="U111" s="52">
        <v>6.5</v>
      </c>
      <c r="V111" s="40">
        <v>2</v>
      </c>
      <c r="W111" s="40">
        <v>0</v>
      </c>
      <c r="X111" s="40">
        <v>500</v>
      </c>
      <c r="Z111" s="40">
        <v>10</v>
      </c>
      <c r="AB111" s="52">
        <v>35</v>
      </c>
      <c r="AD111" s="40">
        <v>80</v>
      </c>
      <c r="AF111" s="40">
        <v>2000</v>
      </c>
      <c r="AG111" s="40">
        <v>2</v>
      </c>
      <c r="AH111" s="40">
        <v>6.7899999618530273</v>
      </c>
      <c r="AI111" s="40">
        <v>694</v>
      </c>
      <c r="AJ111" s="40">
        <v>0</v>
      </c>
      <c r="AK111" s="40">
        <v>136</v>
      </c>
      <c r="AM111" s="40" t="s">
        <v>2</v>
      </c>
      <c r="AO111" s="40">
        <v>34</v>
      </c>
      <c r="AW111" s="40" t="b">
        <v>0</v>
      </c>
      <c r="BD111" s="40" t="s">
        <v>371</v>
      </c>
      <c r="BE111" s="244"/>
      <c r="BF111" s="40">
        <v>1.6</v>
      </c>
      <c r="BG111" s="40">
        <v>1</v>
      </c>
      <c r="BH111" s="40">
        <v>0.55000000000000004</v>
      </c>
      <c r="BI111" s="40">
        <v>0</v>
      </c>
      <c r="BJ111" s="40">
        <v>0</v>
      </c>
      <c r="BM111" s="33" t="s">
        <v>1</v>
      </c>
      <c r="BN111" s="57">
        <f t="shared" si="17"/>
        <v>60</v>
      </c>
      <c r="BO111" s="35">
        <f t="shared" si="18"/>
        <v>6.5</v>
      </c>
      <c r="BP111" s="93">
        <v>250</v>
      </c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60"/>
      <c r="CF111" s="44" t="s">
        <v>12</v>
      </c>
      <c r="CG111" s="40">
        <v>0</v>
      </c>
      <c r="CI111" s="40">
        <v>2.68</v>
      </c>
      <c r="CR111" s="40">
        <v>0</v>
      </c>
      <c r="CS111" s="40">
        <v>0</v>
      </c>
      <c r="CT111" s="67">
        <v>0</v>
      </c>
      <c r="CU111" s="40">
        <v>1</v>
      </c>
      <c r="CV111" s="67">
        <v>0</v>
      </c>
      <c r="CW111" s="67">
        <v>0</v>
      </c>
      <c r="CX111" s="67">
        <v>0</v>
      </c>
      <c r="CY111" s="67">
        <v>0</v>
      </c>
      <c r="CZ111" s="67">
        <v>0</v>
      </c>
      <c r="DA111" s="67">
        <v>0</v>
      </c>
      <c r="DB111" s="67">
        <v>0</v>
      </c>
      <c r="DD111" s="40">
        <v>2</v>
      </c>
      <c r="DI111" s="40" t="s">
        <v>0</v>
      </c>
    </row>
    <row r="112" spans="1:113" s="40" customFormat="1" ht="15.75" thickBot="1" x14ac:dyDescent="0.3">
      <c r="A112" s="40">
        <v>528492</v>
      </c>
      <c r="B112" s="40" t="s">
        <v>6</v>
      </c>
      <c r="C112" s="53" t="s">
        <v>15</v>
      </c>
      <c r="D112" s="40">
        <v>60</v>
      </c>
      <c r="E112" s="40">
        <v>0</v>
      </c>
      <c r="F112" s="40">
        <v>60</v>
      </c>
      <c r="G112" s="40">
        <v>8</v>
      </c>
      <c r="H112" s="40">
        <v>0</v>
      </c>
      <c r="I112" s="40">
        <v>12</v>
      </c>
      <c r="J112" s="54" t="s">
        <v>344</v>
      </c>
      <c r="K112" s="54" t="s">
        <v>345</v>
      </c>
      <c r="L112" s="56">
        <v>45966.497511574074</v>
      </c>
      <c r="M112" s="40">
        <v>0</v>
      </c>
      <c r="N112" s="40">
        <v>0</v>
      </c>
      <c r="O112" s="40">
        <v>0</v>
      </c>
      <c r="S112" s="40" t="b">
        <v>0</v>
      </c>
      <c r="T112" s="40">
        <v>2</v>
      </c>
      <c r="U112" s="52">
        <v>6.5</v>
      </c>
      <c r="V112" s="40">
        <v>2</v>
      </c>
      <c r="W112" s="40">
        <v>0</v>
      </c>
      <c r="X112" s="40">
        <v>500</v>
      </c>
      <c r="Z112" s="40">
        <v>10</v>
      </c>
      <c r="AB112" s="52">
        <v>25</v>
      </c>
      <c r="AD112" s="40">
        <v>80</v>
      </c>
      <c r="AF112" s="40">
        <v>2000</v>
      </c>
      <c r="AG112" s="40">
        <v>2</v>
      </c>
      <c r="AH112" s="40">
        <v>6.929999828338623</v>
      </c>
      <c r="AI112" s="40">
        <v>648</v>
      </c>
      <c r="AJ112" s="40">
        <v>0</v>
      </c>
      <c r="AK112" s="40">
        <v>81</v>
      </c>
      <c r="AM112" s="40" t="s">
        <v>2</v>
      </c>
      <c r="AO112" s="40">
        <v>24</v>
      </c>
      <c r="AW112" s="40" t="b">
        <v>0</v>
      </c>
      <c r="BD112" s="40" t="s">
        <v>371</v>
      </c>
      <c r="BE112" s="244"/>
      <c r="BF112" s="40">
        <v>1.6</v>
      </c>
      <c r="BG112" s="40">
        <v>1</v>
      </c>
      <c r="BH112" s="40">
        <v>0.55000000000000004</v>
      </c>
      <c r="BI112" s="40">
        <v>0</v>
      </c>
      <c r="BJ112" s="40">
        <v>0</v>
      </c>
      <c r="BM112" s="33" t="s">
        <v>1</v>
      </c>
      <c r="BN112" s="57">
        <f t="shared" si="17"/>
        <v>60</v>
      </c>
      <c r="BO112" s="35">
        <f t="shared" si="18"/>
        <v>6.5</v>
      </c>
      <c r="BP112" s="93">
        <v>250</v>
      </c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60"/>
      <c r="CF112" s="44" t="s">
        <v>12</v>
      </c>
      <c r="CG112" s="40">
        <v>0</v>
      </c>
      <c r="CI112" s="40">
        <v>2.68</v>
      </c>
      <c r="CR112" s="40">
        <v>0</v>
      </c>
      <c r="CS112" s="40">
        <v>0</v>
      </c>
      <c r="CT112" s="67">
        <v>0</v>
      </c>
      <c r="CU112" s="40">
        <v>1</v>
      </c>
      <c r="CV112" s="67">
        <v>0</v>
      </c>
      <c r="CW112" s="67">
        <v>0</v>
      </c>
      <c r="CX112" s="67">
        <v>0</v>
      </c>
      <c r="CY112" s="67">
        <v>0</v>
      </c>
      <c r="CZ112" s="67">
        <v>0</v>
      </c>
      <c r="DA112" s="67">
        <v>0</v>
      </c>
      <c r="DB112" s="67">
        <v>0</v>
      </c>
      <c r="DD112" s="40">
        <v>2</v>
      </c>
      <c r="DI112" s="40" t="s">
        <v>0</v>
      </c>
    </row>
    <row r="113" spans="1:113" s="40" customFormat="1" ht="15.75" thickBot="1" x14ac:dyDescent="0.3">
      <c r="A113" s="40">
        <v>528495</v>
      </c>
      <c r="B113" s="40" t="s">
        <v>6</v>
      </c>
      <c r="C113" s="53" t="s">
        <v>15</v>
      </c>
      <c r="D113" s="40">
        <v>60</v>
      </c>
      <c r="E113" s="40">
        <v>0</v>
      </c>
      <c r="F113" s="40">
        <v>60</v>
      </c>
      <c r="G113" s="40">
        <v>11</v>
      </c>
      <c r="H113" s="40">
        <v>0</v>
      </c>
      <c r="I113" s="40">
        <v>17</v>
      </c>
      <c r="J113" s="54" t="s">
        <v>346</v>
      </c>
      <c r="K113" s="54" t="s">
        <v>347</v>
      </c>
      <c r="L113" s="56">
        <v>45966.498414351852</v>
      </c>
      <c r="M113" s="40">
        <v>0</v>
      </c>
      <c r="N113" s="40">
        <v>0</v>
      </c>
      <c r="O113" s="40">
        <v>0</v>
      </c>
      <c r="S113" s="40" t="b">
        <v>0</v>
      </c>
      <c r="T113" s="40">
        <v>2</v>
      </c>
      <c r="U113" s="52">
        <v>5.5</v>
      </c>
      <c r="V113" s="40">
        <v>2</v>
      </c>
      <c r="W113" s="40">
        <v>0</v>
      </c>
      <c r="X113" s="40">
        <v>500</v>
      </c>
      <c r="Z113" s="40">
        <v>10</v>
      </c>
      <c r="AB113" s="52">
        <v>35</v>
      </c>
      <c r="AD113" s="40">
        <v>80</v>
      </c>
      <c r="AF113" s="40">
        <v>2000</v>
      </c>
      <c r="AG113" s="40">
        <v>2</v>
      </c>
      <c r="AH113" s="40">
        <v>5.8499999046325684</v>
      </c>
      <c r="AI113" s="40">
        <v>631</v>
      </c>
      <c r="AJ113" s="40">
        <v>0</v>
      </c>
      <c r="AK113" s="40">
        <v>105</v>
      </c>
      <c r="AM113" s="40" t="s">
        <v>2</v>
      </c>
      <c r="AO113" s="40">
        <v>34</v>
      </c>
      <c r="AW113" s="40" t="b">
        <v>0</v>
      </c>
      <c r="BD113" s="40" t="s">
        <v>372</v>
      </c>
      <c r="BE113" s="244"/>
      <c r="BF113" s="40">
        <v>0.55000000000000004</v>
      </c>
      <c r="BG113" s="40">
        <v>0.9</v>
      </c>
      <c r="BH113" s="40">
        <v>0.55000000000000004</v>
      </c>
      <c r="BI113" s="40">
        <v>0</v>
      </c>
      <c r="BJ113" s="40">
        <v>0</v>
      </c>
      <c r="BM113" s="33" t="s">
        <v>1</v>
      </c>
      <c r="BN113" s="57">
        <f t="shared" si="17"/>
        <v>60</v>
      </c>
      <c r="BO113" s="35">
        <f t="shared" si="18"/>
        <v>5.5</v>
      </c>
      <c r="BP113" s="93">
        <v>250</v>
      </c>
      <c r="BT113" s="59"/>
      <c r="BU113" s="59"/>
      <c r="BV113" s="59"/>
      <c r="BW113" s="59"/>
      <c r="BX113" s="59"/>
      <c r="BY113" s="59"/>
      <c r="BZ113" s="59"/>
      <c r="CA113" s="59"/>
      <c r="CB113" s="59"/>
      <c r="CC113" s="59"/>
      <c r="CD113" s="59"/>
      <c r="CE113" s="60"/>
      <c r="CF113" s="44" t="s">
        <v>16</v>
      </c>
      <c r="CI113" s="40">
        <v>2.68</v>
      </c>
      <c r="CR113" s="40">
        <v>0</v>
      </c>
      <c r="CS113" s="40">
        <v>0</v>
      </c>
      <c r="CT113" s="67">
        <v>0</v>
      </c>
      <c r="CU113" s="40">
        <v>0</v>
      </c>
      <c r="CV113" s="67">
        <v>0</v>
      </c>
      <c r="CW113" s="67">
        <v>0</v>
      </c>
      <c r="CX113" s="67">
        <v>0</v>
      </c>
      <c r="CY113" s="67">
        <v>0</v>
      </c>
      <c r="CZ113" s="67">
        <v>0</v>
      </c>
      <c r="DA113" s="67">
        <v>0</v>
      </c>
      <c r="DB113" s="67">
        <v>0</v>
      </c>
      <c r="DD113" s="40">
        <v>0</v>
      </c>
      <c r="DI113" s="40" t="s">
        <v>0</v>
      </c>
    </row>
    <row r="114" spans="1:113" s="40" customFormat="1" ht="15.75" thickBot="1" x14ac:dyDescent="0.3">
      <c r="A114" s="40">
        <v>528497</v>
      </c>
      <c r="B114" s="40" t="s">
        <v>6</v>
      </c>
      <c r="C114" s="53" t="s">
        <v>15</v>
      </c>
      <c r="D114" s="40">
        <v>60</v>
      </c>
      <c r="E114" s="40">
        <v>0</v>
      </c>
      <c r="F114" s="40">
        <v>60</v>
      </c>
      <c r="G114" s="40">
        <v>13</v>
      </c>
      <c r="H114" s="40">
        <v>0</v>
      </c>
      <c r="I114" s="40">
        <v>25</v>
      </c>
      <c r="J114" s="54" t="s">
        <v>348</v>
      </c>
      <c r="K114" s="54" t="s">
        <v>349</v>
      </c>
      <c r="L114" s="56">
        <v>45966.499328703707</v>
      </c>
      <c r="M114" s="40">
        <v>0</v>
      </c>
      <c r="N114" s="40">
        <v>0</v>
      </c>
      <c r="O114" s="40">
        <v>0</v>
      </c>
      <c r="S114" s="40" t="b">
        <v>0</v>
      </c>
      <c r="T114" s="40">
        <v>2</v>
      </c>
      <c r="U114" s="52">
        <v>7</v>
      </c>
      <c r="V114" s="40">
        <v>2</v>
      </c>
      <c r="W114" s="40">
        <v>0</v>
      </c>
      <c r="X114" s="40">
        <v>500</v>
      </c>
      <c r="Z114" s="40">
        <v>10</v>
      </c>
      <c r="AB114" s="52">
        <v>50</v>
      </c>
      <c r="AD114" s="40">
        <v>80</v>
      </c>
      <c r="AF114" s="40">
        <v>2000</v>
      </c>
      <c r="AG114" s="40">
        <v>2</v>
      </c>
      <c r="AH114" s="40">
        <v>7.1999998092651367</v>
      </c>
      <c r="AI114" s="40">
        <v>826</v>
      </c>
      <c r="AJ114" s="40">
        <v>0</v>
      </c>
      <c r="AK114" s="40">
        <v>267</v>
      </c>
      <c r="AM114" s="40" t="s">
        <v>2</v>
      </c>
      <c r="AO114" s="40">
        <v>50</v>
      </c>
      <c r="AW114" s="40" t="b">
        <v>0</v>
      </c>
      <c r="BD114" s="40" t="s">
        <v>373</v>
      </c>
      <c r="BE114" s="244"/>
      <c r="BF114" s="40">
        <v>1.6</v>
      </c>
      <c r="BG114" s="40">
        <v>1</v>
      </c>
      <c r="BH114" s="40">
        <v>1</v>
      </c>
      <c r="BI114" s="40">
        <v>0.55000000000000004</v>
      </c>
      <c r="BJ114" s="40">
        <v>0</v>
      </c>
      <c r="BM114" s="33" t="s">
        <v>1</v>
      </c>
      <c r="BN114" s="57">
        <f t="shared" si="17"/>
        <v>60</v>
      </c>
      <c r="BO114" s="35">
        <f t="shared" si="18"/>
        <v>7</v>
      </c>
      <c r="BP114" s="93">
        <v>250</v>
      </c>
      <c r="BT114" s="59"/>
      <c r="BU114" s="59"/>
      <c r="BV114" s="59"/>
      <c r="BW114" s="59"/>
      <c r="BX114" s="59"/>
      <c r="BY114" s="59"/>
      <c r="BZ114" s="59"/>
      <c r="CA114" s="59"/>
      <c r="CB114" s="59"/>
      <c r="CC114" s="59"/>
      <c r="CD114" s="59"/>
      <c r="CE114" s="60"/>
      <c r="CF114" s="44" t="s">
        <v>12</v>
      </c>
      <c r="CG114" s="40">
        <v>0</v>
      </c>
      <c r="CI114" s="40">
        <v>5.08</v>
      </c>
      <c r="CR114" s="40">
        <v>0</v>
      </c>
      <c r="CS114" s="40">
        <v>0</v>
      </c>
      <c r="CT114" s="67">
        <v>0</v>
      </c>
      <c r="CU114" s="40">
        <v>1</v>
      </c>
      <c r="CV114" s="67">
        <v>0</v>
      </c>
      <c r="CW114" s="67">
        <v>0</v>
      </c>
      <c r="CX114" s="67">
        <v>0</v>
      </c>
      <c r="CY114" s="67">
        <v>0</v>
      </c>
      <c r="CZ114" s="67">
        <v>0</v>
      </c>
      <c r="DA114" s="67">
        <v>0</v>
      </c>
      <c r="DB114" s="67">
        <v>0</v>
      </c>
      <c r="DD114" s="40">
        <v>2</v>
      </c>
      <c r="DI114" s="40" t="s">
        <v>0</v>
      </c>
    </row>
    <row r="115" spans="1:113" s="40" customFormat="1" ht="15.75" thickBot="1" x14ac:dyDescent="0.3">
      <c r="A115" s="40">
        <v>528498</v>
      </c>
      <c r="B115" s="40" t="s">
        <v>6</v>
      </c>
      <c r="C115" s="53" t="s">
        <v>15</v>
      </c>
      <c r="D115" s="40">
        <v>60</v>
      </c>
      <c r="E115" s="40">
        <v>0</v>
      </c>
      <c r="F115" s="40">
        <v>60</v>
      </c>
      <c r="G115" s="40">
        <v>14</v>
      </c>
      <c r="H115" s="40">
        <v>0</v>
      </c>
      <c r="I115" s="40">
        <v>25</v>
      </c>
      <c r="J115" s="54" t="s">
        <v>350</v>
      </c>
      <c r="K115" s="54" t="s">
        <v>351</v>
      </c>
      <c r="L115" s="56">
        <v>45966.499409722222</v>
      </c>
      <c r="M115" s="40">
        <v>0</v>
      </c>
      <c r="N115" s="40">
        <v>0</v>
      </c>
      <c r="O115" s="40">
        <v>0</v>
      </c>
      <c r="S115" s="40" t="b">
        <v>0</v>
      </c>
      <c r="T115" s="40">
        <v>2</v>
      </c>
      <c r="U115" s="52">
        <v>6.5</v>
      </c>
      <c r="V115" s="40">
        <v>2</v>
      </c>
      <c r="W115" s="40">
        <v>0</v>
      </c>
      <c r="X115" s="40">
        <v>500</v>
      </c>
      <c r="Z115" s="40">
        <v>10</v>
      </c>
      <c r="AB115" s="52">
        <v>50</v>
      </c>
      <c r="AD115" s="40">
        <v>80</v>
      </c>
      <c r="AF115" s="40">
        <v>2000</v>
      </c>
      <c r="AG115" s="40">
        <v>2</v>
      </c>
      <c r="AH115" s="40">
        <v>6.690000057220459</v>
      </c>
      <c r="AI115" s="40">
        <v>745</v>
      </c>
      <c r="AJ115" s="40">
        <v>0</v>
      </c>
      <c r="AK115" s="40">
        <v>222</v>
      </c>
      <c r="AM115" s="40" t="s">
        <v>2</v>
      </c>
      <c r="AO115" s="40">
        <v>50</v>
      </c>
      <c r="AW115" s="40" t="b">
        <v>0</v>
      </c>
      <c r="BD115" s="40" t="s">
        <v>373</v>
      </c>
      <c r="BE115" s="244"/>
      <c r="BF115" s="40">
        <v>1.6</v>
      </c>
      <c r="BG115" s="40">
        <v>1</v>
      </c>
      <c r="BH115" s="40">
        <v>1</v>
      </c>
      <c r="BI115" s="40">
        <v>0.55000000000000004</v>
      </c>
      <c r="BJ115" s="40">
        <v>0</v>
      </c>
      <c r="BM115" s="33" t="s">
        <v>1</v>
      </c>
      <c r="BN115" s="57">
        <f t="shared" si="17"/>
        <v>60</v>
      </c>
      <c r="BO115" s="35">
        <f t="shared" si="18"/>
        <v>6.5</v>
      </c>
      <c r="BP115" s="93">
        <v>250</v>
      </c>
      <c r="BT115" s="59"/>
      <c r="BU115" s="59"/>
      <c r="BV115" s="59"/>
      <c r="BW115" s="59"/>
      <c r="BX115" s="59"/>
      <c r="BY115" s="59"/>
      <c r="BZ115" s="59"/>
      <c r="CA115" s="59"/>
      <c r="CB115" s="59"/>
      <c r="CC115" s="59"/>
      <c r="CD115" s="59"/>
      <c r="CE115" s="60"/>
      <c r="CF115" s="44" t="s">
        <v>12</v>
      </c>
      <c r="CG115" s="40">
        <v>0</v>
      </c>
      <c r="CI115" s="40">
        <v>5.08</v>
      </c>
      <c r="CR115" s="40">
        <v>0</v>
      </c>
      <c r="CS115" s="40">
        <v>0</v>
      </c>
      <c r="CT115" s="67">
        <v>0</v>
      </c>
      <c r="CU115" s="40">
        <v>1</v>
      </c>
      <c r="CV115" s="67">
        <v>0</v>
      </c>
      <c r="CW115" s="67">
        <v>0</v>
      </c>
      <c r="CX115" s="67">
        <v>0</v>
      </c>
      <c r="CY115" s="67">
        <v>0</v>
      </c>
      <c r="CZ115" s="67">
        <v>0</v>
      </c>
      <c r="DA115" s="67">
        <v>0</v>
      </c>
      <c r="DB115" s="67">
        <v>0</v>
      </c>
      <c r="DD115" s="40">
        <v>2</v>
      </c>
      <c r="DI115" s="40" t="s">
        <v>0</v>
      </c>
    </row>
    <row r="116" spans="1:113" s="40" customFormat="1" ht="15.75" thickBot="1" x14ac:dyDescent="0.3">
      <c r="A116" s="40">
        <v>528499</v>
      </c>
      <c r="B116" s="40" t="s">
        <v>6</v>
      </c>
      <c r="C116" s="53" t="s">
        <v>15</v>
      </c>
      <c r="D116" s="40">
        <v>60</v>
      </c>
      <c r="E116" s="40">
        <v>0</v>
      </c>
      <c r="F116" s="40">
        <v>60</v>
      </c>
      <c r="G116" s="40">
        <v>15</v>
      </c>
      <c r="H116" s="40">
        <v>0</v>
      </c>
      <c r="I116" s="40">
        <v>17</v>
      </c>
      <c r="J116" s="54" t="s">
        <v>352</v>
      </c>
      <c r="K116" s="54" t="s">
        <v>353</v>
      </c>
      <c r="L116" s="56">
        <v>45966.499525462961</v>
      </c>
      <c r="M116" s="40">
        <v>0</v>
      </c>
      <c r="N116" s="40">
        <v>0</v>
      </c>
      <c r="O116" s="40">
        <v>0</v>
      </c>
      <c r="S116" s="40" t="b">
        <v>0</v>
      </c>
      <c r="T116" s="40">
        <v>2</v>
      </c>
      <c r="U116" s="52">
        <v>7.5</v>
      </c>
      <c r="V116" s="40">
        <v>2</v>
      </c>
      <c r="W116" s="40">
        <v>0</v>
      </c>
      <c r="X116" s="40">
        <v>500</v>
      </c>
      <c r="Z116" s="40">
        <v>10</v>
      </c>
      <c r="AB116" s="52">
        <v>35</v>
      </c>
      <c r="AD116" s="40">
        <v>80</v>
      </c>
      <c r="AF116" s="40">
        <v>2000</v>
      </c>
      <c r="AG116" s="40">
        <v>2</v>
      </c>
      <c r="AH116" s="40">
        <v>7.7899999618530273</v>
      </c>
      <c r="AI116" s="40">
        <v>775</v>
      </c>
      <c r="AJ116" s="40">
        <v>0</v>
      </c>
      <c r="AK116" s="40">
        <v>176</v>
      </c>
      <c r="AM116" s="40" t="s">
        <v>2</v>
      </c>
      <c r="AO116" s="40">
        <v>34</v>
      </c>
      <c r="AW116" s="40" t="b">
        <v>0</v>
      </c>
      <c r="BD116" s="40" t="s">
        <v>373</v>
      </c>
      <c r="BE116" s="244"/>
      <c r="BF116" s="40">
        <v>1.6</v>
      </c>
      <c r="BG116" s="40">
        <v>1</v>
      </c>
      <c r="BH116" s="40">
        <v>1</v>
      </c>
      <c r="BI116" s="40">
        <v>0.55000000000000004</v>
      </c>
      <c r="BJ116" s="40">
        <v>0</v>
      </c>
      <c r="BM116" s="33" t="s">
        <v>1</v>
      </c>
      <c r="BN116" s="57">
        <f t="shared" si="17"/>
        <v>60</v>
      </c>
      <c r="BO116" s="35">
        <f t="shared" si="18"/>
        <v>7.5</v>
      </c>
      <c r="BP116" s="93">
        <v>250</v>
      </c>
      <c r="BT116" s="59"/>
      <c r="BU116" s="59"/>
      <c r="BV116" s="59"/>
      <c r="BW116" s="59"/>
      <c r="BX116" s="59"/>
      <c r="BY116" s="59"/>
      <c r="BZ116" s="59"/>
      <c r="CA116" s="59"/>
      <c r="CB116" s="59"/>
      <c r="CC116" s="59"/>
      <c r="CD116" s="59"/>
      <c r="CE116" s="60"/>
      <c r="CF116" s="44" t="s">
        <v>12</v>
      </c>
      <c r="CG116" s="40">
        <v>0</v>
      </c>
      <c r="CI116" s="40">
        <v>5.08</v>
      </c>
      <c r="CR116" s="40">
        <v>0</v>
      </c>
      <c r="CS116" s="40">
        <v>0</v>
      </c>
      <c r="CT116" s="67">
        <v>0</v>
      </c>
      <c r="CU116" s="40">
        <v>1</v>
      </c>
      <c r="CV116" s="67">
        <v>0</v>
      </c>
      <c r="CW116" s="67">
        <v>0</v>
      </c>
      <c r="CX116" s="67">
        <v>0</v>
      </c>
      <c r="CY116" s="67">
        <v>0</v>
      </c>
      <c r="CZ116" s="67">
        <v>0</v>
      </c>
      <c r="DA116" s="67">
        <v>0</v>
      </c>
      <c r="DB116" s="67">
        <v>0</v>
      </c>
      <c r="DD116" s="40">
        <v>2</v>
      </c>
      <c r="DI116" s="40" t="s">
        <v>0</v>
      </c>
    </row>
    <row r="117" spans="1:113" s="40" customFormat="1" ht="15.75" thickBot="1" x14ac:dyDescent="0.3">
      <c r="A117" s="40">
        <v>528500</v>
      </c>
      <c r="B117" s="40" t="s">
        <v>6</v>
      </c>
      <c r="C117" s="53" t="s">
        <v>15</v>
      </c>
      <c r="D117" s="40">
        <v>60</v>
      </c>
      <c r="E117" s="40">
        <v>0</v>
      </c>
      <c r="F117" s="40">
        <v>60</v>
      </c>
      <c r="G117" s="40">
        <v>16</v>
      </c>
      <c r="H117" s="40">
        <v>0</v>
      </c>
      <c r="I117" s="40">
        <v>12</v>
      </c>
      <c r="J117" s="54" t="s">
        <v>354</v>
      </c>
      <c r="K117" s="54" t="s">
        <v>355</v>
      </c>
      <c r="L117" s="56">
        <v>45966.499606481484</v>
      </c>
      <c r="M117" s="40">
        <v>0</v>
      </c>
      <c r="N117" s="40">
        <v>0</v>
      </c>
      <c r="O117" s="40">
        <v>0</v>
      </c>
      <c r="S117" s="40" t="b">
        <v>0</v>
      </c>
      <c r="T117" s="40">
        <v>2</v>
      </c>
      <c r="U117" s="52">
        <v>7.5</v>
      </c>
      <c r="V117" s="40">
        <v>2</v>
      </c>
      <c r="W117" s="40">
        <v>0</v>
      </c>
      <c r="X117" s="40">
        <v>500</v>
      </c>
      <c r="Z117" s="40">
        <v>10</v>
      </c>
      <c r="AB117" s="52">
        <v>25</v>
      </c>
      <c r="AD117" s="40">
        <v>80</v>
      </c>
      <c r="AF117" s="40">
        <v>2000</v>
      </c>
      <c r="AG117" s="40">
        <v>2</v>
      </c>
      <c r="AH117" s="40">
        <v>8</v>
      </c>
      <c r="AI117" s="40">
        <v>732</v>
      </c>
      <c r="AJ117" s="40">
        <v>0</v>
      </c>
      <c r="AK117" s="40">
        <v>107</v>
      </c>
      <c r="AM117" s="40" t="s">
        <v>2</v>
      </c>
      <c r="AO117" s="40">
        <v>24</v>
      </c>
      <c r="AW117" s="40" t="b">
        <v>0</v>
      </c>
      <c r="BD117" s="40" t="s">
        <v>373</v>
      </c>
      <c r="BE117" s="244"/>
      <c r="BF117" s="40">
        <v>1.6</v>
      </c>
      <c r="BG117" s="40">
        <v>1</v>
      </c>
      <c r="BH117" s="40">
        <v>1</v>
      </c>
      <c r="BI117" s="40">
        <v>0.55000000000000004</v>
      </c>
      <c r="BJ117" s="40">
        <v>0</v>
      </c>
      <c r="BM117" s="33" t="s">
        <v>1</v>
      </c>
      <c r="BN117" s="57">
        <f t="shared" si="17"/>
        <v>60</v>
      </c>
      <c r="BO117" s="35">
        <f t="shared" si="18"/>
        <v>7.5</v>
      </c>
      <c r="BP117" s="93">
        <v>250</v>
      </c>
      <c r="BT117" s="59"/>
      <c r="BU117" s="59"/>
      <c r="BV117" s="59"/>
      <c r="BW117" s="59"/>
      <c r="BX117" s="59"/>
      <c r="BY117" s="59"/>
      <c r="BZ117" s="59"/>
      <c r="CA117" s="59"/>
      <c r="CB117" s="59"/>
      <c r="CC117" s="59"/>
      <c r="CD117" s="59"/>
      <c r="CE117" s="60"/>
      <c r="CF117" s="44" t="s">
        <v>12</v>
      </c>
      <c r="CG117" s="40">
        <v>0</v>
      </c>
      <c r="CI117" s="40">
        <v>5.08</v>
      </c>
      <c r="CR117" s="40">
        <v>0</v>
      </c>
      <c r="CS117" s="40">
        <v>0</v>
      </c>
      <c r="CT117" s="67">
        <v>0</v>
      </c>
      <c r="CU117" s="40">
        <v>1</v>
      </c>
      <c r="CV117" s="67">
        <v>0</v>
      </c>
      <c r="CW117" s="67">
        <v>0</v>
      </c>
      <c r="CX117" s="67">
        <v>0</v>
      </c>
      <c r="CY117" s="67">
        <v>0</v>
      </c>
      <c r="CZ117" s="67">
        <v>0</v>
      </c>
      <c r="DA117" s="67">
        <v>0</v>
      </c>
      <c r="DB117" s="67">
        <v>0</v>
      </c>
      <c r="DD117" s="40">
        <v>2</v>
      </c>
      <c r="DI117" s="40" t="s">
        <v>0</v>
      </c>
    </row>
    <row r="118" spans="1:113" s="40" customFormat="1" ht="15.75" thickBot="1" x14ac:dyDescent="0.3">
      <c r="A118" s="40">
        <v>528501</v>
      </c>
      <c r="B118" s="40" t="s">
        <v>6</v>
      </c>
      <c r="C118" s="53" t="s">
        <v>15</v>
      </c>
      <c r="D118" s="40">
        <v>60</v>
      </c>
      <c r="E118" s="40">
        <v>0</v>
      </c>
      <c r="F118" s="40">
        <v>60</v>
      </c>
      <c r="G118" s="40">
        <v>17</v>
      </c>
      <c r="H118" s="40">
        <v>0</v>
      </c>
      <c r="I118" s="40">
        <v>25</v>
      </c>
      <c r="J118" s="54" t="s">
        <v>356</v>
      </c>
      <c r="K118" s="54" t="s">
        <v>357</v>
      </c>
      <c r="L118" s="56">
        <v>45966.500150462962</v>
      </c>
      <c r="M118" s="40">
        <v>0</v>
      </c>
      <c r="N118" s="40">
        <v>0</v>
      </c>
      <c r="O118" s="40">
        <v>0</v>
      </c>
      <c r="S118" s="40" t="b">
        <v>0</v>
      </c>
      <c r="T118" s="40">
        <v>2</v>
      </c>
      <c r="U118" s="52">
        <v>6.5</v>
      </c>
      <c r="V118" s="40">
        <v>2</v>
      </c>
      <c r="W118" s="40">
        <v>0</v>
      </c>
      <c r="X118" s="40">
        <v>500</v>
      </c>
      <c r="Z118" s="40">
        <v>10</v>
      </c>
      <c r="AB118" s="52">
        <v>50</v>
      </c>
      <c r="AD118" s="40">
        <v>80</v>
      </c>
      <c r="AF118" s="40">
        <v>2000</v>
      </c>
      <c r="AG118" s="40">
        <v>2</v>
      </c>
      <c r="AH118" s="40">
        <v>7.320000171661377</v>
      </c>
      <c r="AI118" s="40">
        <v>847</v>
      </c>
      <c r="AJ118" s="40">
        <v>0</v>
      </c>
      <c r="AK118" s="40">
        <v>275</v>
      </c>
      <c r="AM118" s="40" t="s">
        <v>2</v>
      </c>
      <c r="AO118" s="40">
        <v>50</v>
      </c>
      <c r="AW118" s="40" t="b">
        <v>0</v>
      </c>
      <c r="BD118" s="40" t="s">
        <v>374</v>
      </c>
      <c r="BE118" s="244"/>
      <c r="BF118" s="40">
        <v>0.55000000000000004</v>
      </c>
      <c r="BG118" s="40">
        <v>1.6</v>
      </c>
      <c r="BH118" s="40">
        <v>1</v>
      </c>
      <c r="BI118" s="40">
        <v>0.55000000000000004</v>
      </c>
      <c r="BJ118" s="40">
        <v>0</v>
      </c>
      <c r="BM118" s="33" t="s">
        <v>1</v>
      </c>
      <c r="BN118" s="57">
        <f t="shared" si="17"/>
        <v>60</v>
      </c>
      <c r="BO118" s="35">
        <f t="shared" si="18"/>
        <v>6.5</v>
      </c>
      <c r="BP118" s="93">
        <v>250</v>
      </c>
      <c r="BT118" s="59"/>
      <c r="BU118" s="59"/>
      <c r="BV118" s="59"/>
      <c r="BW118" s="59"/>
      <c r="BX118" s="59"/>
      <c r="BY118" s="59"/>
      <c r="BZ118" s="59"/>
      <c r="CA118" s="59"/>
      <c r="CB118" s="59"/>
      <c r="CC118" s="59"/>
      <c r="CD118" s="59"/>
      <c r="CE118" s="60"/>
      <c r="CF118" s="44" t="s">
        <v>12</v>
      </c>
      <c r="CG118" s="40">
        <v>0</v>
      </c>
      <c r="CI118" s="40">
        <v>2.68</v>
      </c>
      <c r="CR118" s="40">
        <v>0</v>
      </c>
      <c r="CS118" s="40">
        <v>0</v>
      </c>
      <c r="CT118" s="67">
        <v>0</v>
      </c>
      <c r="CU118" s="40">
        <v>1</v>
      </c>
      <c r="CV118" s="67">
        <v>0</v>
      </c>
      <c r="CW118" s="67">
        <v>0</v>
      </c>
      <c r="CX118" s="67">
        <v>0</v>
      </c>
      <c r="CY118" s="67">
        <v>0</v>
      </c>
      <c r="CZ118" s="67">
        <v>0</v>
      </c>
      <c r="DA118" s="67">
        <v>0</v>
      </c>
      <c r="DB118" s="67">
        <v>0</v>
      </c>
      <c r="DD118" s="40">
        <v>2</v>
      </c>
      <c r="DI118" s="40" t="s">
        <v>0</v>
      </c>
    </row>
    <row r="119" spans="1:113" s="40" customFormat="1" ht="15.75" thickBot="1" x14ac:dyDescent="0.3">
      <c r="A119" s="40">
        <v>528502</v>
      </c>
      <c r="B119" s="40" t="s">
        <v>6</v>
      </c>
      <c r="C119" s="53" t="s">
        <v>15</v>
      </c>
      <c r="D119" s="40">
        <v>60</v>
      </c>
      <c r="E119" s="40">
        <v>0</v>
      </c>
      <c r="F119" s="40">
        <v>60</v>
      </c>
      <c r="G119" s="40">
        <v>18</v>
      </c>
      <c r="H119" s="40">
        <v>0</v>
      </c>
      <c r="I119" s="40">
        <v>35</v>
      </c>
      <c r="J119" s="54" t="s">
        <v>358</v>
      </c>
      <c r="K119" s="54" t="s">
        <v>359</v>
      </c>
      <c r="L119" s="56">
        <v>45966.500532407408</v>
      </c>
      <c r="M119" s="40">
        <v>0</v>
      </c>
      <c r="N119" s="40">
        <v>0</v>
      </c>
      <c r="O119" s="40">
        <v>0</v>
      </c>
      <c r="S119" s="40" t="b">
        <v>0</v>
      </c>
      <c r="T119" s="40">
        <v>2</v>
      </c>
      <c r="U119" s="52">
        <v>6</v>
      </c>
      <c r="V119" s="40">
        <v>2</v>
      </c>
      <c r="W119" s="40">
        <v>0</v>
      </c>
      <c r="X119" s="40">
        <v>500</v>
      </c>
      <c r="Z119" s="40">
        <v>10</v>
      </c>
      <c r="AB119" s="52">
        <v>70</v>
      </c>
      <c r="AD119" s="40">
        <v>80</v>
      </c>
      <c r="AF119" s="40">
        <v>2000</v>
      </c>
      <c r="AG119" s="40">
        <v>2</v>
      </c>
      <c r="AH119" s="40">
        <v>6.179999828338623</v>
      </c>
      <c r="AI119" s="40">
        <v>758</v>
      </c>
      <c r="AJ119" s="40">
        <v>0</v>
      </c>
      <c r="AK119" s="40">
        <v>306</v>
      </c>
      <c r="AM119" s="40" t="s">
        <v>2</v>
      </c>
      <c r="AO119" s="40">
        <v>70</v>
      </c>
      <c r="AW119" s="40" t="b">
        <v>0</v>
      </c>
      <c r="BD119" s="40" t="s">
        <v>374</v>
      </c>
      <c r="BE119" s="244"/>
      <c r="BF119" s="40">
        <v>0.55000000000000004</v>
      </c>
      <c r="BG119" s="40">
        <v>1.6</v>
      </c>
      <c r="BH119" s="40">
        <v>1</v>
      </c>
      <c r="BI119" s="40">
        <v>0.55000000000000004</v>
      </c>
      <c r="BJ119" s="40">
        <v>0</v>
      </c>
      <c r="BM119" s="33" t="s">
        <v>1</v>
      </c>
      <c r="BN119" s="57">
        <f t="shared" si="17"/>
        <v>60</v>
      </c>
      <c r="BO119" s="35">
        <f t="shared" si="18"/>
        <v>6</v>
      </c>
      <c r="BP119" s="93">
        <v>250</v>
      </c>
      <c r="BT119" s="59"/>
      <c r="BU119" s="59"/>
      <c r="BV119" s="59"/>
      <c r="BW119" s="59"/>
      <c r="BX119" s="59"/>
      <c r="BY119" s="59"/>
      <c r="BZ119" s="59"/>
      <c r="CA119" s="59"/>
      <c r="CB119" s="59"/>
      <c r="CC119" s="59"/>
      <c r="CD119" s="59"/>
      <c r="CE119" s="60"/>
      <c r="CF119" s="44" t="s">
        <v>12</v>
      </c>
      <c r="CG119" s="40">
        <v>0</v>
      </c>
      <c r="CI119" s="40">
        <v>2.68</v>
      </c>
      <c r="CR119" s="40">
        <v>0</v>
      </c>
      <c r="CS119" s="40">
        <v>0</v>
      </c>
      <c r="CT119" s="67">
        <v>0</v>
      </c>
      <c r="CU119" s="40">
        <v>1</v>
      </c>
      <c r="CV119" s="67">
        <v>0</v>
      </c>
      <c r="CW119" s="67">
        <v>0</v>
      </c>
      <c r="CX119" s="67">
        <v>0</v>
      </c>
      <c r="CY119" s="67">
        <v>0</v>
      </c>
      <c r="CZ119" s="67">
        <v>0</v>
      </c>
      <c r="DA119" s="67">
        <v>0</v>
      </c>
      <c r="DB119" s="67">
        <v>0</v>
      </c>
      <c r="DD119" s="40">
        <v>2</v>
      </c>
      <c r="DI119" s="40" t="s">
        <v>0</v>
      </c>
    </row>
    <row r="120" spans="1:113" s="40" customFormat="1" ht="15.75" thickBot="1" x14ac:dyDescent="0.3">
      <c r="A120" s="40">
        <v>528503</v>
      </c>
      <c r="B120" s="40" t="s">
        <v>6</v>
      </c>
      <c r="C120" s="53" t="s">
        <v>15</v>
      </c>
      <c r="D120" s="40">
        <v>60</v>
      </c>
      <c r="E120" s="40">
        <v>0</v>
      </c>
      <c r="F120" s="40">
        <v>60</v>
      </c>
      <c r="G120" s="40">
        <v>19</v>
      </c>
      <c r="H120" s="40">
        <v>0</v>
      </c>
      <c r="I120" s="40">
        <v>22</v>
      </c>
      <c r="J120" s="54" t="s">
        <v>360</v>
      </c>
      <c r="K120" s="54" t="s">
        <v>361</v>
      </c>
      <c r="L120" s="56">
        <v>45966.500902777778</v>
      </c>
      <c r="M120" s="40">
        <v>0</v>
      </c>
      <c r="N120" s="40">
        <v>0</v>
      </c>
      <c r="O120" s="40">
        <v>0</v>
      </c>
      <c r="S120" s="40" t="b">
        <v>0</v>
      </c>
      <c r="T120" s="40">
        <v>2</v>
      </c>
      <c r="U120" s="52">
        <v>7</v>
      </c>
      <c r="V120" s="40">
        <v>2</v>
      </c>
      <c r="W120" s="40">
        <v>0</v>
      </c>
      <c r="X120" s="40">
        <v>500</v>
      </c>
      <c r="Z120" s="40">
        <v>10</v>
      </c>
      <c r="AB120" s="52">
        <v>45</v>
      </c>
      <c r="AD120" s="40">
        <v>80</v>
      </c>
      <c r="AF120" s="40">
        <v>2000</v>
      </c>
      <c r="AG120" s="40">
        <v>2</v>
      </c>
      <c r="AH120" s="40">
        <v>7.3400001525878906</v>
      </c>
      <c r="AI120" s="40">
        <v>830</v>
      </c>
      <c r="AJ120" s="40">
        <v>0</v>
      </c>
      <c r="AK120" s="40">
        <v>237</v>
      </c>
      <c r="AM120" s="40" t="s">
        <v>2</v>
      </c>
      <c r="AO120" s="40">
        <v>44</v>
      </c>
      <c r="AW120" s="40" t="b">
        <v>0</v>
      </c>
      <c r="BD120" s="40" t="s">
        <v>374</v>
      </c>
      <c r="BE120" s="244"/>
      <c r="BF120" s="40">
        <v>0.55000000000000004</v>
      </c>
      <c r="BG120" s="40">
        <v>1.6</v>
      </c>
      <c r="BH120" s="40">
        <v>1</v>
      </c>
      <c r="BI120" s="40">
        <v>0.55000000000000004</v>
      </c>
      <c r="BJ120" s="40">
        <v>0</v>
      </c>
      <c r="BM120" s="33" t="s">
        <v>1</v>
      </c>
      <c r="BN120" s="57">
        <f t="shared" si="17"/>
        <v>60</v>
      </c>
      <c r="BO120" s="35">
        <f t="shared" si="18"/>
        <v>7</v>
      </c>
      <c r="BP120" s="93">
        <v>250</v>
      </c>
      <c r="BT120" s="59"/>
      <c r="BU120" s="59"/>
      <c r="BV120" s="59"/>
      <c r="BW120" s="59"/>
      <c r="BX120" s="59"/>
      <c r="BY120" s="59"/>
      <c r="BZ120" s="59"/>
      <c r="CA120" s="59"/>
      <c r="CB120" s="59"/>
      <c r="CC120" s="59"/>
      <c r="CD120" s="59"/>
      <c r="CE120" s="60"/>
      <c r="CF120" s="44" t="s">
        <v>12</v>
      </c>
      <c r="CG120" s="40">
        <v>0</v>
      </c>
      <c r="CI120" s="40">
        <v>2.68</v>
      </c>
      <c r="CR120" s="40">
        <v>0</v>
      </c>
      <c r="CS120" s="40">
        <v>0</v>
      </c>
      <c r="CT120" s="67">
        <v>0</v>
      </c>
      <c r="CU120" s="40">
        <v>1</v>
      </c>
      <c r="CV120" s="67">
        <v>0</v>
      </c>
      <c r="CW120" s="67">
        <v>0</v>
      </c>
      <c r="CX120" s="67">
        <v>0</v>
      </c>
      <c r="CY120" s="67">
        <v>0</v>
      </c>
      <c r="CZ120" s="67">
        <v>0</v>
      </c>
      <c r="DA120" s="67">
        <v>0</v>
      </c>
      <c r="DB120" s="67">
        <v>0</v>
      </c>
      <c r="DD120" s="40">
        <v>2</v>
      </c>
      <c r="DI120" s="40" t="s">
        <v>0</v>
      </c>
    </row>
    <row r="121" spans="1:113" s="40" customFormat="1" ht="15.75" thickBot="1" x14ac:dyDescent="0.3">
      <c r="A121" s="40">
        <v>528505</v>
      </c>
      <c r="B121" s="40" t="s">
        <v>6</v>
      </c>
      <c r="C121" s="53" t="s">
        <v>15</v>
      </c>
      <c r="D121" s="40">
        <v>60</v>
      </c>
      <c r="E121" s="40">
        <v>0</v>
      </c>
      <c r="F121" s="40">
        <v>60</v>
      </c>
      <c r="G121" s="40">
        <v>21</v>
      </c>
      <c r="H121" s="40">
        <v>0</v>
      </c>
      <c r="I121" s="40">
        <v>32</v>
      </c>
      <c r="J121" s="54" t="s">
        <v>362</v>
      </c>
      <c r="K121" s="54" t="s">
        <v>363</v>
      </c>
      <c r="L121" s="56">
        <v>45966.502025462964</v>
      </c>
      <c r="M121" s="40">
        <v>0</v>
      </c>
      <c r="N121" s="40">
        <v>0</v>
      </c>
      <c r="O121" s="40">
        <v>0</v>
      </c>
      <c r="S121" s="40" t="b">
        <v>0</v>
      </c>
      <c r="T121" s="40">
        <v>2</v>
      </c>
      <c r="U121" s="52">
        <v>6.3000001907348633</v>
      </c>
      <c r="V121" s="40">
        <v>2</v>
      </c>
      <c r="W121" s="40">
        <v>0</v>
      </c>
      <c r="X121" s="40">
        <v>500</v>
      </c>
      <c r="Z121" s="40">
        <v>10</v>
      </c>
      <c r="AB121" s="52">
        <v>65</v>
      </c>
      <c r="AD121" s="40">
        <v>80</v>
      </c>
      <c r="AF121" s="40">
        <v>2000</v>
      </c>
      <c r="AG121" s="40">
        <v>2</v>
      </c>
      <c r="AH121" s="40">
        <v>6.5500001907348633</v>
      </c>
      <c r="AI121" s="40">
        <v>741</v>
      </c>
      <c r="AJ121" s="40">
        <v>0</v>
      </c>
      <c r="AK121" s="40">
        <v>291</v>
      </c>
      <c r="AM121" s="40" t="s">
        <v>2</v>
      </c>
      <c r="AO121" s="40">
        <v>64</v>
      </c>
      <c r="AW121" s="40" t="b">
        <v>0</v>
      </c>
      <c r="BD121" s="40" t="s">
        <v>375</v>
      </c>
      <c r="BE121" s="244"/>
      <c r="BF121" s="40">
        <v>0.9</v>
      </c>
      <c r="BG121" s="40">
        <v>0.55000000000000004</v>
      </c>
      <c r="BH121" s="40">
        <v>0.9</v>
      </c>
      <c r="BI121" s="40">
        <v>0.55000000000000004</v>
      </c>
      <c r="BJ121" s="40">
        <v>0</v>
      </c>
      <c r="BM121" s="33" t="s">
        <v>1</v>
      </c>
      <c r="BN121" s="57">
        <f t="shared" si="17"/>
        <v>60</v>
      </c>
      <c r="BO121" s="35">
        <f t="shared" si="18"/>
        <v>6.3000001907348633</v>
      </c>
      <c r="BP121" s="93">
        <v>250</v>
      </c>
      <c r="BT121" s="59"/>
      <c r="BU121" s="59"/>
      <c r="BV121" s="59"/>
      <c r="BW121" s="59"/>
      <c r="BX121" s="59"/>
      <c r="BY121" s="59"/>
      <c r="BZ121" s="59"/>
      <c r="CA121" s="59"/>
      <c r="CB121" s="59"/>
      <c r="CC121" s="59"/>
      <c r="CD121" s="59"/>
      <c r="CE121" s="60"/>
      <c r="CF121" s="44" t="s">
        <v>16</v>
      </c>
      <c r="CI121" s="40">
        <v>2.68</v>
      </c>
      <c r="CR121" s="40">
        <v>0</v>
      </c>
      <c r="CS121" s="40">
        <v>0</v>
      </c>
      <c r="CT121" s="67">
        <v>0</v>
      </c>
      <c r="CU121" s="40">
        <v>0</v>
      </c>
      <c r="CV121" s="67">
        <v>0</v>
      </c>
      <c r="CW121" s="67">
        <v>0</v>
      </c>
      <c r="CX121" s="67">
        <v>0</v>
      </c>
      <c r="CY121" s="67">
        <v>0</v>
      </c>
      <c r="CZ121" s="67">
        <v>0</v>
      </c>
      <c r="DA121" s="67">
        <v>0</v>
      </c>
      <c r="DB121" s="67">
        <v>0</v>
      </c>
      <c r="DD121" s="40">
        <v>0</v>
      </c>
      <c r="DI121" s="40" t="s">
        <v>0</v>
      </c>
    </row>
    <row r="122" spans="1:113" s="40" customFormat="1" ht="15.75" thickBot="1" x14ac:dyDescent="0.3">
      <c r="A122" s="40">
        <v>528506</v>
      </c>
      <c r="B122" s="40" t="s">
        <v>6</v>
      </c>
      <c r="C122" s="53" t="s">
        <v>15</v>
      </c>
      <c r="D122" s="40">
        <v>60</v>
      </c>
      <c r="E122" s="40">
        <v>0</v>
      </c>
      <c r="F122" s="40">
        <v>60</v>
      </c>
      <c r="G122" s="40">
        <v>22</v>
      </c>
      <c r="H122" s="40">
        <v>0</v>
      </c>
      <c r="I122" s="40">
        <v>31</v>
      </c>
      <c r="J122" s="54" t="s">
        <v>364</v>
      </c>
      <c r="K122" s="54" t="s">
        <v>365</v>
      </c>
      <c r="L122" s="56">
        <v>45966.502222222225</v>
      </c>
      <c r="M122" s="40">
        <v>0</v>
      </c>
      <c r="N122" s="40">
        <v>0</v>
      </c>
      <c r="O122" s="40">
        <v>0</v>
      </c>
      <c r="S122" s="40" t="b">
        <v>0</v>
      </c>
      <c r="T122" s="40">
        <v>2</v>
      </c>
      <c r="U122" s="52">
        <v>6</v>
      </c>
      <c r="V122" s="40">
        <v>2</v>
      </c>
      <c r="W122" s="40">
        <v>0</v>
      </c>
      <c r="X122" s="40">
        <v>500</v>
      </c>
      <c r="Z122" s="40">
        <v>10</v>
      </c>
      <c r="AB122" s="52">
        <v>62</v>
      </c>
      <c r="AD122" s="40">
        <v>80</v>
      </c>
      <c r="AF122" s="40">
        <v>2000</v>
      </c>
      <c r="AG122" s="40">
        <v>2</v>
      </c>
      <c r="AH122" s="40">
        <v>6.2100000381469727</v>
      </c>
      <c r="AI122" s="40">
        <v>707</v>
      </c>
      <c r="AJ122" s="40">
        <v>0</v>
      </c>
      <c r="AK122" s="40">
        <v>251</v>
      </c>
      <c r="AM122" s="40" t="s">
        <v>2</v>
      </c>
      <c r="AO122" s="40">
        <v>62</v>
      </c>
      <c r="AW122" s="40" t="b">
        <v>0</v>
      </c>
      <c r="BD122" s="40" t="s">
        <v>375</v>
      </c>
      <c r="BE122" s="244"/>
      <c r="BF122" s="40">
        <v>0.9</v>
      </c>
      <c r="BG122" s="40">
        <v>0.55000000000000004</v>
      </c>
      <c r="BH122" s="40">
        <v>0.9</v>
      </c>
      <c r="BI122" s="40">
        <v>0.55000000000000004</v>
      </c>
      <c r="BJ122" s="40">
        <v>0</v>
      </c>
      <c r="BM122" s="33" t="s">
        <v>1</v>
      </c>
      <c r="BN122" s="57">
        <f t="shared" si="17"/>
        <v>60</v>
      </c>
      <c r="BO122" s="35">
        <f t="shared" si="18"/>
        <v>6</v>
      </c>
      <c r="BP122" s="93">
        <v>250</v>
      </c>
      <c r="BT122" s="59"/>
      <c r="BU122" s="59"/>
      <c r="BV122" s="59"/>
      <c r="BW122" s="59"/>
      <c r="BX122" s="59"/>
      <c r="BY122" s="59"/>
      <c r="BZ122" s="59"/>
      <c r="CA122" s="59"/>
      <c r="CB122" s="59"/>
      <c r="CC122" s="59"/>
      <c r="CD122" s="59"/>
      <c r="CE122" s="60"/>
      <c r="CF122" s="44" t="s">
        <v>16</v>
      </c>
      <c r="CI122" s="40">
        <v>2.68</v>
      </c>
      <c r="CR122" s="40">
        <v>0</v>
      </c>
      <c r="CS122" s="40">
        <v>0</v>
      </c>
      <c r="CT122" s="67">
        <v>0</v>
      </c>
      <c r="CU122" s="40">
        <v>0</v>
      </c>
      <c r="CV122" s="67">
        <v>0</v>
      </c>
      <c r="CW122" s="67">
        <v>0</v>
      </c>
      <c r="CX122" s="67">
        <v>0</v>
      </c>
      <c r="CY122" s="67">
        <v>0</v>
      </c>
      <c r="CZ122" s="67">
        <v>0</v>
      </c>
      <c r="DA122" s="67">
        <v>0</v>
      </c>
      <c r="DB122" s="67">
        <v>0</v>
      </c>
      <c r="DD122" s="40">
        <v>0</v>
      </c>
      <c r="DI122" s="40" t="s">
        <v>0</v>
      </c>
    </row>
    <row r="123" spans="1:113" s="40" customFormat="1" ht="15.75" thickBot="1" x14ac:dyDescent="0.3">
      <c r="A123" s="40">
        <v>528507</v>
      </c>
      <c r="B123" s="40" t="s">
        <v>6</v>
      </c>
      <c r="C123" s="53" t="s">
        <v>15</v>
      </c>
      <c r="D123" s="40">
        <v>60</v>
      </c>
      <c r="E123" s="40">
        <v>0</v>
      </c>
      <c r="F123" s="40">
        <v>60</v>
      </c>
      <c r="G123" s="40">
        <v>23</v>
      </c>
      <c r="H123" s="40">
        <v>0</v>
      </c>
      <c r="I123" s="40">
        <v>25</v>
      </c>
      <c r="J123" s="54" t="s">
        <v>366</v>
      </c>
      <c r="K123" s="54" t="s">
        <v>367</v>
      </c>
      <c r="L123" s="56">
        <v>45966.502314814818</v>
      </c>
      <c r="M123" s="40">
        <v>0</v>
      </c>
      <c r="N123" s="40">
        <v>0</v>
      </c>
      <c r="O123" s="40">
        <v>0</v>
      </c>
      <c r="S123" s="40" t="b">
        <v>0</v>
      </c>
      <c r="T123" s="40">
        <v>2</v>
      </c>
      <c r="U123" s="52">
        <v>7</v>
      </c>
      <c r="V123" s="40">
        <v>2</v>
      </c>
      <c r="W123" s="40">
        <v>0</v>
      </c>
      <c r="X123" s="40">
        <v>500</v>
      </c>
      <c r="Z123" s="40">
        <v>10</v>
      </c>
      <c r="AB123" s="52">
        <v>50</v>
      </c>
      <c r="AD123" s="40">
        <v>80</v>
      </c>
      <c r="AF123" s="40">
        <v>2000</v>
      </c>
      <c r="AG123" s="40">
        <v>2</v>
      </c>
      <c r="AH123" s="40">
        <v>7.320000171661377</v>
      </c>
      <c r="AI123" s="40">
        <v>754</v>
      </c>
      <c r="AJ123" s="40">
        <v>0</v>
      </c>
      <c r="AK123" s="40">
        <v>246</v>
      </c>
      <c r="AM123" s="40" t="s">
        <v>2</v>
      </c>
      <c r="AO123" s="40">
        <v>50</v>
      </c>
      <c r="AW123" s="40" t="b">
        <v>0</v>
      </c>
      <c r="BD123" s="40" t="s">
        <v>375</v>
      </c>
      <c r="BE123" s="244"/>
      <c r="BF123" s="40">
        <v>0.9</v>
      </c>
      <c r="BG123" s="40">
        <v>0.55000000000000004</v>
      </c>
      <c r="BH123" s="40">
        <v>0.9</v>
      </c>
      <c r="BI123" s="40">
        <v>0.55000000000000004</v>
      </c>
      <c r="BJ123" s="40">
        <v>0</v>
      </c>
      <c r="BM123" s="33" t="s">
        <v>1</v>
      </c>
      <c r="BN123" s="57">
        <f t="shared" si="17"/>
        <v>60</v>
      </c>
      <c r="BO123" s="35">
        <f t="shared" si="18"/>
        <v>7</v>
      </c>
      <c r="BP123" s="93">
        <v>250</v>
      </c>
      <c r="BT123" s="59"/>
      <c r="BU123" s="59"/>
      <c r="BV123" s="59"/>
      <c r="BW123" s="59"/>
      <c r="BX123" s="59"/>
      <c r="BY123" s="59"/>
      <c r="BZ123" s="59"/>
      <c r="CA123" s="59"/>
      <c r="CB123" s="59"/>
      <c r="CC123" s="59"/>
      <c r="CD123" s="59"/>
      <c r="CE123" s="60"/>
      <c r="CF123" s="44" t="s">
        <v>16</v>
      </c>
      <c r="CI123" s="40">
        <v>2.68</v>
      </c>
      <c r="CR123" s="40">
        <v>0</v>
      </c>
      <c r="CS123" s="40">
        <v>0</v>
      </c>
      <c r="CT123" s="67">
        <v>0</v>
      </c>
      <c r="CU123" s="40">
        <v>0</v>
      </c>
      <c r="CV123" s="67">
        <v>0</v>
      </c>
      <c r="CW123" s="67">
        <v>0</v>
      </c>
      <c r="CX123" s="67">
        <v>0</v>
      </c>
      <c r="CY123" s="67">
        <v>0</v>
      </c>
      <c r="CZ123" s="67">
        <v>0</v>
      </c>
      <c r="DA123" s="67">
        <v>0</v>
      </c>
      <c r="DB123" s="67">
        <v>0</v>
      </c>
      <c r="DD123" s="40">
        <v>0</v>
      </c>
      <c r="DI123" s="40" t="s">
        <v>0</v>
      </c>
    </row>
    <row r="124" spans="1:113" s="40" customFormat="1" ht="15.75" thickBot="1" x14ac:dyDescent="0.3">
      <c r="A124" s="40">
        <v>528508</v>
      </c>
      <c r="B124" s="40" t="s">
        <v>6</v>
      </c>
      <c r="C124" s="53" t="s">
        <v>15</v>
      </c>
      <c r="D124" s="40">
        <v>60</v>
      </c>
      <c r="E124" s="40">
        <v>0</v>
      </c>
      <c r="F124" s="40">
        <v>60</v>
      </c>
      <c r="G124" s="40">
        <v>24</v>
      </c>
      <c r="H124" s="40">
        <v>0</v>
      </c>
      <c r="I124" s="40">
        <v>15</v>
      </c>
      <c r="J124" s="54" t="s">
        <v>368</v>
      </c>
      <c r="K124" s="54" t="s">
        <v>369</v>
      </c>
      <c r="L124" s="56">
        <v>45966.502395833333</v>
      </c>
      <c r="M124" s="40">
        <v>0</v>
      </c>
      <c r="N124" s="40">
        <v>0</v>
      </c>
      <c r="O124" s="40">
        <v>0</v>
      </c>
      <c r="S124" s="40" t="b">
        <v>0</v>
      </c>
      <c r="T124" s="40">
        <v>2</v>
      </c>
      <c r="U124" s="52">
        <v>7</v>
      </c>
      <c r="V124" s="40">
        <v>2</v>
      </c>
      <c r="W124" s="40">
        <v>0</v>
      </c>
      <c r="X124" s="40">
        <v>500</v>
      </c>
      <c r="Z124" s="40">
        <v>10</v>
      </c>
      <c r="AB124" s="52">
        <v>30</v>
      </c>
      <c r="AD124" s="40">
        <v>80</v>
      </c>
      <c r="AF124" s="40">
        <v>2000</v>
      </c>
      <c r="AG124" s="40">
        <v>2</v>
      </c>
      <c r="AH124" s="40">
        <v>7.4899997711181641</v>
      </c>
      <c r="AI124" s="40">
        <v>762</v>
      </c>
      <c r="AJ124" s="40">
        <v>0</v>
      </c>
      <c r="AK124" s="40">
        <v>133</v>
      </c>
      <c r="AM124" s="40" t="s">
        <v>2</v>
      </c>
      <c r="AO124" s="40">
        <v>30</v>
      </c>
      <c r="AW124" s="40" t="b">
        <v>0</v>
      </c>
      <c r="BD124" s="40" t="s">
        <v>375</v>
      </c>
      <c r="BE124" s="244"/>
      <c r="BF124" s="40">
        <v>0.9</v>
      </c>
      <c r="BG124" s="40">
        <v>0.55000000000000004</v>
      </c>
      <c r="BH124" s="40">
        <v>0.9</v>
      </c>
      <c r="BI124" s="40">
        <v>0.55000000000000004</v>
      </c>
      <c r="BJ124" s="40">
        <v>0</v>
      </c>
      <c r="BM124" s="33" t="s">
        <v>1</v>
      </c>
      <c r="BN124" s="57">
        <f t="shared" ref="BN124" si="28">D124</f>
        <v>60</v>
      </c>
      <c r="BO124" s="35">
        <f t="shared" ref="BO124:BO187" si="29">U124</f>
        <v>7</v>
      </c>
      <c r="BP124" s="93">
        <v>250</v>
      </c>
      <c r="BT124" s="59"/>
      <c r="BU124" s="59"/>
      <c r="BV124" s="59"/>
      <c r="BW124" s="59"/>
      <c r="BX124" s="59"/>
      <c r="BY124" s="59"/>
      <c r="BZ124" s="59"/>
      <c r="CA124" s="59"/>
      <c r="CB124" s="59"/>
      <c r="CC124" s="59"/>
      <c r="CD124" s="59"/>
      <c r="CE124" s="60"/>
      <c r="CF124" s="44" t="s">
        <v>16</v>
      </c>
      <c r="CI124" s="40">
        <v>2.68</v>
      </c>
      <c r="CR124" s="40">
        <v>0</v>
      </c>
      <c r="CS124" s="40">
        <v>0</v>
      </c>
      <c r="CT124" s="67">
        <v>0</v>
      </c>
      <c r="CU124" s="40">
        <v>0</v>
      </c>
      <c r="CV124" s="67">
        <v>0</v>
      </c>
      <c r="CW124" s="67">
        <v>0</v>
      </c>
      <c r="CX124" s="67">
        <v>0</v>
      </c>
      <c r="CY124" s="67">
        <v>0</v>
      </c>
      <c r="CZ124" s="67">
        <v>0</v>
      </c>
      <c r="DA124" s="67">
        <v>0</v>
      </c>
      <c r="DB124" s="67">
        <v>0</v>
      </c>
      <c r="DD124" s="40">
        <v>0</v>
      </c>
      <c r="DI124" s="40" t="s">
        <v>0</v>
      </c>
    </row>
    <row r="125" spans="1:113" s="40" customFormat="1" ht="15.75" thickBot="1" x14ac:dyDescent="0.3">
      <c r="A125" s="40">
        <v>504348</v>
      </c>
      <c r="B125" s="40" t="s">
        <v>6</v>
      </c>
      <c r="C125" s="53" t="s">
        <v>376</v>
      </c>
      <c r="D125" s="40">
        <v>8</v>
      </c>
      <c r="E125" s="40">
        <v>0</v>
      </c>
      <c r="F125" s="40">
        <v>8</v>
      </c>
      <c r="G125" s="40">
        <v>1</v>
      </c>
      <c r="H125" s="40">
        <v>0</v>
      </c>
      <c r="I125" s="40">
        <v>25</v>
      </c>
      <c r="J125" s="54" t="s">
        <v>377</v>
      </c>
      <c r="K125" s="54" t="s">
        <v>378</v>
      </c>
      <c r="L125" s="56">
        <v>45936</v>
      </c>
      <c r="M125" s="40">
        <v>0</v>
      </c>
      <c r="N125" s="40">
        <v>0</v>
      </c>
      <c r="O125" s="40">
        <v>0</v>
      </c>
      <c r="S125" s="40" t="b">
        <v>0</v>
      </c>
      <c r="T125" s="40">
        <v>3.5</v>
      </c>
      <c r="U125" s="52">
        <v>6.5</v>
      </c>
      <c r="V125" s="40">
        <v>0.01</v>
      </c>
      <c r="W125" s="40">
        <v>0</v>
      </c>
      <c r="X125" s="40">
        <v>1000</v>
      </c>
      <c r="Z125" s="40">
        <v>20</v>
      </c>
      <c r="AB125" s="52">
        <v>50</v>
      </c>
      <c r="AD125" s="40">
        <v>10</v>
      </c>
      <c r="AF125" s="40">
        <v>2000</v>
      </c>
      <c r="AG125" s="40">
        <v>2</v>
      </c>
      <c r="AH125" s="40">
        <v>6.7300000190000002</v>
      </c>
      <c r="AI125" s="40">
        <v>597</v>
      </c>
      <c r="AJ125" s="40">
        <v>0</v>
      </c>
      <c r="AK125" s="40">
        <v>181</v>
      </c>
      <c r="AM125" s="40" t="s">
        <v>2</v>
      </c>
      <c r="AO125" s="40">
        <v>50</v>
      </c>
      <c r="AW125" s="40" t="b">
        <v>0</v>
      </c>
      <c r="BE125" s="244"/>
      <c r="BF125" s="40">
        <v>1.6</v>
      </c>
      <c r="BG125" s="40">
        <v>0.55000000000000004</v>
      </c>
      <c r="BH125" s="40">
        <v>0</v>
      </c>
      <c r="BI125" s="40">
        <v>0</v>
      </c>
      <c r="BJ125" s="40">
        <v>0</v>
      </c>
      <c r="BM125" s="33" t="s">
        <v>1</v>
      </c>
      <c r="BN125" s="58">
        <v>8</v>
      </c>
      <c r="BO125" s="35">
        <f t="shared" si="29"/>
        <v>6.5</v>
      </c>
      <c r="BP125" s="58">
        <v>250</v>
      </c>
      <c r="BT125" s="59"/>
      <c r="BU125" s="59"/>
      <c r="BV125" s="59"/>
      <c r="BW125" s="59"/>
      <c r="BX125" s="59"/>
      <c r="BY125" s="59"/>
      <c r="BZ125" s="59"/>
      <c r="CA125" s="59"/>
      <c r="CB125" s="59"/>
      <c r="CC125" s="59"/>
      <c r="CD125" s="59"/>
      <c r="CE125" s="60"/>
      <c r="CF125" s="44" t="s">
        <v>16</v>
      </c>
      <c r="CI125" s="40">
        <v>2.68</v>
      </c>
      <c r="CR125" s="40">
        <v>0</v>
      </c>
      <c r="CS125" s="67">
        <v>0</v>
      </c>
      <c r="CT125" s="67">
        <v>0</v>
      </c>
      <c r="CU125" s="40">
        <v>0</v>
      </c>
      <c r="CV125" s="67">
        <v>0</v>
      </c>
      <c r="CW125" s="67">
        <v>0</v>
      </c>
      <c r="CX125" s="67">
        <v>0</v>
      </c>
      <c r="CY125" s="67">
        <v>0</v>
      </c>
      <c r="CZ125" s="67">
        <v>0</v>
      </c>
      <c r="DA125" s="67">
        <v>0</v>
      </c>
      <c r="DB125" s="67">
        <v>0</v>
      </c>
      <c r="DD125" s="40">
        <v>0</v>
      </c>
      <c r="DI125" s="40" t="s">
        <v>0</v>
      </c>
    </row>
    <row r="126" spans="1:113" s="40" customFormat="1" ht="15.75" thickBot="1" x14ac:dyDescent="0.3">
      <c r="A126" s="40">
        <v>504349</v>
      </c>
      <c r="B126" s="40" t="s">
        <v>6</v>
      </c>
      <c r="C126" s="53" t="s">
        <v>376</v>
      </c>
      <c r="D126" s="40">
        <v>8</v>
      </c>
      <c r="E126" s="40">
        <v>0</v>
      </c>
      <c r="F126" s="40">
        <v>8</v>
      </c>
      <c r="G126" s="40">
        <v>2</v>
      </c>
      <c r="H126" s="40">
        <v>0</v>
      </c>
      <c r="I126" s="40">
        <v>25</v>
      </c>
      <c r="J126" s="54" t="s">
        <v>379</v>
      </c>
      <c r="K126" s="54" t="s">
        <v>380</v>
      </c>
      <c r="L126" s="56">
        <v>45936</v>
      </c>
      <c r="M126" s="40">
        <v>0</v>
      </c>
      <c r="N126" s="40">
        <v>0</v>
      </c>
      <c r="O126" s="40">
        <v>0</v>
      </c>
      <c r="S126" s="40" t="b">
        <v>0</v>
      </c>
      <c r="T126" s="40">
        <v>3.5</v>
      </c>
      <c r="U126" s="52">
        <v>6.5</v>
      </c>
      <c r="V126" s="40">
        <v>0.01</v>
      </c>
      <c r="W126" s="40">
        <v>0</v>
      </c>
      <c r="X126" s="40">
        <v>1000</v>
      </c>
      <c r="Z126" s="40">
        <v>20</v>
      </c>
      <c r="AB126" s="52">
        <v>50</v>
      </c>
      <c r="AD126" s="40">
        <v>10</v>
      </c>
      <c r="AF126" s="40">
        <v>2000</v>
      </c>
      <c r="AG126" s="40">
        <v>2</v>
      </c>
      <c r="AH126" s="40">
        <v>6.6799998279999997</v>
      </c>
      <c r="AI126" s="40">
        <v>487</v>
      </c>
      <c r="AJ126" s="40">
        <v>0</v>
      </c>
      <c r="AK126" s="40">
        <v>149</v>
      </c>
      <c r="AM126" s="40" t="s">
        <v>2</v>
      </c>
      <c r="AO126" s="40">
        <v>50</v>
      </c>
      <c r="AW126" s="40" t="b">
        <v>0</v>
      </c>
      <c r="BE126" s="244"/>
      <c r="BF126" s="40">
        <v>1.6</v>
      </c>
      <c r="BG126" s="40">
        <v>0.55000000000000004</v>
      </c>
      <c r="BH126" s="40">
        <v>0</v>
      </c>
      <c r="BI126" s="40">
        <v>0</v>
      </c>
      <c r="BJ126" s="40">
        <v>0</v>
      </c>
      <c r="BM126" s="33" t="s">
        <v>1</v>
      </c>
      <c r="BN126" s="58">
        <v>8</v>
      </c>
      <c r="BO126" s="35">
        <f t="shared" si="29"/>
        <v>6.5</v>
      </c>
      <c r="BP126" s="58">
        <v>250</v>
      </c>
      <c r="BT126" s="59"/>
      <c r="BU126" s="59"/>
      <c r="BV126" s="59"/>
      <c r="BW126" s="59"/>
      <c r="BX126" s="59"/>
      <c r="BY126" s="59"/>
      <c r="BZ126" s="59"/>
      <c r="CA126" s="59"/>
      <c r="CB126" s="59"/>
      <c r="CC126" s="59"/>
      <c r="CD126" s="59"/>
      <c r="CE126" s="60"/>
      <c r="CF126" s="44" t="s">
        <v>16</v>
      </c>
      <c r="CI126" s="40">
        <v>2.68</v>
      </c>
      <c r="CR126" s="40">
        <v>0</v>
      </c>
      <c r="CS126" s="67">
        <v>0</v>
      </c>
      <c r="CT126" s="67">
        <v>0</v>
      </c>
      <c r="CU126" s="40">
        <v>0</v>
      </c>
      <c r="CV126" s="67">
        <v>0</v>
      </c>
      <c r="CW126" s="67">
        <v>0</v>
      </c>
      <c r="CX126" s="67">
        <v>0</v>
      </c>
      <c r="CY126" s="67">
        <v>0</v>
      </c>
      <c r="CZ126" s="67">
        <v>0</v>
      </c>
      <c r="DA126" s="67">
        <v>0</v>
      </c>
      <c r="DB126" s="67">
        <v>0</v>
      </c>
      <c r="DD126" s="40">
        <v>0</v>
      </c>
      <c r="DI126" s="40" t="s">
        <v>0</v>
      </c>
    </row>
    <row r="127" spans="1:113" s="40" customFormat="1" ht="15.75" thickBot="1" x14ac:dyDescent="0.3">
      <c r="A127" s="40">
        <v>504350</v>
      </c>
      <c r="B127" s="40" t="s">
        <v>6</v>
      </c>
      <c r="C127" s="53" t="s">
        <v>376</v>
      </c>
      <c r="D127" s="40">
        <v>8</v>
      </c>
      <c r="E127" s="40">
        <v>0</v>
      </c>
      <c r="F127" s="40">
        <v>8</v>
      </c>
      <c r="G127" s="40">
        <v>3</v>
      </c>
      <c r="H127" s="40">
        <v>0</v>
      </c>
      <c r="I127" s="40">
        <v>25</v>
      </c>
      <c r="J127" s="54" t="s">
        <v>381</v>
      </c>
      <c r="K127" s="54" t="s">
        <v>382</v>
      </c>
      <c r="L127" s="56">
        <v>45936</v>
      </c>
      <c r="M127" s="40">
        <v>0</v>
      </c>
      <c r="N127" s="40">
        <v>0</v>
      </c>
      <c r="O127" s="40">
        <v>0</v>
      </c>
      <c r="S127" s="40" t="b">
        <v>0</v>
      </c>
      <c r="T127" s="40">
        <v>3.5</v>
      </c>
      <c r="U127" s="52">
        <v>6.5</v>
      </c>
      <c r="V127" s="40">
        <v>0.01</v>
      </c>
      <c r="W127" s="40">
        <v>0</v>
      </c>
      <c r="X127" s="40">
        <v>1000</v>
      </c>
      <c r="Z127" s="40">
        <v>20</v>
      </c>
      <c r="AB127" s="52">
        <v>50</v>
      </c>
      <c r="AD127" s="40">
        <v>10</v>
      </c>
      <c r="AF127" s="40">
        <v>2000</v>
      </c>
      <c r="AG127" s="40">
        <v>2</v>
      </c>
      <c r="AH127" s="40">
        <v>6.670000076</v>
      </c>
      <c r="AI127" s="40">
        <v>487</v>
      </c>
      <c r="AJ127" s="40">
        <v>0</v>
      </c>
      <c r="AK127" s="40">
        <v>147</v>
      </c>
      <c r="AM127" s="40" t="s">
        <v>2</v>
      </c>
      <c r="AO127" s="40">
        <v>50</v>
      </c>
      <c r="AW127" s="40" t="b">
        <v>0</v>
      </c>
      <c r="BE127" s="244"/>
      <c r="BF127" s="40">
        <v>1.6</v>
      </c>
      <c r="BG127" s="40">
        <v>0.55000000000000004</v>
      </c>
      <c r="BH127" s="40">
        <v>0</v>
      </c>
      <c r="BI127" s="40">
        <v>0</v>
      </c>
      <c r="BJ127" s="40">
        <v>0</v>
      </c>
      <c r="BM127" s="33" t="s">
        <v>1</v>
      </c>
      <c r="BN127" s="58">
        <v>8</v>
      </c>
      <c r="BO127" s="35">
        <f t="shared" si="29"/>
        <v>6.5</v>
      </c>
      <c r="BP127" s="58">
        <v>250</v>
      </c>
      <c r="BT127" s="59"/>
      <c r="BU127" s="59"/>
      <c r="BV127" s="59"/>
      <c r="BW127" s="59"/>
      <c r="BX127" s="59"/>
      <c r="BY127" s="59"/>
      <c r="BZ127" s="59"/>
      <c r="CA127" s="59"/>
      <c r="CB127" s="59"/>
      <c r="CC127" s="59"/>
      <c r="CD127" s="59"/>
      <c r="CE127" s="60"/>
      <c r="CF127" s="44" t="s">
        <v>16</v>
      </c>
      <c r="CI127" s="40">
        <v>2.68</v>
      </c>
      <c r="CR127" s="40">
        <v>0</v>
      </c>
      <c r="CS127" s="67">
        <v>0</v>
      </c>
      <c r="CT127" s="67">
        <v>0</v>
      </c>
      <c r="CU127" s="40">
        <v>0</v>
      </c>
      <c r="CV127" s="67">
        <v>0</v>
      </c>
      <c r="CW127" s="67">
        <v>0</v>
      </c>
      <c r="CX127" s="67">
        <v>0</v>
      </c>
      <c r="CY127" s="67">
        <v>0</v>
      </c>
      <c r="CZ127" s="67">
        <v>0</v>
      </c>
      <c r="DA127" s="67">
        <v>0</v>
      </c>
      <c r="DB127" s="67">
        <v>0</v>
      </c>
      <c r="DD127" s="40">
        <v>0</v>
      </c>
      <c r="DI127" s="40" t="s">
        <v>0</v>
      </c>
    </row>
    <row r="128" spans="1:113" s="40" customFormat="1" ht="15.75" thickBot="1" x14ac:dyDescent="0.3">
      <c r="A128" s="40">
        <v>504351</v>
      </c>
      <c r="B128" s="40" t="s">
        <v>6</v>
      </c>
      <c r="C128" s="53" t="s">
        <v>376</v>
      </c>
      <c r="D128" s="40">
        <v>8</v>
      </c>
      <c r="E128" s="40">
        <v>0</v>
      </c>
      <c r="F128" s="40">
        <v>8</v>
      </c>
      <c r="G128" s="40">
        <v>4</v>
      </c>
      <c r="H128" s="40">
        <v>0</v>
      </c>
      <c r="I128" s="40">
        <v>25</v>
      </c>
      <c r="J128" s="54" t="s">
        <v>383</v>
      </c>
      <c r="K128" s="54" t="s">
        <v>384</v>
      </c>
      <c r="L128" s="56">
        <v>45936</v>
      </c>
      <c r="M128" s="40">
        <v>0</v>
      </c>
      <c r="N128" s="40">
        <v>0</v>
      </c>
      <c r="O128" s="40">
        <v>0</v>
      </c>
      <c r="S128" s="40" t="b">
        <v>0</v>
      </c>
      <c r="T128" s="40">
        <v>3.5</v>
      </c>
      <c r="U128" s="52">
        <v>6.5</v>
      </c>
      <c r="V128" s="40">
        <v>0.01</v>
      </c>
      <c r="W128" s="40">
        <v>0</v>
      </c>
      <c r="X128" s="40">
        <v>1000</v>
      </c>
      <c r="Z128" s="40">
        <v>20</v>
      </c>
      <c r="AB128" s="52">
        <v>50</v>
      </c>
      <c r="AD128" s="40">
        <v>10</v>
      </c>
      <c r="AF128" s="40">
        <v>2000</v>
      </c>
      <c r="AG128" s="40">
        <v>2</v>
      </c>
      <c r="AH128" s="40">
        <v>6.6799998279999997</v>
      </c>
      <c r="AI128" s="40">
        <v>487</v>
      </c>
      <c r="AJ128" s="40">
        <v>0</v>
      </c>
      <c r="AK128" s="40">
        <v>147</v>
      </c>
      <c r="AM128" s="40" t="s">
        <v>2</v>
      </c>
      <c r="AO128" s="40">
        <v>50</v>
      </c>
      <c r="AW128" s="40" t="b">
        <v>0</v>
      </c>
      <c r="BE128" s="244"/>
      <c r="BF128" s="40">
        <v>1.6</v>
      </c>
      <c r="BG128" s="40">
        <v>0.55000000000000004</v>
      </c>
      <c r="BH128" s="40">
        <v>0</v>
      </c>
      <c r="BI128" s="40">
        <v>0</v>
      </c>
      <c r="BJ128" s="40">
        <v>0</v>
      </c>
      <c r="BM128" s="33" t="s">
        <v>1</v>
      </c>
      <c r="BN128" s="58">
        <v>8</v>
      </c>
      <c r="BO128" s="35">
        <f t="shared" si="29"/>
        <v>6.5</v>
      </c>
      <c r="BP128" s="58">
        <v>250</v>
      </c>
      <c r="BT128" s="59"/>
      <c r="BU128" s="59"/>
      <c r="BV128" s="59"/>
      <c r="BW128" s="59"/>
      <c r="BX128" s="59"/>
      <c r="BY128" s="59"/>
      <c r="BZ128" s="59"/>
      <c r="CA128" s="59"/>
      <c r="CB128" s="59"/>
      <c r="CC128" s="59"/>
      <c r="CD128" s="59"/>
      <c r="CE128" s="60"/>
      <c r="CF128" s="44" t="s">
        <v>12</v>
      </c>
      <c r="CG128" s="40">
        <v>0</v>
      </c>
      <c r="CI128" s="40">
        <v>2.68</v>
      </c>
      <c r="CR128" s="40">
        <v>0</v>
      </c>
      <c r="CS128" s="67">
        <v>0</v>
      </c>
      <c r="CT128" s="67">
        <v>0</v>
      </c>
      <c r="CU128" s="40">
        <v>0</v>
      </c>
      <c r="CV128" s="67">
        <v>0</v>
      </c>
      <c r="CW128" s="67">
        <v>0</v>
      </c>
      <c r="CX128" s="67">
        <v>0</v>
      </c>
      <c r="CY128" s="67">
        <v>0</v>
      </c>
      <c r="CZ128" s="67">
        <v>0</v>
      </c>
      <c r="DA128" s="67">
        <v>0</v>
      </c>
      <c r="DB128" s="67">
        <v>0</v>
      </c>
      <c r="DD128" s="40">
        <v>0</v>
      </c>
      <c r="DI128" s="40" t="s">
        <v>0</v>
      </c>
    </row>
    <row r="129" spans="1:113" s="40" customFormat="1" ht="15.75" thickBot="1" x14ac:dyDescent="0.3">
      <c r="A129" s="40">
        <v>504352</v>
      </c>
      <c r="B129" s="40" t="s">
        <v>6</v>
      </c>
      <c r="C129" s="53" t="s">
        <v>385</v>
      </c>
      <c r="D129" s="40">
        <v>12</v>
      </c>
      <c r="E129" s="40">
        <v>0</v>
      </c>
      <c r="F129" s="40">
        <v>12</v>
      </c>
      <c r="G129" s="40">
        <v>5</v>
      </c>
      <c r="H129" s="40">
        <v>0</v>
      </c>
      <c r="I129" s="40">
        <v>25</v>
      </c>
      <c r="J129" s="54" t="s">
        <v>386</v>
      </c>
      <c r="K129" s="54" t="s">
        <v>387</v>
      </c>
      <c r="L129" s="56">
        <v>45936</v>
      </c>
      <c r="M129" s="40">
        <v>0</v>
      </c>
      <c r="N129" s="40">
        <v>0</v>
      </c>
      <c r="O129" s="40">
        <v>0</v>
      </c>
      <c r="S129" s="40" t="b">
        <v>0</v>
      </c>
      <c r="T129" s="40">
        <v>0.01</v>
      </c>
      <c r="U129" s="52">
        <v>6.5</v>
      </c>
      <c r="V129" s="40">
        <v>0.01</v>
      </c>
      <c r="W129" s="40">
        <v>0</v>
      </c>
      <c r="X129" s="40">
        <v>1000</v>
      </c>
      <c r="Z129" s="40">
        <v>10</v>
      </c>
      <c r="AB129" s="52">
        <v>50</v>
      </c>
      <c r="AD129" s="40">
        <v>10</v>
      </c>
      <c r="AF129" s="40">
        <v>2000</v>
      </c>
      <c r="AG129" s="40">
        <v>2</v>
      </c>
      <c r="AH129" s="40">
        <v>6.6599998469999999</v>
      </c>
      <c r="AI129" s="40">
        <v>639</v>
      </c>
      <c r="AJ129" s="40">
        <v>0</v>
      </c>
      <c r="AK129" s="40">
        <v>191</v>
      </c>
      <c r="AM129" s="40" t="s">
        <v>2</v>
      </c>
      <c r="AO129" s="40">
        <v>50</v>
      </c>
      <c r="AW129" s="40" t="b">
        <v>0</v>
      </c>
      <c r="BE129" s="244"/>
      <c r="BF129" s="40">
        <v>1.6</v>
      </c>
      <c r="BG129" s="40">
        <v>1</v>
      </c>
      <c r="BH129" s="40">
        <v>0.55000000000000004</v>
      </c>
      <c r="BI129" s="40">
        <v>0</v>
      </c>
      <c r="BJ129" s="40">
        <v>0</v>
      </c>
      <c r="BM129" s="33" t="s">
        <v>1</v>
      </c>
      <c r="BN129" s="58">
        <v>12</v>
      </c>
      <c r="BO129" s="35">
        <f t="shared" si="29"/>
        <v>6.5</v>
      </c>
      <c r="BP129" s="58">
        <v>250</v>
      </c>
      <c r="BT129" s="59"/>
      <c r="BU129" s="59"/>
      <c r="BV129" s="59"/>
      <c r="BW129" s="59"/>
      <c r="BX129" s="59"/>
      <c r="BY129" s="59"/>
      <c r="BZ129" s="59"/>
      <c r="CA129" s="59"/>
      <c r="CB129" s="59"/>
      <c r="CC129" s="59"/>
      <c r="CD129" s="59"/>
      <c r="CE129" s="60"/>
      <c r="CF129" s="44" t="s">
        <v>12</v>
      </c>
      <c r="CG129" s="40">
        <v>0</v>
      </c>
      <c r="CI129" s="40">
        <v>2.68</v>
      </c>
      <c r="CR129" s="40">
        <v>0</v>
      </c>
      <c r="CS129" s="67">
        <v>0</v>
      </c>
      <c r="CT129" s="67">
        <v>0</v>
      </c>
      <c r="CU129" s="40">
        <v>1</v>
      </c>
      <c r="CV129" s="67">
        <v>0</v>
      </c>
      <c r="CW129" s="67">
        <v>0</v>
      </c>
      <c r="CX129" s="67">
        <v>0</v>
      </c>
      <c r="CY129" s="67">
        <v>0</v>
      </c>
      <c r="CZ129" s="67">
        <v>0</v>
      </c>
      <c r="DA129" s="67">
        <v>0</v>
      </c>
      <c r="DB129" s="67">
        <v>0</v>
      </c>
      <c r="DD129" s="40">
        <v>2</v>
      </c>
      <c r="DI129" s="40" t="s">
        <v>0</v>
      </c>
    </row>
    <row r="130" spans="1:113" s="40" customFormat="1" ht="15.75" thickBot="1" x14ac:dyDescent="0.3">
      <c r="A130" s="40">
        <v>504353</v>
      </c>
      <c r="B130" s="40" t="s">
        <v>6</v>
      </c>
      <c r="C130" s="53" t="s">
        <v>385</v>
      </c>
      <c r="D130" s="40">
        <v>12</v>
      </c>
      <c r="E130" s="40">
        <v>0</v>
      </c>
      <c r="F130" s="40">
        <v>12</v>
      </c>
      <c r="G130" s="40">
        <v>6</v>
      </c>
      <c r="H130" s="40">
        <v>0</v>
      </c>
      <c r="I130" s="40">
        <v>25</v>
      </c>
      <c r="J130" s="54" t="s">
        <v>388</v>
      </c>
      <c r="K130" s="54" t="s">
        <v>389</v>
      </c>
      <c r="L130" s="56">
        <v>45936</v>
      </c>
      <c r="M130" s="40">
        <v>0</v>
      </c>
      <c r="N130" s="40">
        <v>0</v>
      </c>
      <c r="O130" s="40">
        <v>0</v>
      </c>
      <c r="S130" s="40" t="b">
        <v>0</v>
      </c>
      <c r="T130" s="40">
        <v>0.01</v>
      </c>
      <c r="U130" s="52">
        <v>6.5</v>
      </c>
      <c r="V130" s="40">
        <v>0.01</v>
      </c>
      <c r="W130" s="40">
        <v>0</v>
      </c>
      <c r="X130" s="40">
        <v>1000</v>
      </c>
      <c r="Z130" s="40">
        <v>10</v>
      </c>
      <c r="AB130" s="52">
        <v>50</v>
      </c>
      <c r="AD130" s="40">
        <v>10</v>
      </c>
      <c r="AF130" s="40">
        <v>2000</v>
      </c>
      <c r="AG130" s="40">
        <v>2</v>
      </c>
      <c r="AH130" s="40">
        <v>6.6599998469999999</v>
      </c>
      <c r="AI130" s="40">
        <v>614</v>
      </c>
      <c r="AJ130" s="40">
        <v>0</v>
      </c>
      <c r="AK130" s="40">
        <v>184</v>
      </c>
      <c r="AM130" s="40" t="s">
        <v>2</v>
      </c>
      <c r="AO130" s="40">
        <v>50</v>
      </c>
      <c r="AW130" s="40" t="b">
        <v>0</v>
      </c>
      <c r="BE130" s="244"/>
      <c r="BF130" s="40">
        <v>1.6</v>
      </c>
      <c r="BG130" s="40">
        <v>1</v>
      </c>
      <c r="BH130" s="40">
        <v>0.55000000000000004</v>
      </c>
      <c r="BI130" s="40">
        <v>0</v>
      </c>
      <c r="BJ130" s="40">
        <v>0</v>
      </c>
      <c r="BM130" s="33" t="s">
        <v>1</v>
      </c>
      <c r="BN130" s="58">
        <v>12</v>
      </c>
      <c r="BO130" s="35">
        <f t="shared" si="29"/>
        <v>6.5</v>
      </c>
      <c r="BP130" s="58">
        <v>250</v>
      </c>
      <c r="BT130" s="59"/>
      <c r="BU130" s="59"/>
      <c r="BV130" s="59"/>
      <c r="BW130" s="59"/>
      <c r="BX130" s="59"/>
      <c r="BY130" s="59"/>
      <c r="BZ130" s="59"/>
      <c r="CA130" s="59"/>
      <c r="CB130" s="59"/>
      <c r="CC130" s="59"/>
      <c r="CD130" s="59"/>
      <c r="CE130" s="60"/>
      <c r="CF130" s="44" t="s">
        <v>16</v>
      </c>
      <c r="CI130" s="40">
        <v>2.68</v>
      </c>
      <c r="CR130" s="40">
        <v>0</v>
      </c>
      <c r="CS130" s="67">
        <v>0</v>
      </c>
      <c r="CT130" s="67">
        <v>0</v>
      </c>
      <c r="CU130" s="40">
        <v>1</v>
      </c>
      <c r="CV130" s="67">
        <v>0</v>
      </c>
      <c r="CW130" s="67">
        <v>0</v>
      </c>
      <c r="CX130" s="67">
        <v>0</v>
      </c>
      <c r="CY130" s="67">
        <v>0</v>
      </c>
      <c r="CZ130" s="67">
        <v>0</v>
      </c>
      <c r="DA130" s="67">
        <v>0</v>
      </c>
      <c r="DB130" s="67">
        <v>0</v>
      </c>
      <c r="DD130" s="40">
        <v>2</v>
      </c>
      <c r="DI130" s="40" t="s">
        <v>0</v>
      </c>
    </row>
    <row r="131" spans="1:113" s="40" customFormat="1" ht="15.75" thickBot="1" x14ac:dyDescent="0.3">
      <c r="A131" s="40">
        <v>504354</v>
      </c>
      <c r="B131" s="40" t="s">
        <v>6</v>
      </c>
      <c r="C131" s="53" t="s">
        <v>390</v>
      </c>
      <c r="D131" s="40">
        <v>13</v>
      </c>
      <c r="E131" s="40">
        <v>0</v>
      </c>
      <c r="F131" s="40">
        <v>13</v>
      </c>
      <c r="G131" s="40">
        <v>7</v>
      </c>
      <c r="H131" s="40">
        <v>0</v>
      </c>
      <c r="I131" s="40">
        <v>25</v>
      </c>
      <c r="J131" s="54" t="s">
        <v>391</v>
      </c>
      <c r="K131" s="54" t="s">
        <v>392</v>
      </c>
      <c r="L131" s="56">
        <v>45936</v>
      </c>
      <c r="M131" s="40">
        <v>0</v>
      </c>
      <c r="N131" s="40">
        <v>0</v>
      </c>
      <c r="O131" s="40">
        <v>0</v>
      </c>
      <c r="S131" s="40" t="b">
        <v>0</v>
      </c>
      <c r="T131" s="40">
        <v>0.01</v>
      </c>
      <c r="U131" s="52">
        <v>7.5</v>
      </c>
      <c r="V131" s="40">
        <v>0.01</v>
      </c>
      <c r="W131" s="40">
        <v>0</v>
      </c>
      <c r="X131" s="40">
        <v>1000</v>
      </c>
      <c r="Z131" s="40">
        <v>10</v>
      </c>
      <c r="AB131" s="52">
        <v>50</v>
      </c>
      <c r="AD131" s="40">
        <v>10</v>
      </c>
      <c r="AF131" s="40">
        <v>2000</v>
      </c>
      <c r="AG131" s="40">
        <v>2</v>
      </c>
      <c r="AH131" s="40">
        <v>7.6300001139999996</v>
      </c>
      <c r="AI131" s="40">
        <v>766</v>
      </c>
      <c r="AJ131" s="40">
        <v>0</v>
      </c>
      <c r="AK131" s="40">
        <v>264</v>
      </c>
      <c r="AM131" s="40" t="s">
        <v>2</v>
      </c>
      <c r="AO131" s="40">
        <v>50</v>
      </c>
      <c r="AW131" s="40" t="b">
        <v>0</v>
      </c>
      <c r="BE131" s="244"/>
      <c r="BF131" s="40">
        <v>1.6</v>
      </c>
      <c r="BG131" s="40">
        <v>1</v>
      </c>
      <c r="BH131" s="40">
        <v>1</v>
      </c>
      <c r="BI131" s="40">
        <v>0.55000000000000004</v>
      </c>
      <c r="BJ131" s="40">
        <v>0</v>
      </c>
      <c r="BM131" s="33" t="s">
        <v>1</v>
      </c>
      <c r="BN131" s="58">
        <v>13</v>
      </c>
      <c r="BO131" s="35">
        <f t="shared" si="29"/>
        <v>7.5</v>
      </c>
      <c r="BP131" s="58">
        <v>250</v>
      </c>
      <c r="BT131" s="59"/>
      <c r="BU131" s="59"/>
      <c r="BV131" s="59"/>
      <c r="BW131" s="59"/>
      <c r="BX131" s="59"/>
      <c r="BY131" s="59"/>
      <c r="BZ131" s="59"/>
      <c r="CA131" s="59"/>
      <c r="CB131" s="59"/>
      <c r="CC131" s="59"/>
      <c r="CD131" s="59"/>
      <c r="CE131" s="60"/>
      <c r="CF131" s="44" t="s">
        <v>16</v>
      </c>
      <c r="CI131" s="40">
        <v>2.68</v>
      </c>
      <c r="CR131" s="40">
        <v>0</v>
      </c>
      <c r="CS131" s="67">
        <v>0</v>
      </c>
      <c r="CT131" s="67">
        <v>0</v>
      </c>
      <c r="CU131" s="40">
        <v>0</v>
      </c>
      <c r="CV131" s="67">
        <v>0</v>
      </c>
      <c r="CW131" s="67">
        <v>0</v>
      </c>
      <c r="CX131" s="67">
        <v>0</v>
      </c>
      <c r="CY131" s="67">
        <v>0</v>
      </c>
      <c r="CZ131" s="67">
        <v>0</v>
      </c>
      <c r="DA131" s="67">
        <v>0</v>
      </c>
      <c r="DB131" s="67">
        <v>0</v>
      </c>
      <c r="DD131" s="40">
        <v>0</v>
      </c>
      <c r="DI131" s="40" t="s">
        <v>0</v>
      </c>
    </row>
    <row r="132" spans="1:113" s="40" customFormat="1" ht="15.75" thickBot="1" x14ac:dyDescent="0.3">
      <c r="A132" s="40">
        <v>504355</v>
      </c>
      <c r="B132" s="40" t="s">
        <v>6</v>
      </c>
      <c r="C132" s="53" t="s">
        <v>390</v>
      </c>
      <c r="D132" s="40">
        <v>13</v>
      </c>
      <c r="E132" s="40">
        <v>0</v>
      </c>
      <c r="F132" s="40">
        <v>13</v>
      </c>
      <c r="G132" s="40">
        <v>8</v>
      </c>
      <c r="H132" s="40">
        <v>0</v>
      </c>
      <c r="I132" s="40">
        <v>25</v>
      </c>
      <c r="J132" s="54" t="s">
        <v>393</v>
      </c>
      <c r="K132" s="54" t="s">
        <v>394</v>
      </c>
      <c r="L132" s="56">
        <v>45936</v>
      </c>
      <c r="M132" s="40">
        <v>0</v>
      </c>
      <c r="N132" s="40">
        <v>0</v>
      </c>
      <c r="O132" s="40">
        <v>0</v>
      </c>
      <c r="S132" s="40" t="b">
        <v>0</v>
      </c>
      <c r="T132" s="40">
        <v>0.01</v>
      </c>
      <c r="U132" s="52">
        <v>7.5</v>
      </c>
      <c r="V132" s="40">
        <v>0.01</v>
      </c>
      <c r="W132" s="40">
        <v>0</v>
      </c>
      <c r="X132" s="40">
        <v>1000</v>
      </c>
      <c r="Z132" s="40">
        <v>10</v>
      </c>
      <c r="AB132" s="52">
        <v>50</v>
      </c>
      <c r="AD132" s="40">
        <v>10</v>
      </c>
      <c r="AF132" s="40">
        <v>2000</v>
      </c>
      <c r="AG132" s="40">
        <v>2</v>
      </c>
      <c r="AH132" s="40">
        <v>7.6599998469999999</v>
      </c>
      <c r="AI132" s="40">
        <v>724</v>
      </c>
      <c r="AJ132" s="40">
        <v>0</v>
      </c>
      <c r="AK132" s="40">
        <v>251</v>
      </c>
      <c r="AM132" s="40" t="s">
        <v>2</v>
      </c>
      <c r="AO132" s="40">
        <v>50</v>
      </c>
      <c r="AW132" s="40" t="b">
        <v>0</v>
      </c>
      <c r="BE132" s="244"/>
      <c r="BF132" s="40">
        <v>1.6</v>
      </c>
      <c r="BG132" s="40">
        <v>1</v>
      </c>
      <c r="BH132" s="40">
        <v>1</v>
      </c>
      <c r="BI132" s="40">
        <v>0.55000000000000004</v>
      </c>
      <c r="BJ132" s="40">
        <v>0</v>
      </c>
      <c r="BM132" s="33" t="s">
        <v>1</v>
      </c>
      <c r="BN132" s="58">
        <v>13</v>
      </c>
      <c r="BO132" s="35">
        <f t="shared" si="29"/>
        <v>7.5</v>
      </c>
      <c r="BP132" s="58">
        <v>250</v>
      </c>
      <c r="BT132" s="59"/>
      <c r="BU132" s="59"/>
      <c r="BV132" s="59"/>
      <c r="BW132" s="59"/>
      <c r="BX132" s="59"/>
      <c r="BY132" s="59"/>
      <c r="BZ132" s="59"/>
      <c r="CA132" s="59"/>
      <c r="CB132" s="59"/>
      <c r="CC132" s="59"/>
      <c r="CD132" s="59"/>
      <c r="CE132" s="60"/>
      <c r="CF132" s="44" t="s">
        <v>16</v>
      </c>
      <c r="CI132" s="40">
        <v>2.68</v>
      </c>
      <c r="CR132" s="40">
        <v>0</v>
      </c>
      <c r="CS132" s="67">
        <v>0</v>
      </c>
      <c r="CT132" s="67">
        <v>0</v>
      </c>
      <c r="CU132" s="40">
        <v>0</v>
      </c>
      <c r="CV132" s="67">
        <v>0</v>
      </c>
      <c r="CW132" s="67">
        <v>0</v>
      </c>
      <c r="CX132" s="67">
        <v>0</v>
      </c>
      <c r="CY132" s="67">
        <v>0</v>
      </c>
      <c r="CZ132" s="67">
        <v>0</v>
      </c>
      <c r="DA132" s="67">
        <v>0</v>
      </c>
      <c r="DB132" s="67">
        <v>0</v>
      </c>
      <c r="DD132" s="40">
        <v>0</v>
      </c>
      <c r="DI132" s="40" t="s">
        <v>0</v>
      </c>
    </row>
    <row r="133" spans="1:113" s="40" customFormat="1" ht="15.75" thickBot="1" x14ac:dyDescent="0.3">
      <c r="A133" s="40">
        <v>504745</v>
      </c>
      <c r="B133" s="40" t="s">
        <v>6</v>
      </c>
      <c r="C133" s="53" t="s">
        <v>390</v>
      </c>
      <c r="D133" s="40">
        <v>13</v>
      </c>
      <c r="E133" s="40">
        <v>0</v>
      </c>
      <c r="F133" s="40">
        <v>13</v>
      </c>
      <c r="G133" s="40">
        <v>198</v>
      </c>
      <c r="H133" s="40">
        <v>0</v>
      </c>
      <c r="I133" s="40">
        <v>25</v>
      </c>
      <c r="J133" s="54" t="s">
        <v>395</v>
      </c>
      <c r="K133" s="54" t="s">
        <v>396</v>
      </c>
      <c r="L133" s="56">
        <v>45936</v>
      </c>
      <c r="M133" s="40">
        <v>0</v>
      </c>
      <c r="N133" s="40">
        <v>0</v>
      </c>
      <c r="O133" s="40">
        <v>0</v>
      </c>
      <c r="S133" s="40" t="b">
        <v>0</v>
      </c>
      <c r="T133" s="40">
        <v>0.01</v>
      </c>
      <c r="U133" s="52">
        <v>7.5</v>
      </c>
      <c r="V133" s="40">
        <v>0.01</v>
      </c>
      <c r="W133" s="40">
        <v>0</v>
      </c>
      <c r="X133" s="40">
        <v>1000</v>
      </c>
      <c r="Z133" s="40">
        <v>10</v>
      </c>
      <c r="AB133" s="52">
        <v>50</v>
      </c>
      <c r="AD133" s="40">
        <v>10</v>
      </c>
      <c r="AF133" s="40">
        <v>2000</v>
      </c>
      <c r="AG133" s="40">
        <v>2</v>
      </c>
      <c r="AH133" s="40">
        <v>7.7399997709999999</v>
      </c>
      <c r="AI133" s="40">
        <v>813</v>
      </c>
      <c r="AJ133" s="40">
        <v>0</v>
      </c>
      <c r="AK133" s="40">
        <v>283</v>
      </c>
      <c r="AM133" s="40" t="s">
        <v>2</v>
      </c>
      <c r="AO133" s="40">
        <v>50</v>
      </c>
      <c r="AW133" s="40" t="b">
        <v>0</v>
      </c>
      <c r="BE133" s="244"/>
      <c r="BF133" s="40">
        <v>1.6</v>
      </c>
      <c r="BG133" s="40">
        <v>1</v>
      </c>
      <c r="BH133" s="40">
        <v>1</v>
      </c>
      <c r="BI133" s="40">
        <v>0.55000000000000004</v>
      </c>
      <c r="BJ133" s="40">
        <v>0</v>
      </c>
      <c r="BM133" s="33" t="s">
        <v>1</v>
      </c>
      <c r="BN133" s="58">
        <v>13</v>
      </c>
      <c r="BO133" s="35">
        <f t="shared" si="29"/>
        <v>7.5</v>
      </c>
      <c r="BP133" s="58">
        <v>250</v>
      </c>
      <c r="BT133" s="59"/>
      <c r="BU133" s="59"/>
      <c r="BV133" s="59"/>
      <c r="BW133" s="59"/>
      <c r="BX133" s="59"/>
      <c r="BY133" s="59"/>
      <c r="BZ133" s="59"/>
      <c r="CA133" s="59"/>
      <c r="CB133" s="59"/>
      <c r="CC133" s="59"/>
      <c r="CD133" s="59"/>
      <c r="CE133" s="60"/>
      <c r="CF133" s="44" t="s">
        <v>16</v>
      </c>
      <c r="CI133" s="40">
        <v>2.68</v>
      </c>
      <c r="CR133" s="40">
        <v>0</v>
      </c>
      <c r="CS133" s="67">
        <v>0</v>
      </c>
      <c r="CT133" s="67">
        <v>0</v>
      </c>
      <c r="CU133" s="40">
        <v>0</v>
      </c>
      <c r="CV133" s="67">
        <v>0</v>
      </c>
      <c r="CW133" s="67">
        <v>0</v>
      </c>
      <c r="CX133" s="67">
        <v>0</v>
      </c>
      <c r="CY133" s="67">
        <v>0</v>
      </c>
      <c r="CZ133" s="67">
        <v>0</v>
      </c>
      <c r="DA133" s="67">
        <v>0</v>
      </c>
      <c r="DB133" s="67">
        <v>0</v>
      </c>
      <c r="DD133" s="40">
        <v>0</v>
      </c>
      <c r="DI133" s="40" t="s">
        <v>0</v>
      </c>
    </row>
    <row r="134" spans="1:113" s="40" customFormat="1" ht="15.75" thickBot="1" x14ac:dyDescent="0.3">
      <c r="A134" s="40">
        <v>504746</v>
      </c>
      <c r="B134" s="40" t="s">
        <v>6</v>
      </c>
      <c r="C134" s="53" t="s">
        <v>390</v>
      </c>
      <c r="D134" s="40">
        <v>13</v>
      </c>
      <c r="E134" s="40">
        <v>0</v>
      </c>
      <c r="F134" s="40">
        <v>13</v>
      </c>
      <c r="G134" s="40">
        <v>199</v>
      </c>
      <c r="H134" s="40">
        <v>0</v>
      </c>
      <c r="I134" s="40">
        <v>25</v>
      </c>
      <c r="J134" s="54" t="s">
        <v>397</v>
      </c>
      <c r="K134" s="54" t="s">
        <v>398</v>
      </c>
      <c r="L134" s="56">
        <v>45936</v>
      </c>
      <c r="M134" s="40">
        <v>0</v>
      </c>
      <c r="N134" s="40">
        <v>0</v>
      </c>
      <c r="O134" s="40">
        <v>0</v>
      </c>
      <c r="S134" s="40" t="b">
        <v>0</v>
      </c>
      <c r="T134" s="40">
        <v>0.01</v>
      </c>
      <c r="U134" s="52">
        <v>7.5</v>
      </c>
      <c r="V134" s="40">
        <v>0.01</v>
      </c>
      <c r="W134" s="40">
        <v>0</v>
      </c>
      <c r="X134" s="40">
        <v>1000</v>
      </c>
      <c r="Z134" s="40">
        <v>10</v>
      </c>
      <c r="AB134" s="52">
        <v>50</v>
      </c>
      <c r="AD134" s="40">
        <v>10</v>
      </c>
      <c r="AF134" s="40">
        <v>2000</v>
      </c>
      <c r="AG134" s="40">
        <v>2</v>
      </c>
      <c r="AH134" s="40">
        <v>7.7399997709999999</v>
      </c>
      <c r="AI134" s="40">
        <v>821</v>
      </c>
      <c r="AJ134" s="40">
        <v>0</v>
      </c>
      <c r="AK134" s="40">
        <v>285</v>
      </c>
      <c r="AM134" s="40" t="s">
        <v>2</v>
      </c>
      <c r="AO134" s="40">
        <v>50</v>
      </c>
      <c r="AW134" s="40" t="b">
        <v>0</v>
      </c>
      <c r="BE134" s="244"/>
      <c r="BF134" s="40">
        <v>1.6</v>
      </c>
      <c r="BG134" s="40">
        <v>1</v>
      </c>
      <c r="BH134" s="40">
        <v>1</v>
      </c>
      <c r="BI134" s="40">
        <v>0.55000000000000004</v>
      </c>
      <c r="BJ134" s="40">
        <v>0</v>
      </c>
      <c r="BM134" s="33" t="s">
        <v>1</v>
      </c>
      <c r="BN134" s="58">
        <v>13</v>
      </c>
      <c r="BO134" s="35">
        <f t="shared" si="29"/>
        <v>7.5</v>
      </c>
      <c r="BP134" s="58">
        <v>250</v>
      </c>
      <c r="BT134" s="59"/>
      <c r="BU134" s="59"/>
      <c r="BV134" s="59"/>
      <c r="BW134" s="59"/>
      <c r="BX134" s="59"/>
      <c r="BY134" s="59"/>
      <c r="BZ134" s="59"/>
      <c r="CA134" s="59"/>
      <c r="CB134" s="59"/>
      <c r="CC134" s="59"/>
      <c r="CD134" s="59"/>
      <c r="CE134" s="60"/>
      <c r="CF134" s="44" t="s">
        <v>16</v>
      </c>
      <c r="CI134" s="40">
        <v>2.68</v>
      </c>
      <c r="CR134" s="40">
        <v>0</v>
      </c>
      <c r="CS134" s="67">
        <v>0</v>
      </c>
      <c r="CT134" s="67">
        <v>0</v>
      </c>
      <c r="CU134" s="40">
        <v>0</v>
      </c>
      <c r="CV134" s="67">
        <v>0</v>
      </c>
      <c r="CW134" s="67">
        <v>0</v>
      </c>
      <c r="CX134" s="67">
        <v>0</v>
      </c>
      <c r="CY134" s="67">
        <v>0</v>
      </c>
      <c r="CZ134" s="67">
        <v>0</v>
      </c>
      <c r="DA134" s="67">
        <v>0</v>
      </c>
      <c r="DB134" s="67">
        <v>0</v>
      </c>
      <c r="DD134" s="40">
        <v>0</v>
      </c>
      <c r="DI134" s="40" t="s">
        <v>0</v>
      </c>
    </row>
    <row r="135" spans="1:113" s="40" customFormat="1" ht="15.75" thickBot="1" x14ac:dyDescent="0.3">
      <c r="A135" s="40">
        <v>504747</v>
      </c>
      <c r="B135" s="40" t="s">
        <v>6</v>
      </c>
      <c r="C135" s="53" t="s">
        <v>390</v>
      </c>
      <c r="D135" s="40">
        <v>13</v>
      </c>
      <c r="E135" s="40">
        <v>0</v>
      </c>
      <c r="F135" s="40">
        <v>13</v>
      </c>
      <c r="G135" s="40">
        <v>200</v>
      </c>
      <c r="H135" s="40">
        <v>0</v>
      </c>
      <c r="I135" s="40">
        <v>25</v>
      </c>
      <c r="J135" s="54" t="s">
        <v>399</v>
      </c>
      <c r="K135" s="54" t="s">
        <v>400</v>
      </c>
      <c r="L135" s="56">
        <v>45936</v>
      </c>
      <c r="M135" s="40">
        <v>0</v>
      </c>
      <c r="N135" s="40">
        <v>0</v>
      </c>
      <c r="O135" s="40">
        <v>0</v>
      </c>
      <c r="S135" s="40" t="b">
        <v>0</v>
      </c>
      <c r="T135" s="40">
        <v>0.01</v>
      </c>
      <c r="U135" s="52">
        <v>7.5</v>
      </c>
      <c r="V135" s="40">
        <v>0.01</v>
      </c>
      <c r="W135" s="40">
        <v>0</v>
      </c>
      <c r="X135" s="40">
        <v>1000</v>
      </c>
      <c r="Z135" s="40">
        <v>10</v>
      </c>
      <c r="AB135" s="52">
        <v>50</v>
      </c>
      <c r="AD135" s="40">
        <v>10</v>
      </c>
      <c r="AF135" s="40">
        <v>2000</v>
      </c>
      <c r="AG135" s="40">
        <v>2</v>
      </c>
      <c r="AH135" s="40">
        <v>7.6599998469999999</v>
      </c>
      <c r="AI135" s="40">
        <v>783</v>
      </c>
      <c r="AJ135" s="40">
        <v>0</v>
      </c>
      <c r="AK135" s="40">
        <v>271</v>
      </c>
      <c r="AM135" s="40" t="s">
        <v>2</v>
      </c>
      <c r="AO135" s="40">
        <v>50</v>
      </c>
      <c r="AW135" s="40" t="b">
        <v>0</v>
      </c>
      <c r="BE135" s="244"/>
      <c r="BF135" s="40">
        <v>1.6</v>
      </c>
      <c r="BG135" s="40">
        <v>1</v>
      </c>
      <c r="BH135" s="40">
        <v>1</v>
      </c>
      <c r="BI135" s="40">
        <v>0.55000000000000004</v>
      </c>
      <c r="BJ135" s="40">
        <v>0</v>
      </c>
      <c r="BM135" s="33" t="s">
        <v>1</v>
      </c>
      <c r="BN135" s="58">
        <v>13</v>
      </c>
      <c r="BO135" s="35">
        <f t="shared" si="29"/>
        <v>7.5</v>
      </c>
      <c r="BP135" s="58">
        <v>250</v>
      </c>
      <c r="BT135" s="59"/>
      <c r="BU135" s="59"/>
      <c r="BV135" s="59"/>
      <c r="BW135" s="59"/>
      <c r="BX135" s="59"/>
      <c r="BY135" s="59"/>
      <c r="BZ135" s="59"/>
      <c r="CA135" s="59"/>
      <c r="CB135" s="59"/>
      <c r="CC135" s="59"/>
      <c r="CD135" s="59"/>
      <c r="CE135" s="60"/>
      <c r="CF135" s="44" t="s">
        <v>16</v>
      </c>
      <c r="CI135" s="40">
        <v>2.68</v>
      </c>
      <c r="CR135" s="40">
        <v>0</v>
      </c>
      <c r="CS135" s="67">
        <v>0</v>
      </c>
      <c r="CT135" s="67">
        <v>0</v>
      </c>
      <c r="CU135" s="40">
        <v>0</v>
      </c>
      <c r="CV135" s="67">
        <v>0</v>
      </c>
      <c r="CW135" s="67">
        <v>0</v>
      </c>
      <c r="CX135" s="67">
        <v>0</v>
      </c>
      <c r="CY135" s="67">
        <v>0</v>
      </c>
      <c r="CZ135" s="67">
        <v>0</v>
      </c>
      <c r="DA135" s="67">
        <v>0</v>
      </c>
      <c r="DB135" s="67">
        <v>0</v>
      </c>
      <c r="DD135" s="40">
        <v>0</v>
      </c>
      <c r="DI135" s="40" t="s">
        <v>0</v>
      </c>
    </row>
    <row r="136" spans="1:113" s="40" customFormat="1" ht="15.75" thickBot="1" x14ac:dyDescent="0.3">
      <c r="A136" s="40">
        <v>504748</v>
      </c>
      <c r="B136" s="40" t="s">
        <v>6</v>
      </c>
      <c r="C136" s="53" t="s">
        <v>390</v>
      </c>
      <c r="D136" s="40">
        <v>13</v>
      </c>
      <c r="E136" s="40">
        <v>0</v>
      </c>
      <c r="F136" s="40">
        <v>13</v>
      </c>
      <c r="G136" s="40">
        <v>201</v>
      </c>
      <c r="H136" s="40">
        <v>0</v>
      </c>
      <c r="I136" s="40">
        <v>25</v>
      </c>
      <c r="J136" s="54" t="s">
        <v>401</v>
      </c>
      <c r="K136" s="54" t="s">
        <v>402</v>
      </c>
      <c r="L136" s="56">
        <v>45936</v>
      </c>
      <c r="M136" s="40">
        <v>0</v>
      </c>
      <c r="N136" s="40">
        <v>0</v>
      </c>
      <c r="O136" s="40">
        <v>0</v>
      </c>
      <c r="S136" s="40" t="b">
        <v>0</v>
      </c>
      <c r="T136" s="40">
        <v>0.01</v>
      </c>
      <c r="U136" s="52">
        <v>7.5</v>
      </c>
      <c r="V136" s="40">
        <v>0.01</v>
      </c>
      <c r="W136" s="40">
        <v>0</v>
      </c>
      <c r="X136" s="40">
        <v>1000</v>
      </c>
      <c r="Z136" s="40">
        <v>10</v>
      </c>
      <c r="AB136" s="52">
        <v>50</v>
      </c>
      <c r="AD136" s="40">
        <v>10</v>
      </c>
      <c r="AF136" s="40">
        <v>2000</v>
      </c>
      <c r="AG136" s="40">
        <v>2</v>
      </c>
      <c r="AH136" s="40">
        <v>7.670000076</v>
      </c>
      <c r="AI136" s="40">
        <v>724</v>
      </c>
      <c r="AJ136" s="40">
        <v>0</v>
      </c>
      <c r="AK136" s="40">
        <v>250</v>
      </c>
      <c r="AM136" s="40" t="s">
        <v>2</v>
      </c>
      <c r="AO136" s="40">
        <v>50</v>
      </c>
      <c r="AW136" s="40" t="b">
        <v>0</v>
      </c>
      <c r="BE136" s="244"/>
      <c r="BF136" s="40">
        <v>1.6</v>
      </c>
      <c r="BG136" s="40">
        <v>1</v>
      </c>
      <c r="BH136" s="40">
        <v>1</v>
      </c>
      <c r="BI136" s="40">
        <v>0.55000000000000004</v>
      </c>
      <c r="BJ136" s="40">
        <v>0</v>
      </c>
      <c r="BM136" s="33" t="s">
        <v>1</v>
      </c>
      <c r="BN136" s="58">
        <v>13</v>
      </c>
      <c r="BO136" s="35">
        <f t="shared" si="29"/>
        <v>7.5</v>
      </c>
      <c r="BP136" s="58">
        <v>250</v>
      </c>
      <c r="BT136" s="59"/>
      <c r="BU136" s="59"/>
      <c r="BV136" s="59"/>
      <c r="BW136" s="59"/>
      <c r="BX136" s="59"/>
      <c r="BY136" s="59"/>
      <c r="BZ136" s="59"/>
      <c r="CA136" s="59"/>
      <c r="CB136" s="59"/>
      <c r="CC136" s="59"/>
      <c r="CD136" s="59"/>
      <c r="CE136" s="60"/>
      <c r="CF136" s="44" t="s">
        <v>16</v>
      </c>
      <c r="CI136" s="40">
        <v>2.68</v>
      </c>
      <c r="CR136" s="40">
        <v>0</v>
      </c>
      <c r="CS136" s="67">
        <v>0</v>
      </c>
      <c r="CT136" s="67">
        <v>0</v>
      </c>
      <c r="CU136" s="40">
        <v>0</v>
      </c>
      <c r="CV136" s="67">
        <v>0</v>
      </c>
      <c r="CW136" s="67">
        <v>0</v>
      </c>
      <c r="CX136" s="67">
        <v>0</v>
      </c>
      <c r="CY136" s="67">
        <v>0</v>
      </c>
      <c r="CZ136" s="67">
        <v>0</v>
      </c>
      <c r="DA136" s="67">
        <v>0</v>
      </c>
      <c r="DB136" s="67">
        <v>0</v>
      </c>
      <c r="DD136" s="40">
        <v>0</v>
      </c>
      <c r="DI136" s="40" t="s">
        <v>0</v>
      </c>
    </row>
    <row r="137" spans="1:113" s="40" customFormat="1" ht="15.75" thickBot="1" x14ac:dyDescent="0.3">
      <c r="A137" s="40">
        <v>504749</v>
      </c>
      <c r="B137" s="40" t="s">
        <v>6</v>
      </c>
      <c r="C137" s="53" t="s">
        <v>385</v>
      </c>
      <c r="D137" s="40">
        <v>12</v>
      </c>
      <c r="E137" s="40">
        <v>0</v>
      </c>
      <c r="F137" s="40">
        <v>12</v>
      </c>
      <c r="G137" s="40">
        <v>202</v>
      </c>
      <c r="H137" s="40">
        <v>0</v>
      </c>
      <c r="I137" s="40">
        <v>25</v>
      </c>
      <c r="J137" s="54" t="s">
        <v>403</v>
      </c>
      <c r="K137" s="54" t="s">
        <v>404</v>
      </c>
      <c r="L137" s="56">
        <v>45936</v>
      </c>
      <c r="M137" s="40">
        <v>0</v>
      </c>
      <c r="N137" s="40">
        <v>0</v>
      </c>
      <c r="O137" s="40">
        <v>0</v>
      </c>
      <c r="S137" s="40" t="b">
        <v>0</v>
      </c>
      <c r="T137" s="40">
        <v>0.01</v>
      </c>
      <c r="U137" s="52">
        <v>6.5</v>
      </c>
      <c r="V137" s="40">
        <v>0.01</v>
      </c>
      <c r="W137" s="40">
        <v>0</v>
      </c>
      <c r="X137" s="40">
        <v>1000</v>
      </c>
      <c r="Z137" s="40">
        <v>10</v>
      </c>
      <c r="AB137" s="52">
        <v>50</v>
      </c>
      <c r="AD137" s="40">
        <v>10</v>
      </c>
      <c r="AF137" s="40">
        <v>2000</v>
      </c>
      <c r="AG137" s="40">
        <v>2</v>
      </c>
      <c r="AH137" s="40">
        <v>6.6599998469999999</v>
      </c>
      <c r="AI137" s="40">
        <v>656</v>
      </c>
      <c r="AJ137" s="40">
        <v>0</v>
      </c>
      <c r="AK137" s="40">
        <v>196</v>
      </c>
      <c r="AM137" s="40" t="s">
        <v>2</v>
      </c>
      <c r="AO137" s="40">
        <v>50</v>
      </c>
      <c r="AW137" s="40" t="b">
        <v>0</v>
      </c>
      <c r="BE137" s="244"/>
      <c r="BF137" s="40">
        <v>1.6</v>
      </c>
      <c r="BG137" s="40">
        <v>1</v>
      </c>
      <c r="BH137" s="40">
        <v>0.55000000000000004</v>
      </c>
      <c r="BI137" s="40">
        <v>0</v>
      </c>
      <c r="BJ137" s="40">
        <v>0</v>
      </c>
      <c r="BM137" s="33" t="s">
        <v>1</v>
      </c>
      <c r="BN137" s="58">
        <v>12</v>
      </c>
      <c r="BO137" s="35">
        <f t="shared" si="29"/>
        <v>6.5</v>
      </c>
      <c r="BP137" s="58">
        <v>250</v>
      </c>
      <c r="BT137" s="59"/>
      <c r="BU137" s="59"/>
      <c r="BV137" s="59"/>
      <c r="BW137" s="59"/>
      <c r="BX137" s="59"/>
      <c r="BY137" s="59"/>
      <c r="BZ137" s="59"/>
      <c r="CA137" s="59"/>
      <c r="CB137" s="59"/>
      <c r="CC137" s="59"/>
      <c r="CD137" s="59"/>
      <c r="CE137" s="60"/>
      <c r="CF137" s="44" t="s">
        <v>12</v>
      </c>
      <c r="CI137" s="40">
        <v>2.68</v>
      </c>
      <c r="CR137" s="40">
        <v>0</v>
      </c>
      <c r="CS137" s="67">
        <v>0</v>
      </c>
      <c r="CT137" s="67">
        <v>0</v>
      </c>
      <c r="CU137" s="40">
        <v>1</v>
      </c>
      <c r="CV137" s="67">
        <v>0</v>
      </c>
      <c r="CW137" s="67">
        <v>0</v>
      </c>
      <c r="CX137" s="67">
        <v>0</v>
      </c>
      <c r="CY137" s="67">
        <v>0</v>
      </c>
      <c r="CZ137" s="67">
        <v>0</v>
      </c>
      <c r="DA137" s="67">
        <v>0</v>
      </c>
      <c r="DB137" s="67">
        <v>0</v>
      </c>
      <c r="DD137" s="40">
        <v>2</v>
      </c>
      <c r="DI137" s="40" t="s">
        <v>0</v>
      </c>
    </row>
    <row r="138" spans="1:113" s="40" customFormat="1" ht="15.75" thickBot="1" x14ac:dyDescent="0.3">
      <c r="A138" s="40">
        <v>504750</v>
      </c>
      <c r="B138" s="40" t="s">
        <v>6</v>
      </c>
      <c r="C138" s="53" t="s">
        <v>385</v>
      </c>
      <c r="D138" s="40">
        <v>12</v>
      </c>
      <c r="E138" s="40">
        <v>0</v>
      </c>
      <c r="F138" s="40">
        <v>12</v>
      </c>
      <c r="G138" s="40">
        <v>203</v>
      </c>
      <c r="H138" s="40">
        <v>0</v>
      </c>
      <c r="I138" s="40">
        <v>25</v>
      </c>
      <c r="J138" s="54" t="s">
        <v>405</v>
      </c>
      <c r="K138" s="54" t="s">
        <v>406</v>
      </c>
      <c r="L138" s="56">
        <v>45936</v>
      </c>
      <c r="M138" s="40">
        <v>0</v>
      </c>
      <c r="N138" s="40">
        <v>0</v>
      </c>
      <c r="O138" s="40">
        <v>0</v>
      </c>
      <c r="S138" s="40" t="b">
        <v>0</v>
      </c>
      <c r="T138" s="40">
        <v>0.01</v>
      </c>
      <c r="U138" s="52">
        <v>6.5</v>
      </c>
      <c r="V138" s="40">
        <v>0.01</v>
      </c>
      <c r="W138" s="40">
        <v>0</v>
      </c>
      <c r="X138" s="40">
        <v>1000</v>
      </c>
      <c r="Z138" s="40">
        <v>10</v>
      </c>
      <c r="AB138" s="52">
        <v>50</v>
      </c>
      <c r="AD138" s="40">
        <v>10</v>
      </c>
      <c r="AF138" s="40">
        <v>2000</v>
      </c>
      <c r="AG138" s="40">
        <v>2</v>
      </c>
      <c r="AH138" s="40">
        <v>6.6599998469999999</v>
      </c>
      <c r="AI138" s="40">
        <v>601</v>
      </c>
      <c r="AJ138" s="40">
        <v>0</v>
      </c>
      <c r="AK138" s="40">
        <v>180</v>
      </c>
      <c r="AM138" s="40" t="s">
        <v>2</v>
      </c>
      <c r="AO138" s="40">
        <v>50</v>
      </c>
      <c r="AW138" s="40" t="b">
        <v>0</v>
      </c>
      <c r="BE138" s="244"/>
      <c r="BF138" s="40">
        <v>1.6</v>
      </c>
      <c r="BG138" s="40">
        <v>1</v>
      </c>
      <c r="BH138" s="40">
        <v>0.55000000000000004</v>
      </c>
      <c r="BI138" s="40">
        <v>0</v>
      </c>
      <c r="BJ138" s="40">
        <v>0</v>
      </c>
      <c r="BM138" s="33" t="s">
        <v>1</v>
      </c>
      <c r="BN138" s="58">
        <v>12</v>
      </c>
      <c r="BO138" s="35">
        <f t="shared" si="29"/>
        <v>6.5</v>
      </c>
      <c r="BP138" s="58">
        <v>250</v>
      </c>
      <c r="BT138" s="59"/>
      <c r="BU138" s="59"/>
      <c r="BV138" s="59"/>
      <c r="BW138" s="59"/>
      <c r="BX138" s="59"/>
      <c r="BY138" s="59"/>
      <c r="BZ138" s="59"/>
      <c r="CA138" s="59"/>
      <c r="CB138" s="59"/>
      <c r="CC138" s="59"/>
      <c r="CD138" s="59"/>
      <c r="CE138" s="60"/>
      <c r="CF138" s="44" t="s">
        <v>12</v>
      </c>
      <c r="CI138" s="40">
        <v>2.68</v>
      </c>
      <c r="CR138" s="40">
        <v>0</v>
      </c>
      <c r="CS138" s="67">
        <v>0</v>
      </c>
      <c r="CT138" s="67">
        <v>0</v>
      </c>
      <c r="CU138" s="40">
        <v>1</v>
      </c>
      <c r="CV138" s="67">
        <v>0</v>
      </c>
      <c r="CW138" s="67">
        <v>0</v>
      </c>
      <c r="CX138" s="67">
        <v>0</v>
      </c>
      <c r="CY138" s="67">
        <v>0</v>
      </c>
      <c r="CZ138" s="67">
        <v>0</v>
      </c>
      <c r="DA138" s="67">
        <v>0</v>
      </c>
      <c r="DB138" s="67">
        <v>0</v>
      </c>
      <c r="DD138" s="40">
        <v>2</v>
      </c>
      <c r="DI138" s="40" t="s">
        <v>0</v>
      </c>
    </row>
    <row r="139" spans="1:113" s="40" customFormat="1" ht="15.75" thickBot="1" x14ac:dyDescent="0.3">
      <c r="A139" s="40">
        <v>504751</v>
      </c>
      <c r="B139" s="40" t="s">
        <v>6</v>
      </c>
      <c r="C139" s="53" t="s">
        <v>376</v>
      </c>
      <c r="D139" s="40">
        <v>8</v>
      </c>
      <c r="E139" s="40">
        <v>0</v>
      </c>
      <c r="F139" s="40">
        <v>8</v>
      </c>
      <c r="G139" s="40">
        <v>204</v>
      </c>
      <c r="H139" s="40">
        <v>0</v>
      </c>
      <c r="I139" s="40">
        <v>25</v>
      </c>
      <c r="J139" s="54" t="s">
        <v>407</v>
      </c>
      <c r="K139" s="54" t="s">
        <v>408</v>
      </c>
      <c r="L139" s="56">
        <v>45936</v>
      </c>
      <c r="M139" s="40">
        <v>0</v>
      </c>
      <c r="N139" s="40">
        <v>0</v>
      </c>
      <c r="O139" s="40">
        <v>0</v>
      </c>
      <c r="S139" s="40" t="b">
        <v>0</v>
      </c>
      <c r="T139" s="40">
        <v>3.5</v>
      </c>
      <c r="U139" s="52">
        <v>6.5</v>
      </c>
      <c r="V139" s="40">
        <v>0.01</v>
      </c>
      <c r="W139" s="40">
        <v>0</v>
      </c>
      <c r="X139" s="40">
        <v>1000</v>
      </c>
      <c r="Z139" s="40">
        <v>20</v>
      </c>
      <c r="AB139" s="52">
        <v>50</v>
      </c>
      <c r="AD139" s="40">
        <v>10</v>
      </c>
      <c r="AF139" s="40">
        <v>2000</v>
      </c>
      <c r="AG139" s="40">
        <v>2</v>
      </c>
      <c r="AH139" s="40">
        <v>6.7399997709999999</v>
      </c>
      <c r="AI139" s="40">
        <v>554</v>
      </c>
      <c r="AJ139" s="40">
        <v>0</v>
      </c>
      <c r="AK139" s="40">
        <v>169</v>
      </c>
      <c r="AM139" s="40" t="s">
        <v>2</v>
      </c>
      <c r="AO139" s="40">
        <v>50</v>
      </c>
      <c r="AW139" s="40" t="b">
        <v>0</v>
      </c>
      <c r="BE139" s="244"/>
      <c r="BF139" s="40">
        <v>1.6</v>
      </c>
      <c r="BG139" s="40">
        <v>0.55000000000000004</v>
      </c>
      <c r="BH139" s="40">
        <v>0</v>
      </c>
      <c r="BI139" s="40">
        <v>0</v>
      </c>
      <c r="BJ139" s="40">
        <v>0</v>
      </c>
      <c r="BM139" s="33" t="s">
        <v>1</v>
      </c>
      <c r="BN139" s="58">
        <v>8</v>
      </c>
      <c r="BO139" s="35">
        <f t="shared" si="29"/>
        <v>6.5</v>
      </c>
      <c r="BP139" s="58">
        <v>250</v>
      </c>
      <c r="BT139" s="59"/>
      <c r="BU139" s="59"/>
      <c r="BV139" s="59"/>
      <c r="BW139" s="59"/>
      <c r="BX139" s="59"/>
      <c r="BY139" s="59"/>
      <c r="BZ139" s="59"/>
      <c r="CA139" s="59"/>
      <c r="CB139" s="59"/>
      <c r="CC139" s="59"/>
      <c r="CD139" s="59"/>
      <c r="CE139" s="60"/>
      <c r="CF139" s="44" t="s">
        <v>16</v>
      </c>
      <c r="CI139" s="40">
        <v>2.68</v>
      </c>
      <c r="CR139" s="40">
        <v>0</v>
      </c>
      <c r="CS139" s="67">
        <v>0</v>
      </c>
      <c r="CT139" s="67">
        <v>0</v>
      </c>
      <c r="CU139" s="40">
        <v>0</v>
      </c>
      <c r="CV139" s="67">
        <v>0</v>
      </c>
      <c r="CW139" s="67">
        <v>0</v>
      </c>
      <c r="CX139" s="67">
        <v>0</v>
      </c>
      <c r="CY139" s="67">
        <v>0</v>
      </c>
      <c r="CZ139" s="67">
        <v>0</v>
      </c>
      <c r="DA139" s="67">
        <v>0</v>
      </c>
      <c r="DB139" s="67">
        <v>0</v>
      </c>
      <c r="DD139" s="40">
        <v>0</v>
      </c>
      <c r="DI139" s="40" t="s">
        <v>0</v>
      </c>
    </row>
    <row r="140" spans="1:113" s="40" customFormat="1" ht="15.75" thickBot="1" x14ac:dyDescent="0.3">
      <c r="A140" s="40">
        <v>504752</v>
      </c>
      <c r="B140" s="40" t="s">
        <v>6</v>
      </c>
      <c r="C140" s="53" t="s">
        <v>376</v>
      </c>
      <c r="D140" s="40">
        <v>8</v>
      </c>
      <c r="E140" s="40">
        <v>0</v>
      </c>
      <c r="F140" s="40">
        <v>8</v>
      </c>
      <c r="G140" s="40">
        <v>205</v>
      </c>
      <c r="H140" s="40">
        <v>0</v>
      </c>
      <c r="I140" s="40">
        <v>25</v>
      </c>
      <c r="J140" s="54" t="s">
        <v>409</v>
      </c>
      <c r="K140" s="54" t="s">
        <v>410</v>
      </c>
      <c r="L140" s="56">
        <v>45936</v>
      </c>
      <c r="M140" s="40">
        <v>0</v>
      </c>
      <c r="N140" s="40">
        <v>0</v>
      </c>
      <c r="O140" s="40">
        <v>0</v>
      </c>
      <c r="S140" s="40" t="b">
        <v>0</v>
      </c>
      <c r="T140" s="40">
        <v>3.5</v>
      </c>
      <c r="U140" s="52">
        <v>6.5</v>
      </c>
      <c r="V140" s="40">
        <v>0.01</v>
      </c>
      <c r="W140" s="40">
        <v>0</v>
      </c>
      <c r="X140" s="40">
        <v>1000</v>
      </c>
      <c r="Z140" s="40">
        <v>20</v>
      </c>
      <c r="AB140" s="52">
        <v>50</v>
      </c>
      <c r="AD140" s="40">
        <v>10</v>
      </c>
      <c r="AF140" s="40">
        <v>2000</v>
      </c>
      <c r="AG140" s="40">
        <v>2</v>
      </c>
      <c r="AH140" s="40">
        <v>6.7300000190000002</v>
      </c>
      <c r="AI140" s="40">
        <v>529</v>
      </c>
      <c r="AJ140" s="40">
        <v>0</v>
      </c>
      <c r="AK140" s="40">
        <v>160</v>
      </c>
      <c r="AM140" s="40" t="s">
        <v>2</v>
      </c>
      <c r="AO140" s="40">
        <v>50</v>
      </c>
      <c r="AW140" s="40" t="b">
        <v>0</v>
      </c>
      <c r="BE140" s="244"/>
      <c r="BF140" s="40">
        <v>1.6</v>
      </c>
      <c r="BG140" s="40">
        <v>0.55000000000000004</v>
      </c>
      <c r="BH140" s="40">
        <v>0</v>
      </c>
      <c r="BI140" s="40">
        <v>0</v>
      </c>
      <c r="BJ140" s="40">
        <v>0</v>
      </c>
      <c r="BM140" s="33" t="s">
        <v>1</v>
      </c>
      <c r="BN140" s="58">
        <v>8</v>
      </c>
      <c r="BO140" s="35">
        <f t="shared" si="29"/>
        <v>6.5</v>
      </c>
      <c r="BP140" s="58">
        <v>250</v>
      </c>
      <c r="BT140" s="59"/>
      <c r="BU140" s="59"/>
      <c r="BV140" s="59"/>
      <c r="BW140" s="59"/>
      <c r="BX140" s="59"/>
      <c r="BY140" s="59"/>
      <c r="BZ140" s="59"/>
      <c r="CA140" s="59"/>
      <c r="CB140" s="59"/>
      <c r="CC140" s="59"/>
      <c r="CD140" s="59"/>
      <c r="CE140" s="60"/>
      <c r="CF140" s="44" t="s">
        <v>16</v>
      </c>
      <c r="CI140" s="40">
        <v>2.68</v>
      </c>
      <c r="CR140" s="40">
        <v>0</v>
      </c>
      <c r="CS140" s="67">
        <v>0</v>
      </c>
      <c r="CT140" s="67">
        <v>0</v>
      </c>
      <c r="CU140" s="40">
        <v>0</v>
      </c>
      <c r="CV140" s="67">
        <v>0</v>
      </c>
      <c r="CW140" s="67">
        <v>0</v>
      </c>
      <c r="CX140" s="67">
        <v>0</v>
      </c>
      <c r="CY140" s="67">
        <v>0</v>
      </c>
      <c r="CZ140" s="67">
        <v>0</v>
      </c>
      <c r="DA140" s="67">
        <v>0</v>
      </c>
      <c r="DB140" s="67">
        <v>0</v>
      </c>
      <c r="DD140" s="40">
        <v>0</v>
      </c>
      <c r="DI140" s="40" t="s">
        <v>0</v>
      </c>
    </row>
    <row r="141" spans="1:113" s="40" customFormat="1" ht="15.75" thickBot="1" x14ac:dyDescent="0.3">
      <c r="A141" s="40">
        <v>504753</v>
      </c>
      <c r="B141" s="40" t="s">
        <v>6</v>
      </c>
      <c r="C141" s="53" t="s">
        <v>376</v>
      </c>
      <c r="D141" s="40">
        <v>8</v>
      </c>
      <c r="E141" s="40">
        <v>0</v>
      </c>
      <c r="F141" s="40">
        <v>8</v>
      </c>
      <c r="G141" s="40">
        <v>206</v>
      </c>
      <c r="H141" s="40">
        <v>0</v>
      </c>
      <c r="I141" s="40">
        <v>25</v>
      </c>
      <c r="J141" s="54" t="s">
        <v>411</v>
      </c>
      <c r="K141" s="54" t="s">
        <v>412</v>
      </c>
      <c r="L141" s="56">
        <v>45936</v>
      </c>
      <c r="M141" s="40">
        <v>0</v>
      </c>
      <c r="N141" s="40">
        <v>0</v>
      </c>
      <c r="O141" s="40">
        <v>0</v>
      </c>
      <c r="S141" s="40" t="b">
        <v>0</v>
      </c>
      <c r="T141" s="40">
        <v>3.5</v>
      </c>
      <c r="U141" s="52">
        <v>6.5</v>
      </c>
      <c r="V141" s="40">
        <v>0.01</v>
      </c>
      <c r="W141" s="40">
        <v>0</v>
      </c>
      <c r="X141" s="40">
        <v>1000</v>
      </c>
      <c r="Z141" s="40">
        <v>20</v>
      </c>
      <c r="AB141" s="52">
        <v>50</v>
      </c>
      <c r="AD141" s="40">
        <v>10</v>
      </c>
      <c r="AF141" s="40">
        <v>2000</v>
      </c>
      <c r="AG141" s="40">
        <v>2</v>
      </c>
      <c r="AH141" s="40">
        <v>6.7199997900000001</v>
      </c>
      <c r="AI141" s="40">
        <v>525</v>
      </c>
      <c r="AJ141" s="40">
        <v>0</v>
      </c>
      <c r="AK141" s="40">
        <v>160</v>
      </c>
      <c r="AM141" s="40" t="s">
        <v>2</v>
      </c>
      <c r="AO141" s="40">
        <v>50</v>
      </c>
      <c r="AW141" s="40" t="b">
        <v>0</v>
      </c>
      <c r="BE141" s="244"/>
      <c r="BF141" s="40">
        <v>1.6</v>
      </c>
      <c r="BG141" s="40">
        <v>0.55000000000000004</v>
      </c>
      <c r="BH141" s="40">
        <v>0</v>
      </c>
      <c r="BI141" s="40">
        <v>0</v>
      </c>
      <c r="BJ141" s="40">
        <v>0</v>
      </c>
      <c r="BM141" s="33" t="s">
        <v>1</v>
      </c>
      <c r="BN141" s="58">
        <v>8</v>
      </c>
      <c r="BO141" s="35">
        <f t="shared" si="29"/>
        <v>6.5</v>
      </c>
      <c r="BP141" s="58">
        <v>250</v>
      </c>
      <c r="BT141" s="59"/>
      <c r="BU141" s="59"/>
      <c r="BV141" s="59"/>
      <c r="BW141" s="59"/>
      <c r="BX141" s="59"/>
      <c r="BY141" s="59"/>
      <c r="BZ141" s="59"/>
      <c r="CA141" s="59"/>
      <c r="CB141" s="59"/>
      <c r="CC141" s="59"/>
      <c r="CD141" s="59"/>
      <c r="CE141" s="60"/>
      <c r="CF141" s="44" t="s">
        <v>16</v>
      </c>
      <c r="CI141" s="40">
        <v>2.68</v>
      </c>
      <c r="CR141" s="40">
        <v>0</v>
      </c>
      <c r="CS141" s="67">
        <v>0</v>
      </c>
      <c r="CT141" s="67">
        <v>0</v>
      </c>
      <c r="CU141" s="40">
        <v>0</v>
      </c>
      <c r="CV141" s="67">
        <v>0</v>
      </c>
      <c r="CW141" s="67">
        <v>0</v>
      </c>
      <c r="CX141" s="67">
        <v>0</v>
      </c>
      <c r="CY141" s="67">
        <v>0</v>
      </c>
      <c r="CZ141" s="67">
        <v>0</v>
      </c>
      <c r="DA141" s="67">
        <v>0</v>
      </c>
      <c r="DB141" s="67">
        <v>0</v>
      </c>
      <c r="DD141" s="40">
        <v>0</v>
      </c>
      <c r="DI141" s="40" t="s">
        <v>0</v>
      </c>
    </row>
    <row r="142" spans="1:113" s="40" customFormat="1" ht="15.75" thickBot="1" x14ac:dyDescent="0.3">
      <c r="A142" s="40">
        <v>504754</v>
      </c>
      <c r="B142" s="40" t="s">
        <v>6</v>
      </c>
      <c r="C142" s="53" t="s">
        <v>376</v>
      </c>
      <c r="D142" s="40">
        <v>8</v>
      </c>
      <c r="E142" s="40">
        <v>0</v>
      </c>
      <c r="F142" s="40">
        <v>8</v>
      </c>
      <c r="G142" s="40">
        <v>207</v>
      </c>
      <c r="H142" s="40">
        <v>0</v>
      </c>
      <c r="I142" s="40">
        <v>25</v>
      </c>
      <c r="J142" s="54" t="s">
        <v>413</v>
      </c>
      <c r="K142" s="54" t="s">
        <v>414</v>
      </c>
      <c r="L142" s="56">
        <v>45936</v>
      </c>
      <c r="M142" s="40">
        <v>0</v>
      </c>
      <c r="N142" s="40">
        <v>0</v>
      </c>
      <c r="O142" s="40">
        <v>0</v>
      </c>
      <c r="S142" s="40" t="b">
        <v>0</v>
      </c>
      <c r="T142" s="40">
        <v>3.5</v>
      </c>
      <c r="U142" s="52">
        <v>6.5</v>
      </c>
      <c r="V142" s="40">
        <v>0.01</v>
      </c>
      <c r="W142" s="40">
        <v>0</v>
      </c>
      <c r="X142" s="40">
        <v>1000</v>
      </c>
      <c r="Z142" s="40">
        <v>20</v>
      </c>
      <c r="AB142" s="52">
        <v>50</v>
      </c>
      <c r="AD142" s="40">
        <v>10</v>
      </c>
      <c r="AF142" s="40">
        <v>2000</v>
      </c>
      <c r="AG142" s="40">
        <v>2</v>
      </c>
      <c r="AH142" s="40">
        <v>6.7300000190000002</v>
      </c>
      <c r="AI142" s="40">
        <v>529</v>
      </c>
      <c r="AJ142" s="40">
        <v>0</v>
      </c>
      <c r="AK142" s="40">
        <v>160</v>
      </c>
      <c r="AM142" s="40" t="s">
        <v>2</v>
      </c>
      <c r="AO142" s="40">
        <v>50</v>
      </c>
      <c r="AW142" s="40" t="b">
        <v>0</v>
      </c>
      <c r="BE142" s="244"/>
      <c r="BF142" s="40">
        <v>1.6</v>
      </c>
      <c r="BG142" s="40">
        <v>0.55000000000000004</v>
      </c>
      <c r="BH142" s="40">
        <v>0</v>
      </c>
      <c r="BI142" s="40">
        <v>0</v>
      </c>
      <c r="BJ142" s="40">
        <v>0</v>
      </c>
      <c r="BM142" s="33" t="s">
        <v>1</v>
      </c>
      <c r="BN142" s="58">
        <v>8</v>
      </c>
      <c r="BO142" s="35">
        <f t="shared" si="29"/>
        <v>6.5</v>
      </c>
      <c r="BP142" s="58">
        <v>250</v>
      </c>
      <c r="BT142" s="59"/>
      <c r="BU142" s="59"/>
      <c r="BV142" s="59"/>
      <c r="BW142" s="59"/>
      <c r="BX142" s="59"/>
      <c r="BY142" s="59"/>
      <c r="BZ142" s="59"/>
      <c r="CA142" s="59"/>
      <c r="CB142" s="59"/>
      <c r="CC142" s="59"/>
      <c r="CD142" s="59"/>
      <c r="CE142" s="60"/>
      <c r="CF142" s="44" t="s">
        <v>16</v>
      </c>
      <c r="CI142" s="40">
        <v>2.68</v>
      </c>
      <c r="CR142" s="40">
        <v>0</v>
      </c>
      <c r="CS142" s="67">
        <v>0</v>
      </c>
      <c r="CT142" s="67">
        <v>0</v>
      </c>
      <c r="CU142" s="40">
        <v>0</v>
      </c>
      <c r="CV142" s="67">
        <v>0</v>
      </c>
      <c r="CW142" s="67">
        <v>0</v>
      </c>
      <c r="CX142" s="67">
        <v>0</v>
      </c>
      <c r="CY142" s="67">
        <v>0</v>
      </c>
      <c r="CZ142" s="67">
        <v>0</v>
      </c>
      <c r="DA142" s="67">
        <v>0</v>
      </c>
      <c r="DB142" s="67">
        <v>0</v>
      </c>
      <c r="DD142" s="40">
        <v>0</v>
      </c>
      <c r="DI142" s="40" t="s">
        <v>0</v>
      </c>
    </row>
    <row r="143" spans="1:113" s="40" customFormat="1" ht="15.75" thickBot="1" x14ac:dyDescent="0.3">
      <c r="A143" s="40">
        <v>504755</v>
      </c>
      <c r="B143" s="40" t="s">
        <v>6</v>
      </c>
      <c r="C143" s="53" t="s">
        <v>385</v>
      </c>
      <c r="D143" s="40">
        <v>12</v>
      </c>
      <c r="E143" s="40">
        <v>0</v>
      </c>
      <c r="F143" s="40">
        <v>12</v>
      </c>
      <c r="G143" s="40">
        <v>208</v>
      </c>
      <c r="H143" s="40">
        <v>0</v>
      </c>
      <c r="I143" s="40">
        <v>25</v>
      </c>
      <c r="J143" s="54" t="s">
        <v>415</v>
      </c>
      <c r="K143" s="54" t="s">
        <v>416</v>
      </c>
      <c r="L143" s="56">
        <v>45936</v>
      </c>
      <c r="M143" s="40">
        <v>0</v>
      </c>
      <c r="N143" s="40">
        <v>0</v>
      </c>
      <c r="O143" s="40">
        <v>0</v>
      </c>
      <c r="S143" s="40" t="b">
        <v>0</v>
      </c>
      <c r="T143" s="40">
        <v>0.01</v>
      </c>
      <c r="U143" s="52">
        <v>6.5</v>
      </c>
      <c r="V143" s="40">
        <v>0.01</v>
      </c>
      <c r="W143" s="40">
        <v>0</v>
      </c>
      <c r="X143" s="40">
        <v>1000</v>
      </c>
      <c r="Z143" s="40">
        <v>10</v>
      </c>
      <c r="AB143" s="52">
        <v>50</v>
      </c>
      <c r="AD143" s="40">
        <v>10</v>
      </c>
      <c r="AF143" s="40">
        <v>2000</v>
      </c>
      <c r="AG143" s="40">
        <v>2</v>
      </c>
      <c r="AH143" s="40">
        <v>6.7300000190000002</v>
      </c>
      <c r="AI143" s="40">
        <v>728</v>
      </c>
      <c r="AJ143" s="40">
        <v>0</v>
      </c>
      <c r="AK143" s="40">
        <v>218</v>
      </c>
      <c r="AM143" s="40" t="s">
        <v>2</v>
      </c>
      <c r="AO143" s="40">
        <v>50</v>
      </c>
      <c r="AW143" s="40" t="b">
        <v>0</v>
      </c>
      <c r="BE143" s="244"/>
      <c r="BF143" s="40">
        <v>1.6</v>
      </c>
      <c r="BG143" s="40">
        <v>1</v>
      </c>
      <c r="BH143" s="40">
        <v>0.55000000000000004</v>
      </c>
      <c r="BI143" s="40">
        <v>0</v>
      </c>
      <c r="BJ143" s="40">
        <v>0</v>
      </c>
      <c r="BM143" s="33" t="s">
        <v>1</v>
      </c>
      <c r="BN143" s="58">
        <v>12</v>
      </c>
      <c r="BO143" s="35">
        <f t="shared" si="29"/>
        <v>6.5</v>
      </c>
      <c r="BP143" s="58">
        <v>250</v>
      </c>
      <c r="BT143" s="59"/>
      <c r="BU143" s="59"/>
      <c r="BV143" s="59"/>
      <c r="BW143" s="59"/>
      <c r="BX143" s="59"/>
      <c r="BY143" s="59"/>
      <c r="BZ143" s="59"/>
      <c r="CA143" s="59"/>
      <c r="CB143" s="59"/>
      <c r="CC143" s="59"/>
      <c r="CD143" s="59"/>
      <c r="CE143" s="60"/>
      <c r="CF143" s="44" t="s">
        <v>16</v>
      </c>
      <c r="CI143" s="40">
        <v>2.68</v>
      </c>
      <c r="CR143" s="40">
        <v>0</v>
      </c>
      <c r="CS143" s="67">
        <v>0</v>
      </c>
      <c r="CT143" s="67">
        <v>0</v>
      </c>
      <c r="CU143" s="40">
        <v>0</v>
      </c>
      <c r="CV143" s="67">
        <v>0</v>
      </c>
      <c r="CW143" s="67">
        <v>0</v>
      </c>
      <c r="CX143" s="67">
        <v>0</v>
      </c>
      <c r="CY143" s="67">
        <v>0</v>
      </c>
      <c r="CZ143" s="67">
        <v>0</v>
      </c>
      <c r="DA143" s="67">
        <v>0</v>
      </c>
      <c r="DB143" s="67">
        <v>0</v>
      </c>
      <c r="DD143" s="40">
        <v>0</v>
      </c>
      <c r="DI143" s="40" t="s">
        <v>0</v>
      </c>
    </row>
    <row r="144" spans="1:113" s="40" customFormat="1" ht="15.75" thickBot="1" x14ac:dyDescent="0.3">
      <c r="A144" s="40">
        <v>504756</v>
      </c>
      <c r="B144" s="40" t="s">
        <v>6</v>
      </c>
      <c r="C144" s="53" t="s">
        <v>385</v>
      </c>
      <c r="D144" s="40">
        <v>12</v>
      </c>
      <c r="E144" s="40">
        <v>0</v>
      </c>
      <c r="F144" s="40">
        <v>12</v>
      </c>
      <c r="G144" s="40">
        <v>209</v>
      </c>
      <c r="H144" s="40">
        <v>0</v>
      </c>
      <c r="I144" s="40">
        <v>25</v>
      </c>
      <c r="J144" s="54" t="s">
        <v>417</v>
      </c>
      <c r="K144" s="54" t="s">
        <v>418</v>
      </c>
      <c r="L144" s="56">
        <v>45936</v>
      </c>
      <c r="M144" s="40">
        <v>0</v>
      </c>
      <c r="N144" s="40">
        <v>0</v>
      </c>
      <c r="O144" s="40">
        <v>0</v>
      </c>
      <c r="S144" s="40" t="b">
        <v>0</v>
      </c>
      <c r="T144" s="40">
        <v>0.01</v>
      </c>
      <c r="U144" s="52">
        <v>6.5</v>
      </c>
      <c r="V144" s="40">
        <v>0.01</v>
      </c>
      <c r="W144" s="40">
        <v>0</v>
      </c>
      <c r="X144" s="40">
        <v>1000</v>
      </c>
      <c r="Z144" s="40">
        <v>10</v>
      </c>
      <c r="AB144" s="52">
        <v>50</v>
      </c>
      <c r="AD144" s="40">
        <v>10</v>
      </c>
      <c r="AF144" s="40">
        <v>2000</v>
      </c>
      <c r="AG144" s="40">
        <v>2</v>
      </c>
      <c r="AH144" s="40">
        <v>6.6900000569999998</v>
      </c>
      <c r="AI144" s="40">
        <v>665</v>
      </c>
      <c r="AJ144" s="40">
        <v>0</v>
      </c>
      <c r="AK144" s="40">
        <v>198</v>
      </c>
      <c r="AM144" s="40" t="s">
        <v>2</v>
      </c>
      <c r="AO144" s="40">
        <v>50</v>
      </c>
      <c r="AW144" s="40" t="b">
        <v>0</v>
      </c>
      <c r="BE144" s="244"/>
      <c r="BF144" s="40">
        <v>1.6</v>
      </c>
      <c r="BG144" s="40">
        <v>1</v>
      </c>
      <c r="BH144" s="40">
        <v>0.55000000000000004</v>
      </c>
      <c r="BI144" s="40">
        <v>0</v>
      </c>
      <c r="BJ144" s="40">
        <v>0</v>
      </c>
      <c r="BM144" s="33" t="s">
        <v>1</v>
      </c>
      <c r="BN144" s="58">
        <v>12</v>
      </c>
      <c r="BO144" s="35">
        <f t="shared" si="29"/>
        <v>6.5</v>
      </c>
      <c r="BP144" s="58">
        <v>250</v>
      </c>
      <c r="BT144" s="59"/>
      <c r="BU144" s="59"/>
      <c r="BV144" s="59"/>
      <c r="BW144" s="59"/>
      <c r="BX144" s="59"/>
      <c r="BY144" s="59"/>
      <c r="BZ144" s="59"/>
      <c r="CA144" s="59"/>
      <c r="CB144" s="59"/>
      <c r="CC144" s="59"/>
      <c r="CD144" s="59"/>
      <c r="CE144" s="60"/>
      <c r="CF144" s="44" t="s">
        <v>16</v>
      </c>
      <c r="CI144" s="40">
        <v>2.68</v>
      </c>
      <c r="CR144" s="40">
        <v>0</v>
      </c>
      <c r="CS144" s="67">
        <v>0</v>
      </c>
      <c r="CT144" s="67">
        <v>0</v>
      </c>
      <c r="CU144" s="40">
        <v>0</v>
      </c>
      <c r="CV144" s="67">
        <v>0</v>
      </c>
      <c r="CW144" s="67">
        <v>0</v>
      </c>
      <c r="CX144" s="67">
        <v>0</v>
      </c>
      <c r="CY144" s="67">
        <v>0</v>
      </c>
      <c r="CZ144" s="67">
        <v>0</v>
      </c>
      <c r="DA144" s="67">
        <v>0</v>
      </c>
      <c r="DB144" s="67">
        <v>0</v>
      </c>
      <c r="DD144" s="40">
        <v>0</v>
      </c>
      <c r="DI144" s="40" t="s">
        <v>0</v>
      </c>
    </row>
    <row r="145" spans="1:113" s="40" customFormat="1" ht="15.75" thickBot="1" x14ac:dyDescent="0.3">
      <c r="A145" s="40">
        <v>504757</v>
      </c>
      <c r="B145" s="40" t="s">
        <v>6</v>
      </c>
      <c r="C145" s="53" t="s">
        <v>385</v>
      </c>
      <c r="D145" s="40">
        <v>12</v>
      </c>
      <c r="E145" s="40">
        <v>0</v>
      </c>
      <c r="F145" s="40">
        <v>12</v>
      </c>
      <c r="G145" s="40">
        <v>210</v>
      </c>
      <c r="H145" s="40">
        <v>0</v>
      </c>
      <c r="I145" s="40">
        <v>25</v>
      </c>
      <c r="J145" s="54" t="s">
        <v>419</v>
      </c>
      <c r="K145" s="54" t="s">
        <v>420</v>
      </c>
      <c r="L145" s="56">
        <v>45936</v>
      </c>
      <c r="M145" s="40">
        <v>0</v>
      </c>
      <c r="N145" s="40">
        <v>0</v>
      </c>
      <c r="O145" s="40">
        <v>0</v>
      </c>
      <c r="S145" s="40" t="b">
        <v>0</v>
      </c>
      <c r="T145" s="40">
        <v>0.01</v>
      </c>
      <c r="U145" s="52">
        <v>6.5</v>
      </c>
      <c r="V145" s="40">
        <v>0.01</v>
      </c>
      <c r="W145" s="40">
        <v>0</v>
      </c>
      <c r="X145" s="40">
        <v>1000</v>
      </c>
      <c r="Z145" s="40">
        <v>10</v>
      </c>
      <c r="AB145" s="52">
        <v>50</v>
      </c>
      <c r="AD145" s="40">
        <v>10</v>
      </c>
      <c r="AF145" s="40">
        <v>2000</v>
      </c>
      <c r="AG145" s="40">
        <v>2</v>
      </c>
      <c r="AH145" s="40">
        <v>6.6799998279999997</v>
      </c>
      <c r="AI145" s="40">
        <v>643</v>
      </c>
      <c r="AJ145" s="40">
        <v>0</v>
      </c>
      <c r="AK145" s="40">
        <v>193</v>
      </c>
      <c r="AM145" s="40" t="s">
        <v>2</v>
      </c>
      <c r="AO145" s="40">
        <v>50</v>
      </c>
      <c r="AW145" s="40" t="b">
        <v>0</v>
      </c>
      <c r="BE145" s="244"/>
      <c r="BF145" s="40">
        <v>1.6</v>
      </c>
      <c r="BG145" s="40">
        <v>1</v>
      </c>
      <c r="BH145" s="40">
        <v>0.55000000000000004</v>
      </c>
      <c r="BI145" s="40">
        <v>0</v>
      </c>
      <c r="BJ145" s="40">
        <v>0</v>
      </c>
      <c r="BM145" s="33" t="s">
        <v>1</v>
      </c>
      <c r="BN145" s="58">
        <v>12</v>
      </c>
      <c r="BO145" s="35">
        <f t="shared" si="29"/>
        <v>6.5</v>
      </c>
      <c r="BP145" s="58">
        <v>250</v>
      </c>
      <c r="BT145" s="59"/>
      <c r="BU145" s="59"/>
      <c r="BV145" s="59"/>
      <c r="BW145" s="59"/>
      <c r="BX145" s="59"/>
      <c r="BY145" s="59"/>
      <c r="BZ145" s="59"/>
      <c r="CA145" s="59"/>
      <c r="CB145" s="59"/>
      <c r="CC145" s="59"/>
      <c r="CD145" s="59"/>
      <c r="CE145" s="60"/>
      <c r="CF145" s="44" t="s">
        <v>16</v>
      </c>
      <c r="CI145" s="40">
        <v>2.68</v>
      </c>
      <c r="CR145" s="40">
        <v>0</v>
      </c>
      <c r="CS145" s="67">
        <v>0</v>
      </c>
      <c r="CT145" s="67">
        <v>0</v>
      </c>
      <c r="CU145" s="40">
        <v>0</v>
      </c>
      <c r="CV145" s="67">
        <v>0</v>
      </c>
      <c r="CW145" s="67">
        <v>0</v>
      </c>
      <c r="CX145" s="67">
        <v>0</v>
      </c>
      <c r="CY145" s="67">
        <v>0</v>
      </c>
      <c r="CZ145" s="67">
        <v>0</v>
      </c>
      <c r="DA145" s="67">
        <v>0</v>
      </c>
      <c r="DB145" s="67">
        <v>0</v>
      </c>
      <c r="DD145" s="40">
        <v>0</v>
      </c>
      <c r="DI145" s="40" t="s">
        <v>0</v>
      </c>
    </row>
    <row r="146" spans="1:113" s="40" customFormat="1" ht="15.75" thickBot="1" x14ac:dyDescent="0.3">
      <c r="A146" s="40">
        <v>504758</v>
      </c>
      <c r="B146" s="40" t="s">
        <v>6</v>
      </c>
      <c r="C146" s="53" t="s">
        <v>385</v>
      </c>
      <c r="D146" s="40">
        <v>12</v>
      </c>
      <c r="E146" s="40">
        <v>0</v>
      </c>
      <c r="F146" s="40">
        <v>12</v>
      </c>
      <c r="G146" s="40">
        <v>211</v>
      </c>
      <c r="H146" s="40">
        <v>0</v>
      </c>
      <c r="I146" s="40">
        <v>25</v>
      </c>
      <c r="J146" s="54" t="s">
        <v>421</v>
      </c>
      <c r="K146" s="54" t="s">
        <v>422</v>
      </c>
      <c r="L146" s="56">
        <v>45936</v>
      </c>
      <c r="M146" s="40">
        <v>0</v>
      </c>
      <c r="N146" s="40">
        <v>0</v>
      </c>
      <c r="O146" s="40">
        <v>0</v>
      </c>
      <c r="S146" s="40" t="b">
        <v>0</v>
      </c>
      <c r="T146" s="40">
        <v>0.01</v>
      </c>
      <c r="U146" s="52">
        <v>6.5</v>
      </c>
      <c r="V146" s="40">
        <v>0.01</v>
      </c>
      <c r="W146" s="40">
        <v>0</v>
      </c>
      <c r="X146" s="40">
        <v>1000</v>
      </c>
      <c r="Z146" s="40">
        <v>10</v>
      </c>
      <c r="AB146" s="52">
        <v>50</v>
      </c>
      <c r="AD146" s="40">
        <v>10</v>
      </c>
      <c r="AF146" s="40">
        <v>2000</v>
      </c>
      <c r="AG146" s="40">
        <v>2</v>
      </c>
      <c r="AH146" s="40">
        <v>6.6799998279999997</v>
      </c>
      <c r="AI146" s="40">
        <v>639</v>
      </c>
      <c r="AJ146" s="40">
        <v>0</v>
      </c>
      <c r="AK146" s="40">
        <v>192</v>
      </c>
      <c r="AM146" s="40" t="s">
        <v>2</v>
      </c>
      <c r="AO146" s="40">
        <v>50</v>
      </c>
      <c r="AW146" s="40" t="b">
        <v>0</v>
      </c>
      <c r="BE146" s="244"/>
      <c r="BF146" s="40">
        <v>1.6</v>
      </c>
      <c r="BG146" s="40">
        <v>1</v>
      </c>
      <c r="BH146" s="40">
        <v>0.55000000000000004</v>
      </c>
      <c r="BI146" s="40">
        <v>0</v>
      </c>
      <c r="BJ146" s="40">
        <v>0</v>
      </c>
      <c r="BM146" s="33" t="s">
        <v>1</v>
      </c>
      <c r="BN146" s="58">
        <v>12</v>
      </c>
      <c r="BO146" s="35">
        <f t="shared" si="29"/>
        <v>6.5</v>
      </c>
      <c r="BP146" s="58">
        <v>250</v>
      </c>
      <c r="BT146" s="59"/>
      <c r="BU146" s="59"/>
      <c r="BV146" s="59"/>
      <c r="BW146" s="59"/>
      <c r="BX146" s="59"/>
      <c r="BY146" s="59"/>
      <c r="BZ146" s="59"/>
      <c r="CA146" s="59"/>
      <c r="CB146" s="59"/>
      <c r="CC146" s="59"/>
      <c r="CD146" s="59"/>
      <c r="CE146" s="60"/>
      <c r="CF146" s="44" t="s">
        <v>16</v>
      </c>
      <c r="CI146" s="40">
        <v>2.68</v>
      </c>
      <c r="CR146" s="40">
        <v>0</v>
      </c>
      <c r="CS146" s="67">
        <v>0</v>
      </c>
      <c r="CT146" s="67">
        <v>0</v>
      </c>
      <c r="CU146" s="40">
        <v>0</v>
      </c>
      <c r="CV146" s="67">
        <v>0</v>
      </c>
      <c r="CW146" s="67">
        <v>0</v>
      </c>
      <c r="CX146" s="67">
        <v>0</v>
      </c>
      <c r="CY146" s="67">
        <v>0</v>
      </c>
      <c r="CZ146" s="67">
        <v>0</v>
      </c>
      <c r="DA146" s="67">
        <v>0</v>
      </c>
      <c r="DB146" s="67">
        <v>0</v>
      </c>
      <c r="DD146" s="40">
        <v>0</v>
      </c>
      <c r="DI146" s="40" t="s">
        <v>0</v>
      </c>
    </row>
    <row r="147" spans="1:113" s="40" customFormat="1" ht="15.75" thickBot="1" x14ac:dyDescent="0.3">
      <c r="A147" s="40">
        <v>504759</v>
      </c>
      <c r="B147" s="40" t="s">
        <v>6</v>
      </c>
      <c r="C147" s="53" t="s">
        <v>385</v>
      </c>
      <c r="D147" s="40">
        <v>12</v>
      </c>
      <c r="E147" s="40">
        <v>0</v>
      </c>
      <c r="F147" s="40">
        <v>12</v>
      </c>
      <c r="G147" s="40">
        <v>212</v>
      </c>
      <c r="H147" s="40">
        <v>0</v>
      </c>
      <c r="I147" s="40">
        <v>25</v>
      </c>
      <c r="J147" s="54" t="s">
        <v>423</v>
      </c>
      <c r="K147" s="54" t="s">
        <v>424</v>
      </c>
      <c r="L147" s="56">
        <v>45936</v>
      </c>
      <c r="M147" s="40">
        <v>0</v>
      </c>
      <c r="N147" s="40">
        <v>0</v>
      </c>
      <c r="O147" s="40">
        <v>0</v>
      </c>
      <c r="S147" s="40" t="b">
        <v>0</v>
      </c>
      <c r="T147" s="40">
        <v>0.01</v>
      </c>
      <c r="U147" s="52">
        <v>6.5</v>
      </c>
      <c r="V147" s="40">
        <v>0.01</v>
      </c>
      <c r="W147" s="40">
        <v>0</v>
      </c>
      <c r="X147" s="40">
        <v>1000</v>
      </c>
      <c r="Z147" s="40">
        <v>10</v>
      </c>
      <c r="AB147" s="52">
        <v>50</v>
      </c>
      <c r="AD147" s="40">
        <v>10</v>
      </c>
      <c r="AF147" s="40">
        <v>2000</v>
      </c>
      <c r="AG147" s="40">
        <v>2</v>
      </c>
      <c r="AH147" s="40">
        <v>6.7199997900000001</v>
      </c>
      <c r="AI147" s="40">
        <v>711</v>
      </c>
      <c r="AJ147" s="40">
        <v>0</v>
      </c>
      <c r="AK147" s="40">
        <v>213</v>
      </c>
      <c r="AM147" s="40" t="s">
        <v>2</v>
      </c>
      <c r="AO147" s="40">
        <v>50</v>
      </c>
      <c r="AW147" s="40" t="b">
        <v>0</v>
      </c>
      <c r="BE147" s="244"/>
      <c r="BF147" s="40">
        <v>1.6</v>
      </c>
      <c r="BG147" s="40">
        <v>1</v>
      </c>
      <c r="BH147" s="40">
        <v>0.55000000000000004</v>
      </c>
      <c r="BI147" s="40">
        <v>0</v>
      </c>
      <c r="BJ147" s="40">
        <v>0</v>
      </c>
      <c r="BM147" s="33" t="s">
        <v>1</v>
      </c>
      <c r="BN147" s="58">
        <v>12</v>
      </c>
      <c r="BO147" s="35">
        <f t="shared" si="29"/>
        <v>6.5</v>
      </c>
      <c r="BP147" s="58">
        <v>250</v>
      </c>
      <c r="BT147" s="59"/>
      <c r="BU147" s="59"/>
      <c r="BV147" s="59"/>
      <c r="BW147" s="59"/>
      <c r="BX147" s="59"/>
      <c r="BY147" s="59"/>
      <c r="BZ147" s="59"/>
      <c r="CA147" s="59"/>
      <c r="CB147" s="59"/>
      <c r="CC147" s="59"/>
      <c r="CD147" s="59"/>
      <c r="CE147" s="60"/>
      <c r="CF147" s="44" t="s">
        <v>16</v>
      </c>
      <c r="CI147" s="40">
        <v>2.68</v>
      </c>
      <c r="CR147" s="40">
        <v>0</v>
      </c>
      <c r="CS147" s="67">
        <v>0</v>
      </c>
      <c r="CT147" s="67">
        <v>0</v>
      </c>
      <c r="CU147" s="40">
        <v>0</v>
      </c>
      <c r="CV147" s="67">
        <v>0</v>
      </c>
      <c r="CW147" s="67">
        <v>0</v>
      </c>
      <c r="CX147" s="67">
        <v>0</v>
      </c>
      <c r="CY147" s="67">
        <v>0</v>
      </c>
      <c r="CZ147" s="67">
        <v>0</v>
      </c>
      <c r="DA147" s="67">
        <v>0</v>
      </c>
      <c r="DB147" s="67">
        <v>0</v>
      </c>
      <c r="DD147" s="40">
        <v>0</v>
      </c>
      <c r="DI147" s="40" t="s">
        <v>0</v>
      </c>
    </row>
    <row r="148" spans="1:113" s="40" customFormat="1" ht="15.75" thickBot="1" x14ac:dyDescent="0.3">
      <c r="A148" s="40">
        <v>504760</v>
      </c>
      <c r="B148" s="40" t="s">
        <v>6</v>
      </c>
      <c r="C148" s="53" t="s">
        <v>385</v>
      </c>
      <c r="D148" s="40">
        <v>12</v>
      </c>
      <c r="E148" s="40">
        <v>0</v>
      </c>
      <c r="F148" s="40">
        <v>12</v>
      </c>
      <c r="G148" s="40">
        <v>213</v>
      </c>
      <c r="H148" s="40">
        <v>0</v>
      </c>
      <c r="I148" s="40">
        <v>25</v>
      </c>
      <c r="J148" s="54" t="s">
        <v>425</v>
      </c>
      <c r="K148" s="54" t="s">
        <v>426</v>
      </c>
      <c r="L148" s="56">
        <v>45936</v>
      </c>
      <c r="M148" s="40">
        <v>0</v>
      </c>
      <c r="N148" s="40">
        <v>0</v>
      </c>
      <c r="O148" s="40">
        <v>0</v>
      </c>
      <c r="S148" s="40" t="b">
        <v>0</v>
      </c>
      <c r="T148" s="40">
        <v>0.01</v>
      </c>
      <c r="U148" s="52">
        <v>6.5</v>
      </c>
      <c r="V148" s="40">
        <v>0.01</v>
      </c>
      <c r="W148" s="40">
        <v>0</v>
      </c>
      <c r="X148" s="40">
        <v>1000</v>
      </c>
      <c r="Z148" s="40">
        <v>10</v>
      </c>
      <c r="AB148" s="52">
        <v>50</v>
      </c>
      <c r="AD148" s="40">
        <v>10</v>
      </c>
      <c r="AF148" s="40">
        <v>2000</v>
      </c>
      <c r="AG148" s="40">
        <v>2</v>
      </c>
      <c r="AH148" s="40">
        <v>6.6799998279999997</v>
      </c>
      <c r="AI148" s="40">
        <v>643</v>
      </c>
      <c r="AJ148" s="40">
        <v>0</v>
      </c>
      <c r="AK148" s="40">
        <v>193</v>
      </c>
      <c r="AM148" s="40" t="s">
        <v>2</v>
      </c>
      <c r="AO148" s="40">
        <v>50</v>
      </c>
      <c r="AW148" s="40" t="b">
        <v>0</v>
      </c>
      <c r="BE148" s="244"/>
      <c r="BF148" s="40">
        <v>1.6</v>
      </c>
      <c r="BG148" s="40">
        <v>1</v>
      </c>
      <c r="BH148" s="40">
        <v>0.55000000000000004</v>
      </c>
      <c r="BI148" s="40">
        <v>0</v>
      </c>
      <c r="BJ148" s="40">
        <v>0</v>
      </c>
      <c r="BM148" s="33" t="s">
        <v>1</v>
      </c>
      <c r="BN148" s="58">
        <v>12</v>
      </c>
      <c r="BO148" s="35">
        <f t="shared" si="29"/>
        <v>6.5</v>
      </c>
      <c r="BP148" s="58">
        <v>250</v>
      </c>
      <c r="BT148" s="59"/>
      <c r="BU148" s="59"/>
      <c r="BV148" s="59"/>
      <c r="BW148" s="59"/>
      <c r="BX148" s="59"/>
      <c r="BY148" s="59"/>
      <c r="BZ148" s="59"/>
      <c r="CA148" s="59"/>
      <c r="CB148" s="59"/>
      <c r="CC148" s="59"/>
      <c r="CD148" s="59"/>
      <c r="CE148" s="60"/>
      <c r="CF148" s="44" t="s">
        <v>16</v>
      </c>
      <c r="CI148" s="40">
        <v>2.68</v>
      </c>
      <c r="CR148" s="40">
        <v>0</v>
      </c>
      <c r="CS148" s="67">
        <v>0</v>
      </c>
      <c r="CT148" s="67">
        <v>0</v>
      </c>
      <c r="CU148" s="40">
        <v>0</v>
      </c>
      <c r="CV148" s="67">
        <v>0</v>
      </c>
      <c r="CW148" s="67">
        <v>0</v>
      </c>
      <c r="CX148" s="67">
        <v>0</v>
      </c>
      <c r="CY148" s="67">
        <v>0</v>
      </c>
      <c r="CZ148" s="67">
        <v>0</v>
      </c>
      <c r="DA148" s="67">
        <v>0</v>
      </c>
      <c r="DB148" s="67">
        <v>0</v>
      </c>
      <c r="DD148" s="40">
        <v>0</v>
      </c>
      <c r="DI148" s="40" t="s">
        <v>0</v>
      </c>
    </row>
    <row r="149" spans="1:113" s="40" customFormat="1" ht="15.75" thickBot="1" x14ac:dyDescent="0.3">
      <c r="A149" s="40">
        <v>504761</v>
      </c>
      <c r="B149" s="40" t="s">
        <v>6</v>
      </c>
      <c r="C149" s="53" t="s">
        <v>385</v>
      </c>
      <c r="D149" s="40">
        <v>12</v>
      </c>
      <c r="E149" s="40">
        <v>0</v>
      </c>
      <c r="F149" s="40">
        <v>12</v>
      </c>
      <c r="G149" s="40">
        <v>214</v>
      </c>
      <c r="H149" s="40">
        <v>0</v>
      </c>
      <c r="I149" s="40">
        <v>25</v>
      </c>
      <c r="J149" s="54" t="s">
        <v>427</v>
      </c>
      <c r="K149" s="54" t="s">
        <v>428</v>
      </c>
      <c r="L149" s="56">
        <v>45936</v>
      </c>
      <c r="M149" s="40">
        <v>0</v>
      </c>
      <c r="N149" s="40">
        <v>0</v>
      </c>
      <c r="O149" s="40">
        <v>0</v>
      </c>
      <c r="S149" s="40" t="b">
        <v>0</v>
      </c>
      <c r="T149" s="40">
        <v>0.01</v>
      </c>
      <c r="U149" s="52">
        <v>6.5</v>
      </c>
      <c r="V149" s="40">
        <v>0.01</v>
      </c>
      <c r="W149" s="40">
        <v>0</v>
      </c>
      <c r="X149" s="40">
        <v>1000</v>
      </c>
      <c r="Z149" s="40">
        <v>10</v>
      </c>
      <c r="AB149" s="52">
        <v>50</v>
      </c>
      <c r="AD149" s="40">
        <v>10</v>
      </c>
      <c r="AF149" s="40">
        <v>2000</v>
      </c>
      <c r="AG149" s="40">
        <v>2</v>
      </c>
      <c r="AH149" s="40">
        <v>6.6799998279999997</v>
      </c>
      <c r="AI149" s="40">
        <v>639</v>
      </c>
      <c r="AJ149" s="40">
        <v>0</v>
      </c>
      <c r="AK149" s="40">
        <v>191</v>
      </c>
      <c r="AM149" s="40" t="s">
        <v>2</v>
      </c>
      <c r="AO149" s="40">
        <v>50</v>
      </c>
      <c r="AW149" s="40" t="b">
        <v>0</v>
      </c>
      <c r="BE149" s="244"/>
      <c r="BF149" s="40">
        <v>1.6</v>
      </c>
      <c r="BG149" s="40">
        <v>1</v>
      </c>
      <c r="BH149" s="40">
        <v>0.55000000000000004</v>
      </c>
      <c r="BI149" s="40">
        <v>0</v>
      </c>
      <c r="BJ149" s="40">
        <v>0</v>
      </c>
      <c r="BM149" s="33" t="s">
        <v>1</v>
      </c>
      <c r="BN149" s="58">
        <v>12</v>
      </c>
      <c r="BO149" s="35">
        <f t="shared" si="29"/>
        <v>6.5</v>
      </c>
      <c r="BP149" s="58">
        <v>250</v>
      </c>
      <c r="BT149" s="59"/>
      <c r="BU149" s="59"/>
      <c r="BV149" s="59"/>
      <c r="BW149" s="59"/>
      <c r="BX149" s="59"/>
      <c r="BY149" s="59"/>
      <c r="BZ149" s="59"/>
      <c r="CA149" s="59"/>
      <c r="CB149" s="59"/>
      <c r="CC149" s="59"/>
      <c r="CD149" s="59"/>
      <c r="CE149" s="60"/>
      <c r="CF149" s="44" t="s">
        <v>16</v>
      </c>
      <c r="CI149" s="40">
        <v>2.68</v>
      </c>
      <c r="CR149" s="40">
        <v>0</v>
      </c>
      <c r="CS149" s="67">
        <v>0</v>
      </c>
      <c r="CT149" s="67">
        <v>0</v>
      </c>
      <c r="CU149" s="40">
        <v>0</v>
      </c>
      <c r="CV149" s="67">
        <v>0</v>
      </c>
      <c r="CW149" s="67">
        <v>0</v>
      </c>
      <c r="CX149" s="67">
        <v>0</v>
      </c>
      <c r="CY149" s="67">
        <v>0</v>
      </c>
      <c r="CZ149" s="67">
        <v>0</v>
      </c>
      <c r="DA149" s="67">
        <v>0</v>
      </c>
      <c r="DB149" s="67">
        <v>0</v>
      </c>
      <c r="DD149" s="40">
        <v>0</v>
      </c>
      <c r="DI149" s="40" t="s">
        <v>0</v>
      </c>
    </row>
    <row r="150" spans="1:113" s="40" customFormat="1" ht="15.75" thickBot="1" x14ac:dyDescent="0.3">
      <c r="A150" s="40">
        <v>504762</v>
      </c>
      <c r="B150" s="40" t="s">
        <v>6</v>
      </c>
      <c r="C150" s="53" t="s">
        <v>385</v>
      </c>
      <c r="D150" s="40">
        <v>12</v>
      </c>
      <c r="E150" s="40">
        <v>0</v>
      </c>
      <c r="F150" s="40">
        <v>12</v>
      </c>
      <c r="G150" s="40">
        <v>215</v>
      </c>
      <c r="H150" s="40">
        <v>0</v>
      </c>
      <c r="I150" s="40">
        <v>25</v>
      </c>
      <c r="J150" s="54" t="s">
        <v>429</v>
      </c>
      <c r="K150" s="54" t="s">
        <v>430</v>
      </c>
      <c r="L150" s="56">
        <v>45936</v>
      </c>
      <c r="M150" s="40">
        <v>0</v>
      </c>
      <c r="N150" s="40">
        <v>0</v>
      </c>
      <c r="O150" s="40">
        <v>0</v>
      </c>
      <c r="S150" s="40" t="b">
        <v>0</v>
      </c>
      <c r="T150" s="40">
        <v>0.01</v>
      </c>
      <c r="U150" s="52">
        <v>6.5</v>
      </c>
      <c r="V150" s="40">
        <v>0.01</v>
      </c>
      <c r="W150" s="40">
        <v>0</v>
      </c>
      <c r="X150" s="40">
        <v>1000</v>
      </c>
      <c r="Z150" s="40">
        <v>10</v>
      </c>
      <c r="AB150" s="52">
        <v>50</v>
      </c>
      <c r="AD150" s="40">
        <v>10</v>
      </c>
      <c r="AF150" s="40">
        <v>2000</v>
      </c>
      <c r="AG150" s="40">
        <v>2</v>
      </c>
      <c r="AH150" s="40">
        <v>6.670000076</v>
      </c>
      <c r="AI150" s="40">
        <v>626</v>
      </c>
      <c r="AJ150" s="40">
        <v>0</v>
      </c>
      <c r="AK150" s="40">
        <v>189</v>
      </c>
      <c r="AM150" s="40" t="s">
        <v>2</v>
      </c>
      <c r="AO150" s="40">
        <v>50</v>
      </c>
      <c r="AW150" s="40" t="b">
        <v>0</v>
      </c>
      <c r="BE150" s="244"/>
      <c r="BF150" s="40">
        <v>1.6</v>
      </c>
      <c r="BG150" s="40">
        <v>1</v>
      </c>
      <c r="BH150" s="40">
        <v>0.55000000000000004</v>
      </c>
      <c r="BI150" s="40">
        <v>0</v>
      </c>
      <c r="BJ150" s="40">
        <v>0</v>
      </c>
      <c r="BM150" s="33" t="s">
        <v>1</v>
      </c>
      <c r="BN150" s="58">
        <v>12</v>
      </c>
      <c r="BO150" s="35">
        <f t="shared" si="29"/>
        <v>6.5</v>
      </c>
      <c r="BP150" s="58">
        <v>250</v>
      </c>
      <c r="BT150" s="59"/>
      <c r="BU150" s="59"/>
      <c r="BV150" s="59"/>
      <c r="BW150" s="59"/>
      <c r="BX150" s="59"/>
      <c r="BY150" s="59"/>
      <c r="BZ150" s="59"/>
      <c r="CA150" s="59"/>
      <c r="CB150" s="59"/>
      <c r="CC150" s="59"/>
      <c r="CD150" s="59"/>
      <c r="CE150" s="60"/>
      <c r="CF150" s="44" t="s">
        <v>16</v>
      </c>
      <c r="CI150" s="40">
        <v>2.68</v>
      </c>
      <c r="CR150" s="40">
        <v>0</v>
      </c>
      <c r="CS150" s="67">
        <v>0</v>
      </c>
      <c r="CT150" s="67">
        <v>0</v>
      </c>
      <c r="CU150" s="40">
        <v>0</v>
      </c>
      <c r="CV150" s="67">
        <v>0</v>
      </c>
      <c r="CW150" s="67">
        <v>0</v>
      </c>
      <c r="CX150" s="67">
        <v>0</v>
      </c>
      <c r="CY150" s="67">
        <v>0</v>
      </c>
      <c r="CZ150" s="67">
        <v>0</v>
      </c>
      <c r="DA150" s="67">
        <v>0</v>
      </c>
      <c r="DB150" s="67">
        <v>0</v>
      </c>
      <c r="DD150" s="40">
        <v>0</v>
      </c>
      <c r="DI150" s="40" t="s">
        <v>0</v>
      </c>
    </row>
    <row r="151" spans="1:113" s="40" customFormat="1" ht="15.75" thickBot="1" x14ac:dyDescent="0.3">
      <c r="A151" s="40">
        <v>504763</v>
      </c>
      <c r="B151" s="40" t="s">
        <v>6</v>
      </c>
      <c r="C151" s="53" t="s">
        <v>385</v>
      </c>
      <c r="D151" s="40">
        <v>12</v>
      </c>
      <c r="E151" s="40">
        <v>0</v>
      </c>
      <c r="F151" s="40">
        <v>12</v>
      </c>
      <c r="G151" s="40">
        <v>216</v>
      </c>
      <c r="H151" s="40">
        <v>0</v>
      </c>
      <c r="I151" s="40">
        <v>25</v>
      </c>
      <c r="J151" s="54" t="s">
        <v>431</v>
      </c>
      <c r="K151" s="54" t="s">
        <v>432</v>
      </c>
      <c r="L151" s="56">
        <v>45936</v>
      </c>
      <c r="M151" s="40">
        <v>0</v>
      </c>
      <c r="N151" s="40">
        <v>0</v>
      </c>
      <c r="O151" s="40">
        <v>0</v>
      </c>
      <c r="S151" s="40" t="b">
        <v>0</v>
      </c>
      <c r="T151" s="40">
        <v>0.01</v>
      </c>
      <c r="U151" s="52">
        <v>6.5</v>
      </c>
      <c r="V151" s="40">
        <v>0.01</v>
      </c>
      <c r="W151" s="40">
        <v>0</v>
      </c>
      <c r="X151" s="40">
        <v>1000</v>
      </c>
      <c r="Z151" s="40">
        <v>10</v>
      </c>
      <c r="AB151" s="52">
        <v>50</v>
      </c>
      <c r="AD151" s="40">
        <v>10</v>
      </c>
      <c r="AF151" s="40">
        <v>2000</v>
      </c>
      <c r="AG151" s="40">
        <v>2</v>
      </c>
      <c r="AH151" s="40">
        <v>6.7300000190000002</v>
      </c>
      <c r="AI151" s="40">
        <v>707</v>
      </c>
      <c r="AJ151" s="40">
        <v>0</v>
      </c>
      <c r="AK151" s="40">
        <v>211</v>
      </c>
      <c r="AM151" s="40" t="s">
        <v>2</v>
      </c>
      <c r="AO151" s="40">
        <v>50</v>
      </c>
      <c r="AW151" s="40" t="b">
        <v>0</v>
      </c>
      <c r="BE151" s="244"/>
      <c r="BF151" s="40">
        <v>1.6</v>
      </c>
      <c r="BG151" s="40">
        <v>1</v>
      </c>
      <c r="BH151" s="40">
        <v>0.55000000000000004</v>
      </c>
      <c r="BI151" s="40">
        <v>0</v>
      </c>
      <c r="BJ151" s="40">
        <v>0</v>
      </c>
      <c r="BM151" s="33" t="s">
        <v>1</v>
      </c>
      <c r="BN151" s="58">
        <v>12</v>
      </c>
      <c r="BO151" s="35">
        <f t="shared" si="29"/>
        <v>6.5</v>
      </c>
      <c r="BP151" s="58">
        <v>250</v>
      </c>
      <c r="BT151" s="59"/>
      <c r="BU151" s="59"/>
      <c r="BV151" s="59"/>
      <c r="BW151" s="59"/>
      <c r="BX151" s="59"/>
      <c r="BY151" s="59"/>
      <c r="BZ151" s="59"/>
      <c r="CA151" s="59"/>
      <c r="CB151" s="59"/>
      <c r="CC151" s="59"/>
      <c r="CD151" s="59"/>
      <c r="CE151" s="60"/>
      <c r="CF151" s="44" t="s">
        <v>16</v>
      </c>
      <c r="CI151" s="40">
        <v>2.68</v>
      </c>
      <c r="CR151" s="40">
        <v>0</v>
      </c>
      <c r="CS151" s="67">
        <v>0</v>
      </c>
      <c r="CT151" s="67">
        <v>0</v>
      </c>
      <c r="CU151" s="40">
        <v>0</v>
      </c>
      <c r="CV151" s="67">
        <v>0</v>
      </c>
      <c r="CW151" s="67">
        <v>0</v>
      </c>
      <c r="CX151" s="67">
        <v>0</v>
      </c>
      <c r="CY151" s="67">
        <v>0</v>
      </c>
      <c r="CZ151" s="67">
        <v>0</v>
      </c>
      <c r="DA151" s="67">
        <v>0</v>
      </c>
      <c r="DB151" s="67">
        <v>0</v>
      </c>
      <c r="DD151" s="40">
        <v>0</v>
      </c>
      <c r="DI151" s="40" t="s">
        <v>0</v>
      </c>
    </row>
    <row r="152" spans="1:113" s="40" customFormat="1" ht="15.75" thickBot="1" x14ac:dyDescent="0.3">
      <c r="A152" s="40">
        <v>504764</v>
      </c>
      <c r="B152" s="40" t="s">
        <v>6</v>
      </c>
      <c r="C152" s="53" t="s">
        <v>385</v>
      </c>
      <c r="D152" s="40">
        <v>12</v>
      </c>
      <c r="E152" s="40">
        <v>0</v>
      </c>
      <c r="F152" s="40">
        <v>12</v>
      </c>
      <c r="G152" s="40">
        <v>217</v>
      </c>
      <c r="H152" s="40">
        <v>0</v>
      </c>
      <c r="I152" s="40">
        <v>25</v>
      </c>
      <c r="J152" s="54" t="s">
        <v>433</v>
      </c>
      <c r="K152" s="54" t="s">
        <v>434</v>
      </c>
      <c r="L152" s="56">
        <v>45936</v>
      </c>
      <c r="M152" s="40">
        <v>0</v>
      </c>
      <c r="N152" s="40">
        <v>0</v>
      </c>
      <c r="O152" s="40">
        <v>0</v>
      </c>
      <c r="S152" s="40" t="b">
        <v>0</v>
      </c>
      <c r="T152" s="40">
        <v>0.01</v>
      </c>
      <c r="U152" s="52">
        <v>6.5</v>
      </c>
      <c r="V152" s="40">
        <v>0.01</v>
      </c>
      <c r="W152" s="40">
        <v>0</v>
      </c>
      <c r="X152" s="40">
        <v>1000</v>
      </c>
      <c r="Z152" s="40">
        <v>10</v>
      </c>
      <c r="AB152" s="52">
        <v>50</v>
      </c>
      <c r="AD152" s="40">
        <v>10</v>
      </c>
      <c r="AF152" s="40">
        <v>2000</v>
      </c>
      <c r="AG152" s="40">
        <v>2</v>
      </c>
      <c r="AH152" s="40">
        <v>6.6900000569999998</v>
      </c>
      <c r="AI152" s="40">
        <v>652</v>
      </c>
      <c r="AJ152" s="40">
        <v>0</v>
      </c>
      <c r="AK152" s="40">
        <v>195</v>
      </c>
      <c r="AM152" s="40" t="s">
        <v>2</v>
      </c>
      <c r="AO152" s="40">
        <v>50</v>
      </c>
      <c r="AW152" s="40" t="b">
        <v>0</v>
      </c>
      <c r="BE152" s="244"/>
      <c r="BF152" s="40">
        <v>1.6</v>
      </c>
      <c r="BG152" s="40">
        <v>1</v>
      </c>
      <c r="BH152" s="40">
        <v>0.55000000000000004</v>
      </c>
      <c r="BI152" s="40">
        <v>0</v>
      </c>
      <c r="BJ152" s="40">
        <v>0</v>
      </c>
      <c r="BM152" s="33" t="s">
        <v>1</v>
      </c>
      <c r="BN152" s="58">
        <v>12</v>
      </c>
      <c r="BO152" s="35">
        <f t="shared" si="29"/>
        <v>6.5</v>
      </c>
      <c r="BP152" s="58">
        <v>250</v>
      </c>
      <c r="BT152" s="59"/>
      <c r="BU152" s="59"/>
      <c r="BV152" s="59"/>
      <c r="BW152" s="59"/>
      <c r="BX152" s="59"/>
      <c r="BY152" s="59"/>
      <c r="BZ152" s="59"/>
      <c r="CA152" s="59"/>
      <c r="CB152" s="59"/>
      <c r="CC152" s="59"/>
      <c r="CD152" s="59"/>
      <c r="CE152" s="60"/>
      <c r="CF152" s="44" t="s">
        <v>16</v>
      </c>
      <c r="CI152" s="40">
        <v>2.68</v>
      </c>
      <c r="CR152" s="40">
        <v>0</v>
      </c>
      <c r="CS152" s="67">
        <v>0</v>
      </c>
      <c r="CT152" s="67">
        <v>0</v>
      </c>
      <c r="CU152" s="40">
        <v>0</v>
      </c>
      <c r="CV152" s="67">
        <v>0</v>
      </c>
      <c r="CW152" s="67">
        <v>0</v>
      </c>
      <c r="CX152" s="67">
        <v>0</v>
      </c>
      <c r="CY152" s="67">
        <v>0</v>
      </c>
      <c r="CZ152" s="67">
        <v>0</v>
      </c>
      <c r="DA152" s="67">
        <v>0</v>
      </c>
      <c r="DB152" s="67">
        <v>0</v>
      </c>
      <c r="DD152" s="40">
        <v>0</v>
      </c>
      <c r="DI152" s="40" t="s">
        <v>0</v>
      </c>
    </row>
    <row r="153" spans="1:113" s="40" customFormat="1" ht="15.75" thickBot="1" x14ac:dyDescent="0.3">
      <c r="A153" s="40">
        <v>504765</v>
      </c>
      <c r="B153" s="40" t="s">
        <v>6</v>
      </c>
      <c r="C153" s="53" t="s">
        <v>385</v>
      </c>
      <c r="D153" s="40">
        <v>12</v>
      </c>
      <c r="E153" s="40">
        <v>0</v>
      </c>
      <c r="F153" s="40">
        <v>12</v>
      </c>
      <c r="G153" s="40">
        <v>218</v>
      </c>
      <c r="H153" s="40">
        <v>0</v>
      </c>
      <c r="I153" s="40">
        <v>25</v>
      </c>
      <c r="J153" s="54" t="s">
        <v>435</v>
      </c>
      <c r="K153" s="54" t="s">
        <v>436</v>
      </c>
      <c r="L153" s="56">
        <v>45936</v>
      </c>
      <c r="M153" s="40">
        <v>0</v>
      </c>
      <c r="N153" s="40">
        <v>0</v>
      </c>
      <c r="O153" s="40">
        <v>0</v>
      </c>
      <c r="S153" s="40" t="b">
        <v>0</v>
      </c>
      <c r="T153" s="40">
        <v>0.01</v>
      </c>
      <c r="U153" s="52">
        <v>6.5</v>
      </c>
      <c r="V153" s="40">
        <v>0.01</v>
      </c>
      <c r="W153" s="40">
        <v>0</v>
      </c>
      <c r="X153" s="40">
        <v>1000</v>
      </c>
      <c r="Z153" s="40">
        <v>10</v>
      </c>
      <c r="AB153" s="52">
        <v>50</v>
      </c>
      <c r="AD153" s="40">
        <v>10</v>
      </c>
      <c r="AF153" s="40">
        <v>2000</v>
      </c>
      <c r="AG153" s="40">
        <v>2</v>
      </c>
      <c r="AH153" s="40">
        <v>6.6799998279999997</v>
      </c>
      <c r="AI153" s="40">
        <v>648</v>
      </c>
      <c r="AJ153" s="40">
        <v>0</v>
      </c>
      <c r="AK153" s="40">
        <v>193</v>
      </c>
      <c r="AM153" s="40" t="s">
        <v>2</v>
      </c>
      <c r="AO153" s="40">
        <v>50</v>
      </c>
      <c r="AW153" s="40" t="b">
        <v>0</v>
      </c>
      <c r="BE153" s="244"/>
      <c r="BF153" s="40">
        <v>1.6</v>
      </c>
      <c r="BG153" s="40">
        <v>1</v>
      </c>
      <c r="BH153" s="40">
        <v>0.55000000000000004</v>
      </c>
      <c r="BI153" s="40">
        <v>0</v>
      </c>
      <c r="BJ153" s="40">
        <v>0</v>
      </c>
      <c r="BM153" s="33" t="s">
        <v>1</v>
      </c>
      <c r="BN153" s="58">
        <v>12</v>
      </c>
      <c r="BO153" s="35">
        <f t="shared" si="29"/>
        <v>6.5</v>
      </c>
      <c r="BP153" s="58">
        <v>250</v>
      </c>
      <c r="BT153" s="59"/>
      <c r="BU153" s="59"/>
      <c r="BV153" s="59"/>
      <c r="BW153" s="59"/>
      <c r="BX153" s="59"/>
      <c r="BY153" s="59"/>
      <c r="BZ153" s="59"/>
      <c r="CA153" s="59"/>
      <c r="CB153" s="59"/>
      <c r="CC153" s="59"/>
      <c r="CD153" s="59"/>
      <c r="CE153" s="60"/>
      <c r="CF153" s="44" t="s">
        <v>16</v>
      </c>
      <c r="CI153" s="40">
        <v>2.68</v>
      </c>
      <c r="CR153" s="40">
        <v>0</v>
      </c>
      <c r="CS153" s="67">
        <v>0</v>
      </c>
      <c r="CT153" s="67">
        <v>0</v>
      </c>
      <c r="CU153" s="40">
        <v>0</v>
      </c>
      <c r="CV153" s="67">
        <v>0</v>
      </c>
      <c r="CW153" s="67">
        <v>0</v>
      </c>
      <c r="CX153" s="67">
        <v>0</v>
      </c>
      <c r="CY153" s="67">
        <v>0</v>
      </c>
      <c r="CZ153" s="67">
        <v>0</v>
      </c>
      <c r="DA153" s="67">
        <v>0</v>
      </c>
      <c r="DB153" s="67">
        <v>0</v>
      </c>
      <c r="DD153" s="40">
        <v>0</v>
      </c>
      <c r="DI153" s="40" t="s">
        <v>0</v>
      </c>
    </row>
    <row r="154" spans="1:113" s="40" customFormat="1" ht="15.75" thickBot="1" x14ac:dyDescent="0.3">
      <c r="A154" s="40">
        <v>5815</v>
      </c>
      <c r="B154" s="40" t="s">
        <v>437</v>
      </c>
      <c r="C154" s="53" t="s">
        <v>390</v>
      </c>
      <c r="D154" s="40">
        <v>13</v>
      </c>
      <c r="E154" s="40">
        <v>0</v>
      </c>
      <c r="F154" s="40">
        <v>13</v>
      </c>
      <c r="G154" s="40">
        <v>518</v>
      </c>
      <c r="H154" s="40">
        <v>0</v>
      </c>
      <c r="I154" s="40">
        <v>25</v>
      </c>
      <c r="J154" s="54" t="s">
        <v>438</v>
      </c>
      <c r="K154" s="54" t="s">
        <v>439</v>
      </c>
      <c r="L154" s="56">
        <v>45947</v>
      </c>
      <c r="M154" s="40">
        <v>0</v>
      </c>
      <c r="N154" s="40">
        <v>0</v>
      </c>
      <c r="O154" s="40">
        <v>0</v>
      </c>
      <c r="S154" s="40" t="b">
        <v>0</v>
      </c>
      <c r="T154" s="40">
        <v>0.01</v>
      </c>
      <c r="U154" s="52">
        <v>7.5</v>
      </c>
      <c r="V154" s="40">
        <v>0.01</v>
      </c>
      <c r="W154" s="40">
        <v>0</v>
      </c>
      <c r="X154" s="40">
        <v>250</v>
      </c>
      <c r="Z154" s="40">
        <v>10</v>
      </c>
      <c r="AB154" s="52">
        <v>50</v>
      </c>
      <c r="AD154" s="40">
        <v>10</v>
      </c>
      <c r="AF154" s="40">
        <v>2000</v>
      </c>
      <c r="AG154" s="40">
        <v>2</v>
      </c>
      <c r="AH154" s="40">
        <v>7.6799998279999997</v>
      </c>
      <c r="AI154" s="40">
        <v>25</v>
      </c>
      <c r="AJ154" s="40">
        <v>0</v>
      </c>
      <c r="AK154" s="40">
        <v>0</v>
      </c>
      <c r="AM154" s="40" t="s">
        <v>2</v>
      </c>
      <c r="AO154" s="40">
        <v>50</v>
      </c>
      <c r="AW154" s="40" t="b">
        <v>0</v>
      </c>
      <c r="BE154" s="244"/>
      <c r="BF154" s="40">
        <v>1.6</v>
      </c>
      <c r="BG154" s="40">
        <v>1</v>
      </c>
      <c r="BH154" s="40">
        <v>1</v>
      </c>
      <c r="BI154" s="40">
        <v>0.55000000000000004</v>
      </c>
      <c r="BJ154" s="40">
        <v>0</v>
      </c>
      <c r="BM154" s="33" t="s">
        <v>1</v>
      </c>
      <c r="BN154" s="58">
        <v>13</v>
      </c>
      <c r="BO154" s="35">
        <f t="shared" si="29"/>
        <v>7.5</v>
      </c>
      <c r="BP154" s="58">
        <v>250</v>
      </c>
      <c r="BT154" s="59"/>
      <c r="BU154" s="59"/>
      <c r="BV154" s="59"/>
      <c r="BW154" s="59"/>
      <c r="BX154" s="59"/>
      <c r="BY154" s="59"/>
      <c r="BZ154" s="59"/>
      <c r="CA154" s="59"/>
      <c r="CB154" s="59"/>
      <c r="CC154" s="59"/>
      <c r="CD154" s="59"/>
      <c r="CE154" s="60"/>
      <c r="CF154" s="44" t="s">
        <v>12</v>
      </c>
      <c r="CG154" s="40">
        <v>0</v>
      </c>
      <c r="CI154" s="40">
        <v>2.68</v>
      </c>
      <c r="CR154" s="40">
        <v>0</v>
      </c>
      <c r="CS154" s="67">
        <v>0</v>
      </c>
      <c r="CT154" s="67">
        <v>0</v>
      </c>
      <c r="CU154" s="40">
        <v>1</v>
      </c>
      <c r="CV154" s="67">
        <v>0</v>
      </c>
      <c r="CW154" s="67">
        <v>0</v>
      </c>
      <c r="CX154" s="67">
        <v>0</v>
      </c>
      <c r="CY154" s="67">
        <v>0</v>
      </c>
      <c r="CZ154" s="67">
        <v>0</v>
      </c>
      <c r="DA154" s="67">
        <v>0</v>
      </c>
      <c r="DB154" s="67">
        <v>0</v>
      </c>
      <c r="DD154" s="40">
        <v>2</v>
      </c>
      <c r="DI154" s="40" t="s">
        <v>0</v>
      </c>
    </row>
    <row r="155" spans="1:113" s="40" customFormat="1" ht="15.75" thickBot="1" x14ac:dyDescent="0.3">
      <c r="A155" s="40">
        <v>5816</v>
      </c>
      <c r="B155" s="40" t="s">
        <v>437</v>
      </c>
      <c r="C155" s="53" t="s">
        <v>390</v>
      </c>
      <c r="D155" s="40">
        <v>13</v>
      </c>
      <c r="E155" s="40">
        <v>0</v>
      </c>
      <c r="F155" s="40">
        <v>13</v>
      </c>
      <c r="G155" s="40">
        <v>519</v>
      </c>
      <c r="H155" s="40">
        <v>0</v>
      </c>
      <c r="I155" s="40">
        <v>25</v>
      </c>
      <c r="J155" s="54" t="s">
        <v>440</v>
      </c>
      <c r="K155" s="54" t="s">
        <v>441</v>
      </c>
      <c r="L155" s="56">
        <v>45947</v>
      </c>
      <c r="M155" s="40">
        <v>0</v>
      </c>
      <c r="N155" s="40">
        <v>0</v>
      </c>
      <c r="O155" s="40">
        <v>0</v>
      </c>
      <c r="S155" s="40" t="b">
        <v>0</v>
      </c>
      <c r="T155" s="40">
        <v>0.01</v>
      </c>
      <c r="U155" s="52">
        <v>7.5</v>
      </c>
      <c r="V155" s="40">
        <v>0.01</v>
      </c>
      <c r="W155" s="40">
        <v>0</v>
      </c>
      <c r="X155" s="40">
        <v>250</v>
      </c>
      <c r="Z155" s="40">
        <v>10</v>
      </c>
      <c r="AB155" s="52">
        <v>50</v>
      </c>
      <c r="AD155" s="40">
        <v>10</v>
      </c>
      <c r="AF155" s="40">
        <v>2000</v>
      </c>
      <c r="AG155" s="40">
        <v>2</v>
      </c>
      <c r="AH155" s="40">
        <v>7.6500000950000002</v>
      </c>
      <c r="AI155" s="40">
        <v>25</v>
      </c>
      <c r="AJ155" s="40">
        <v>0</v>
      </c>
      <c r="AK155" s="40">
        <v>0</v>
      </c>
      <c r="AM155" s="40" t="s">
        <v>2</v>
      </c>
      <c r="AO155" s="40">
        <v>50</v>
      </c>
      <c r="AW155" s="40" t="b">
        <v>0</v>
      </c>
      <c r="BE155" s="244"/>
      <c r="BF155" s="40">
        <v>1.6</v>
      </c>
      <c r="BG155" s="40">
        <v>1</v>
      </c>
      <c r="BH155" s="40">
        <v>1</v>
      </c>
      <c r="BI155" s="40">
        <v>0.55000000000000004</v>
      </c>
      <c r="BJ155" s="40">
        <v>0</v>
      </c>
      <c r="BM155" s="33" t="s">
        <v>1</v>
      </c>
      <c r="BN155" s="58">
        <v>13</v>
      </c>
      <c r="BO155" s="35">
        <f t="shared" si="29"/>
        <v>7.5</v>
      </c>
      <c r="BP155" s="58">
        <v>250</v>
      </c>
      <c r="BT155" s="59"/>
      <c r="BU155" s="59"/>
      <c r="BV155" s="59"/>
      <c r="BW155" s="59"/>
      <c r="BX155" s="59"/>
      <c r="BY155" s="59"/>
      <c r="BZ155" s="59"/>
      <c r="CA155" s="59"/>
      <c r="CB155" s="59"/>
      <c r="CC155" s="59"/>
      <c r="CD155" s="59"/>
      <c r="CE155" s="60"/>
      <c r="CF155" s="44" t="s">
        <v>12</v>
      </c>
      <c r="CG155" s="40">
        <v>0</v>
      </c>
      <c r="CI155" s="40">
        <v>2.68</v>
      </c>
      <c r="CR155" s="40">
        <v>0</v>
      </c>
      <c r="CS155" s="67">
        <v>0</v>
      </c>
      <c r="CT155" s="67">
        <v>0</v>
      </c>
      <c r="CU155" s="40">
        <v>1</v>
      </c>
      <c r="CV155" s="67">
        <v>0</v>
      </c>
      <c r="CW155" s="67">
        <v>0</v>
      </c>
      <c r="CX155" s="67">
        <v>0</v>
      </c>
      <c r="CY155" s="67">
        <v>0</v>
      </c>
      <c r="CZ155" s="67">
        <v>0</v>
      </c>
      <c r="DA155" s="67">
        <v>0</v>
      </c>
      <c r="DB155" s="67">
        <v>0</v>
      </c>
      <c r="DD155" s="40">
        <v>2</v>
      </c>
      <c r="DI155" s="40" t="s">
        <v>0</v>
      </c>
    </row>
    <row r="156" spans="1:113" s="40" customFormat="1" ht="15.75" thickBot="1" x14ac:dyDescent="0.3">
      <c r="A156" s="40">
        <v>5817</v>
      </c>
      <c r="B156" s="40" t="s">
        <v>437</v>
      </c>
      <c r="C156" s="53" t="s">
        <v>390</v>
      </c>
      <c r="D156" s="40">
        <v>13</v>
      </c>
      <c r="E156" s="40">
        <v>0</v>
      </c>
      <c r="F156" s="40">
        <v>13</v>
      </c>
      <c r="G156" s="40">
        <v>520</v>
      </c>
      <c r="H156" s="40">
        <v>0</v>
      </c>
      <c r="I156" s="40">
        <v>25</v>
      </c>
      <c r="J156" s="54" t="s">
        <v>442</v>
      </c>
      <c r="K156" s="54" t="s">
        <v>443</v>
      </c>
      <c r="L156" s="56">
        <v>45947</v>
      </c>
      <c r="M156" s="40">
        <v>0</v>
      </c>
      <c r="N156" s="40">
        <v>0</v>
      </c>
      <c r="O156" s="40">
        <v>0</v>
      </c>
      <c r="S156" s="40" t="b">
        <v>0</v>
      </c>
      <c r="T156" s="40">
        <v>0.01</v>
      </c>
      <c r="U156" s="52">
        <v>7.5</v>
      </c>
      <c r="V156" s="40">
        <v>0.01</v>
      </c>
      <c r="W156" s="40">
        <v>0</v>
      </c>
      <c r="X156" s="40">
        <v>250</v>
      </c>
      <c r="Z156" s="40">
        <v>10</v>
      </c>
      <c r="AB156" s="52">
        <v>50</v>
      </c>
      <c r="AD156" s="40">
        <v>10</v>
      </c>
      <c r="AF156" s="40">
        <v>2000</v>
      </c>
      <c r="AG156" s="40">
        <v>2</v>
      </c>
      <c r="AH156" s="40">
        <v>7.6599998469999999</v>
      </c>
      <c r="AI156" s="40">
        <v>25</v>
      </c>
      <c r="AJ156" s="40">
        <v>0</v>
      </c>
      <c r="AK156" s="40">
        <v>0</v>
      </c>
      <c r="AM156" s="40" t="s">
        <v>2</v>
      </c>
      <c r="AO156" s="40">
        <v>50</v>
      </c>
      <c r="AW156" s="40" t="b">
        <v>0</v>
      </c>
      <c r="BE156" s="244"/>
      <c r="BF156" s="40">
        <v>1.6</v>
      </c>
      <c r="BG156" s="40">
        <v>1</v>
      </c>
      <c r="BH156" s="40">
        <v>1</v>
      </c>
      <c r="BI156" s="40">
        <v>0.55000000000000004</v>
      </c>
      <c r="BJ156" s="40">
        <v>0</v>
      </c>
      <c r="BM156" s="33" t="s">
        <v>1</v>
      </c>
      <c r="BN156" s="58">
        <v>13</v>
      </c>
      <c r="BO156" s="35">
        <f t="shared" si="29"/>
        <v>7.5</v>
      </c>
      <c r="BP156" s="58">
        <v>250</v>
      </c>
      <c r="BT156" s="59"/>
      <c r="BU156" s="59"/>
      <c r="BV156" s="59"/>
      <c r="BW156" s="59"/>
      <c r="BX156" s="59"/>
      <c r="BY156" s="59"/>
      <c r="BZ156" s="59"/>
      <c r="CA156" s="59"/>
      <c r="CB156" s="59"/>
      <c r="CC156" s="59"/>
      <c r="CD156" s="59"/>
      <c r="CE156" s="60"/>
      <c r="CF156" s="44" t="s">
        <v>12</v>
      </c>
      <c r="CG156" s="40">
        <v>0</v>
      </c>
      <c r="CI156" s="40">
        <v>2.68</v>
      </c>
      <c r="CR156" s="40">
        <v>0</v>
      </c>
      <c r="CS156" s="67">
        <v>0</v>
      </c>
      <c r="CT156" s="67">
        <v>0</v>
      </c>
      <c r="CU156" s="40">
        <v>1</v>
      </c>
      <c r="CV156" s="67">
        <v>0</v>
      </c>
      <c r="CW156" s="67">
        <v>0</v>
      </c>
      <c r="CX156" s="67">
        <v>0</v>
      </c>
      <c r="CY156" s="67">
        <v>0</v>
      </c>
      <c r="CZ156" s="67">
        <v>0</v>
      </c>
      <c r="DA156" s="67">
        <v>0</v>
      </c>
      <c r="DB156" s="67">
        <v>0</v>
      </c>
      <c r="DD156" s="40">
        <v>2</v>
      </c>
      <c r="DI156" s="40" t="s">
        <v>0</v>
      </c>
    </row>
    <row r="157" spans="1:113" s="40" customFormat="1" ht="15.75" thickBot="1" x14ac:dyDescent="0.3">
      <c r="A157" s="40">
        <v>5818</v>
      </c>
      <c r="B157" s="40" t="s">
        <v>437</v>
      </c>
      <c r="C157" s="53" t="s">
        <v>390</v>
      </c>
      <c r="D157" s="40">
        <v>13</v>
      </c>
      <c r="E157" s="40">
        <v>0</v>
      </c>
      <c r="F157" s="40">
        <v>13</v>
      </c>
      <c r="G157" s="40">
        <v>521</v>
      </c>
      <c r="H157" s="40">
        <v>0</v>
      </c>
      <c r="I157" s="40">
        <v>25</v>
      </c>
      <c r="J157" s="54" t="s">
        <v>444</v>
      </c>
      <c r="K157" s="54" t="s">
        <v>445</v>
      </c>
      <c r="L157" s="56">
        <v>45947</v>
      </c>
      <c r="M157" s="40">
        <v>0</v>
      </c>
      <c r="N157" s="40">
        <v>0</v>
      </c>
      <c r="O157" s="40">
        <v>0</v>
      </c>
      <c r="S157" s="40" t="b">
        <v>0</v>
      </c>
      <c r="T157" s="40">
        <v>0.01</v>
      </c>
      <c r="U157" s="52">
        <v>7.5</v>
      </c>
      <c r="V157" s="40">
        <v>0.01</v>
      </c>
      <c r="W157" s="40">
        <v>0</v>
      </c>
      <c r="X157" s="40">
        <v>250</v>
      </c>
      <c r="Z157" s="40">
        <v>10</v>
      </c>
      <c r="AB157" s="52">
        <v>50</v>
      </c>
      <c r="AD157" s="40">
        <v>10</v>
      </c>
      <c r="AF157" s="40">
        <v>2000</v>
      </c>
      <c r="AG157" s="40">
        <v>2</v>
      </c>
      <c r="AH157" s="40">
        <v>7.670000076</v>
      </c>
      <c r="AI157" s="40">
        <v>25</v>
      </c>
      <c r="AJ157" s="40">
        <v>0</v>
      </c>
      <c r="AK157" s="40">
        <v>0</v>
      </c>
      <c r="AM157" s="40" t="s">
        <v>2</v>
      </c>
      <c r="AO157" s="40">
        <v>50</v>
      </c>
      <c r="AW157" s="40" t="b">
        <v>0</v>
      </c>
      <c r="BE157" s="244"/>
      <c r="BF157" s="40">
        <v>1.6</v>
      </c>
      <c r="BG157" s="40">
        <v>1</v>
      </c>
      <c r="BH157" s="40">
        <v>1</v>
      </c>
      <c r="BI157" s="40">
        <v>0.55000000000000004</v>
      </c>
      <c r="BJ157" s="40">
        <v>0</v>
      </c>
      <c r="BM157" s="33" t="s">
        <v>1</v>
      </c>
      <c r="BN157" s="58">
        <v>13</v>
      </c>
      <c r="BO157" s="35">
        <f t="shared" si="29"/>
        <v>7.5</v>
      </c>
      <c r="BP157" s="58">
        <v>250</v>
      </c>
      <c r="BT157" s="59"/>
      <c r="BU157" s="59"/>
      <c r="BV157" s="59"/>
      <c r="BW157" s="59"/>
      <c r="BX157" s="59"/>
      <c r="BY157" s="59"/>
      <c r="BZ157" s="59"/>
      <c r="CA157" s="59"/>
      <c r="CB157" s="59"/>
      <c r="CC157" s="59"/>
      <c r="CD157" s="59"/>
      <c r="CE157" s="60"/>
      <c r="CF157" s="44" t="s">
        <v>12</v>
      </c>
      <c r="CG157" s="40">
        <v>0</v>
      </c>
      <c r="CI157" s="40">
        <v>2.68</v>
      </c>
      <c r="CR157" s="40">
        <v>0</v>
      </c>
      <c r="CS157" s="67">
        <v>0</v>
      </c>
      <c r="CT157" s="67">
        <v>0</v>
      </c>
      <c r="CU157" s="40">
        <v>1</v>
      </c>
      <c r="CV157" s="67">
        <v>0</v>
      </c>
      <c r="CW157" s="67">
        <v>0</v>
      </c>
      <c r="CX157" s="67">
        <v>0</v>
      </c>
      <c r="CY157" s="67">
        <v>0</v>
      </c>
      <c r="CZ157" s="67">
        <v>0</v>
      </c>
      <c r="DA157" s="67">
        <v>0</v>
      </c>
      <c r="DB157" s="67">
        <v>0</v>
      </c>
      <c r="DD157" s="40">
        <v>2</v>
      </c>
      <c r="DI157" s="40" t="s">
        <v>0</v>
      </c>
    </row>
    <row r="158" spans="1:113" s="40" customFormat="1" ht="15.75" thickBot="1" x14ac:dyDescent="0.3">
      <c r="A158" s="40">
        <v>5819</v>
      </c>
      <c r="B158" s="40" t="s">
        <v>437</v>
      </c>
      <c r="C158" s="53" t="s">
        <v>390</v>
      </c>
      <c r="D158" s="40">
        <v>13</v>
      </c>
      <c r="E158" s="40">
        <v>0</v>
      </c>
      <c r="F158" s="40">
        <v>13</v>
      </c>
      <c r="G158" s="40">
        <v>522</v>
      </c>
      <c r="H158" s="40">
        <v>0</v>
      </c>
      <c r="I158" s="40">
        <v>25</v>
      </c>
      <c r="J158" s="54" t="s">
        <v>446</v>
      </c>
      <c r="K158" s="54" t="s">
        <v>447</v>
      </c>
      <c r="L158" s="56">
        <v>45947</v>
      </c>
      <c r="M158" s="40">
        <v>0</v>
      </c>
      <c r="N158" s="40">
        <v>0</v>
      </c>
      <c r="O158" s="40">
        <v>0</v>
      </c>
      <c r="S158" s="40" t="b">
        <v>0</v>
      </c>
      <c r="T158" s="40">
        <v>0.01</v>
      </c>
      <c r="U158" s="52">
        <v>7.5</v>
      </c>
      <c r="V158" s="40">
        <v>0.01</v>
      </c>
      <c r="W158" s="40">
        <v>0</v>
      </c>
      <c r="X158" s="40">
        <v>1000</v>
      </c>
      <c r="Z158" s="40">
        <v>10</v>
      </c>
      <c r="AB158" s="52">
        <v>50</v>
      </c>
      <c r="AD158" s="40">
        <v>10</v>
      </c>
      <c r="AF158" s="40">
        <v>2000</v>
      </c>
      <c r="AG158" s="40">
        <v>2</v>
      </c>
      <c r="AH158" s="40">
        <v>7.6199998860000004</v>
      </c>
      <c r="AI158" s="40">
        <v>25</v>
      </c>
      <c r="AJ158" s="40">
        <v>0</v>
      </c>
      <c r="AK158" s="40">
        <v>0</v>
      </c>
      <c r="AM158" s="40" t="s">
        <v>2</v>
      </c>
      <c r="AO158" s="40">
        <v>50</v>
      </c>
      <c r="AW158" s="40" t="b">
        <v>0</v>
      </c>
      <c r="BE158" s="244"/>
      <c r="BF158" s="40">
        <v>1.6</v>
      </c>
      <c r="BG158" s="40">
        <v>1</v>
      </c>
      <c r="BH158" s="40">
        <v>1</v>
      </c>
      <c r="BI158" s="40">
        <v>0.55000000000000004</v>
      </c>
      <c r="BJ158" s="40">
        <v>0</v>
      </c>
      <c r="BM158" s="33" t="s">
        <v>1</v>
      </c>
      <c r="BN158" s="58">
        <v>13</v>
      </c>
      <c r="BO158" s="35">
        <f t="shared" si="29"/>
        <v>7.5</v>
      </c>
      <c r="BP158" s="58">
        <v>250</v>
      </c>
      <c r="BT158" s="59"/>
      <c r="BU158" s="59"/>
      <c r="BV158" s="59"/>
      <c r="BW158" s="59"/>
      <c r="BX158" s="59"/>
      <c r="BY158" s="59"/>
      <c r="BZ158" s="59"/>
      <c r="CA158" s="59"/>
      <c r="CB158" s="59"/>
      <c r="CC158" s="59"/>
      <c r="CD158" s="59"/>
      <c r="CE158" s="60"/>
      <c r="CF158" s="44" t="s">
        <v>12</v>
      </c>
      <c r="CG158" s="40">
        <v>0</v>
      </c>
      <c r="CI158" s="40">
        <v>2.68</v>
      </c>
      <c r="CR158" s="40">
        <v>0</v>
      </c>
      <c r="CS158" s="67">
        <v>0</v>
      </c>
      <c r="CT158" s="67">
        <v>0</v>
      </c>
      <c r="CU158" s="40">
        <v>1</v>
      </c>
      <c r="CV158" s="67">
        <v>0</v>
      </c>
      <c r="CW158" s="67">
        <v>0</v>
      </c>
      <c r="CX158" s="67">
        <v>0</v>
      </c>
      <c r="CY158" s="67">
        <v>0</v>
      </c>
      <c r="CZ158" s="67">
        <v>0</v>
      </c>
      <c r="DA158" s="67">
        <v>0</v>
      </c>
      <c r="DB158" s="67">
        <v>0</v>
      </c>
      <c r="DD158" s="40">
        <v>2</v>
      </c>
      <c r="DI158" s="40" t="s">
        <v>0</v>
      </c>
    </row>
    <row r="159" spans="1:113" s="40" customFormat="1" ht="15.75" thickBot="1" x14ac:dyDescent="0.3">
      <c r="A159" s="40">
        <v>5820</v>
      </c>
      <c r="B159" s="40" t="s">
        <v>437</v>
      </c>
      <c r="C159" s="53" t="s">
        <v>390</v>
      </c>
      <c r="D159" s="40">
        <v>13</v>
      </c>
      <c r="E159" s="40">
        <v>0</v>
      </c>
      <c r="F159" s="40">
        <v>13</v>
      </c>
      <c r="G159" s="40">
        <v>523</v>
      </c>
      <c r="H159" s="40">
        <v>0</v>
      </c>
      <c r="I159" s="40">
        <v>25</v>
      </c>
      <c r="J159" s="54" t="s">
        <v>448</v>
      </c>
      <c r="K159" s="54" t="s">
        <v>449</v>
      </c>
      <c r="L159" s="56">
        <v>45947</v>
      </c>
      <c r="M159" s="40">
        <v>0</v>
      </c>
      <c r="N159" s="40">
        <v>0</v>
      </c>
      <c r="O159" s="40">
        <v>0</v>
      </c>
      <c r="S159" s="40" t="b">
        <v>0</v>
      </c>
      <c r="T159" s="40">
        <v>0.01</v>
      </c>
      <c r="U159" s="52">
        <v>7.5</v>
      </c>
      <c r="V159" s="40">
        <v>0.01</v>
      </c>
      <c r="W159" s="40">
        <v>0</v>
      </c>
      <c r="X159" s="40">
        <v>1000</v>
      </c>
      <c r="Z159" s="40">
        <v>10</v>
      </c>
      <c r="AB159" s="52">
        <v>50</v>
      </c>
      <c r="AD159" s="40">
        <v>10</v>
      </c>
      <c r="AF159" s="40">
        <v>2000</v>
      </c>
      <c r="AG159" s="40">
        <v>2</v>
      </c>
      <c r="AH159" s="40">
        <v>7.6199998860000004</v>
      </c>
      <c r="AI159" s="40">
        <v>25</v>
      </c>
      <c r="AJ159" s="40">
        <v>0</v>
      </c>
      <c r="AK159" s="40">
        <v>0</v>
      </c>
      <c r="AM159" s="40" t="s">
        <v>2</v>
      </c>
      <c r="AO159" s="40">
        <v>50</v>
      </c>
      <c r="AW159" s="40" t="b">
        <v>0</v>
      </c>
      <c r="BE159" s="244"/>
      <c r="BF159" s="40">
        <v>1.6</v>
      </c>
      <c r="BG159" s="40">
        <v>1</v>
      </c>
      <c r="BH159" s="40">
        <v>1</v>
      </c>
      <c r="BI159" s="40">
        <v>0.55000000000000004</v>
      </c>
      <c r="BJ159" s="40">
        <v>0</v>
      </c>
      <c r="BM159" s="33" t="s">
        <v>1</v>
      </c>
      <c r="BN159" s="58">
        <v>13</v>
      </c>
      <c r="BO159" s="35">
        <f t="shared" si="29"/>
        <v>7.5</v>
      </c>
      <c r="BP159" s="58">
        <v>250</v>
      </c>
      <c r="BT159" s="59"/>
      <c r="BU159" s="59"/>
      <c r="BV159" s="59"/>
      <c r="BW159" s="59"/>
      <c r="BX159" s="59"/>
      <c r="BY159" s="59"/>
      <c r="BZ159" s="59"/>
      <c r="CA159" s="59"/>
      <c r="CB159" s="59"/>
      <c r="CC159" s="59"/>
      <c r="CD159" s="59"/>
      <c r="CE159" s="60"/>
      <c r="CF159" s="44" t="s">
        <v>12</v>
      </c>
      <c r="CG159" s="40">
        <v>0</v>
      </c>
      <c r="CI159" s="40">
        <v>2.68</v>
      </c>
      <c r="CR159" s="40">
        <v>0</v>
      </c>
      <c r="CS159" s="67">
        <v>0</v>
      </c>
      <c r="CT159" s="67">
        <v>0</v>
      </c>
      <c r="CU159" s="40">
        <v>1</v>
      </c>
      <c r="CV159" s="67">
        <v>0</v>
      </c>
      <c r="CW159" s="67">
        <v>0</v>
      </c>
      <c r="CX159" s="67">
        <v>0</v>
      </c>
      <c r="CY159" s="67">
        <v>0</v>
      </c>
      <c r="CZ159" s="67">
        <v>0</v>
      </c>
      <c r="DA159" s="67">
        <v>0</v>
      </c>
      <c r="DB159" s="67">
        <v>0</v>
      </c>
      <c r="DD159" s="40">
        <v>2</v>
      </c>
      <c r="DI159" s="40" t="s">
        <v>0</v>
      </c>
    </row>
    <row r="160" spans="1:113" s="40" customFormat="1" ht="15.75" thickBot="1" x14ac:dyDescent="0.3">
      <c r="A160" s="40">
        <v>5821</v>
      </c>
      <c r="B160" s="40" t="s">
        <v>437</v>
      </c>
      <c r="C160" s="53" t="s">
        <v>390</v>
      </c>
      <c r="D160" s="40">
        <v>13</v>
      </c>
      <c r="E160" s="40">
        <v>0</v>
      </c>
      <c r="F160" s="40">
        <v>13</v>
      </c>
      <c r="G160" s="40">
        <v>524</v>
      </c>
      <c r="H160" s="40">
        <v>0</v>
      </c>
      <c r="I160" s="40">
        <v>25</v>
      </c>
      <c r="J160" s="54" t="s">
        <v>450</v>
      </c>
      <c r="K160" s="54" t="s">
        <v>451</v>
      </c>
      <c r="L160" s="56">
        <v>45947</v>
      </c>
      <c r="M160" s="40">
        <v>0</v>
      </c>
      <c r="N160" s="40">
        <v>0</v>
      </c>
      <c r="O160" s="40">
        <v>0</v>
      </c>
      <c r="S160" s="40" t="b">
        <v>0</v>
      </c>
      <c r="T160" s="40">
        <v>0.01</v>
      </c>
      <c r="U160" s="52">
        <v>7.5</v>
      </c>
      <c r="V160" s="40">
        <v>0.01</v>
      </c>
      <c r="W160" s="40">
        <v>0</v>
      </c>
      <c r="X160" s="40">
        <v>1000</v>
      </c>
      <c r="Z160" s="40">
        <v>10</v>
      </c>
      <c r="AB160" s="52">
        <v>50</v>
      </c>
      <c r="AD160" s="40">
        <v>10</v>
      </c>
      <c r="AF160" s="40">
        <v>2000</v>
      </c>
      <c r="AG160" s="40">
        <v>2</v>
      </c>
      <c r="AH160" s="40">
        <v>7.6100001339999999</v>
      </c>
      <c r="AI160" s="40">
        <v>25</v>
      </c>
      <c r="AJ160" s="40">
        <v>0</v>
      </c>
      <c r="AK160" s="40">
        <v>0</v>
      </c>
      <c r="AM160" s="40" t="s">
        <v>2</v>
      </c>
      <c r="AO160" s="40">
        <v>50</v>
      </c>
      <c r="AW160" s="40" t="b">
        <v>0</v>
      </c>
      <c r="BE160" s="244"/>
      <c r="BF160" s="40">
        <v>1.6</v>
      </c>
      <c r="BG160" s="40">
        <v>1</v>
      </c>
      <c r="BH160" s="40">
        <v>1</v>
      </c>
      <c r="BI160" s="40">
        <v>0.55000000000000004</v>
      </c>
      <c r="BJ160" s="40">
        <v>0</v>
      </c>
      <c r="BM160" s="33" t="s">
        <v>1</v>
      </c>
      <c r="BN160" s="58">
        <v>13</v>
      </c>
      <c r="BO160" s="35">
        <f t="shared" si="29"/>
        <v>7.5</v>
      </c>
      <c r="BP160" s="58">
        <v>250</v>
      </c>
      <c r="BT160" s="59"/>
      <c r="BU160" s="59"/>
      <c r="BV160" s="59"/>
      <c r="BW160" s="59"/>
      <c r="BX160" s="59"/>
      <c r="BY160" s="59"/>
      <c r="BZ160" s="59"/>
      <c r="CA160" s="59"/>
      <c r="CB160" s="59"/>
      <c r="CC160" s="59"/>
      <c r="CD160" s="59"/>
      <c r="CE160" s="60"/>
      <c r="CF160" s="44" t="s">
        <v>12</v>
      </c>
      <c r="CG160" s="40">
        <v>0</v>
      </c>
      <c r="CI160" s="40">
        <v>2.68</v>
      </c>
      <c r="CR160" s="40">
        <v>0</v>
      </c>
      <c r="CS160" s="67">
        <v>0</v>
      </c>
      <c r="CT160" s="67">
        <v>0</v>
      </c>
      <c r="CU160" s="40">
        <v>1</v>
      </c>
      <c r="CV160" s="67">
        <v>0</v>
      </c>
      <c r="CW160" s="67">
        <v>0</v>
      </c>
      <c r="CX160" s="67">
        <v>0</v>
      </c>
      <c r="CY160" s="67">
        <v>0</v>
      </c>
      <c r="CZ160" s="67">
        <v>0</v>
      </c>
      <c r="DA160" s="67">
        <v>0</v>
      </c>
      <c r="DB160" s="67">
        <v>0</v>
      </c>
      <c r="DD160" s="40">
        <v>2</v>
      </c>
      <c r="DI160" s="40" t="s">
        <v>0</v>
      </c>
    </row>
    <row r="161" spans="1:113" s="40" customFormat="1" ht="15.75" thickBot="1" x14ac:dyDescent="0.3">
      <c r="A161" s="40">
        <v>5822</v>
      </c>
      <c r="B161" s="40" t="s">
        <v>437</v>
      </c>
      <c r="C161" s="53" t="s">
        <v>390</v>
      </c>
      <c r="D161" s="40">
        <v>13</v>
      </c>
      <c r="E161" s="40">
        <v>0</v>
      </c>
      <c r="F161" s="40">
        <v>13</v>
      </c>
      <c r="G161" s="40">
        <v>525</v>
      </c>
      <c r="H161" s="40">
        <v>0</v>
      </c>
      <c r="I161" s="40">
        <v>25</v>
      </c>
      <c r="J161" s="54" t="s">
        <v>452</v>
      </c>
      <c r="K161" s="54" t="s">
        <v>453</v>
      </c>
      <c r="L161" s="56">
        <v>45947</v>
      </c>
      <c r="M161" s="40">
        <v>0</v>
      </c>
      <c r="N161" s="40">
        <v>0</v>
      </c>
      <c r="O161" s="40">
        <v>0</v>
      </c>
      <c r="S161" s="40" t="b">
        <v>0</v>
      </c>
      <c r="T161" s="40">
        <v>0.01</v>
      </c>
      <c r="U161" s="52">
        <v>7.5</v>
      </c>
      <c r="V161" s="40">
        <v>0.01</v>
      </c>
      <c r="W161" s="40">
        <v>0</v>
      </c>
      <c r="X161" s="40">
        <v>1000</v>
      </c>
      <c r="Z161" s="40">
        <v>10</v>
      </c>
      <c r="AB161" s="52">
        <v>50</v>
      </c>
      <c r="AD161" s="40">
        <v>10</v>
      </c>
      <c r="AF161" s="40">
        <v>2000</v>
      </c>
      <c r="AG161" s="40">
        <v>2</v>
      </c>
      <c r="AH161" s="40">
        <v>7.6300001139999996</v>
      </c>
      <c r="AI161" s="40">
        <v>25</v>
      </c>
      <c r="AJ161" s="40">
        <v>0</v>
      </c>
      <c r="AK161" s="40">
        <v>0</v>
      </c>
      <c r="AM161" s="40" t="s">
        <v>2</v>
      </c>
      <c r="AO161" s="40">
        <v>50</v>
      </c>
      <c r="AW161" s="40" t="b">
        <v>0</v>
      </c>
      <c r="BE161" s="244"/>
      <c r="BF161" s="40">
        <v>1.6</v>
      </c>
      <c r="BG161" s="40">
        <v>1</v>
      </c>
      <c r="BH161" s="40">
        <v>1</v>
      </c>
      <c r="BI161" s="40">
        <v>0.55000000000000004</v>
      </c>
      <c r="BJ161" s="40">
        <v>0</v>
      </c>
      <c r="BM161" s="33" t="s">
        <v>1</v>
      </c>
      <c r="BN161" s="58">
        <v>13</v>
      </c>
      <c r="BO161" s="35">
        <f t="shared" si="29"/>
        <v>7.5</v>
      </c>
      <c r="BP161" s="58">
        <v>250</v>
      </c>
      <c r="BT161" s="59"/>
      <c r="BU161" s="59"/>
      <c r="BV161" s="59"/>
      <c r="BW161" s="59"/>
      <c r="BX161" s="59"/>
      <c r="BY161" s="59"/>
      <c r="BZ161" s="59"/>
      <c r="CA161" s="59"/>
      <c r="CB161" s="59"/>
      <c r="CC161" s="59"/>
      <c r="CD161" s="59"/>
      <c r="CE161" s="60"/>
      <c r="CF161" s="44" t="s">
        <v>12</v>
      </c>
      <c r="CG161" s="40">
        <v>0</v>
      </c>
      <c r="CI161" s="40">
        <v>2.68</v>
      </c>
      <c r="CR161" s="40">
        <v>0</v>
      </c>
      <c r="CS161" s="67">
        <v>0</v>
      </c>
      <c r="CT161" s="67">
        <v>0</v>
      </c>
      <c r="CU161" s="40">
        <v>1</v>
      </c>
      <c r="CV161" s="67">
        <v>0</v>
      </c>
      <c r="CW161" s="67">
        <v>0</v>
      </c>
      <c r="CX161" s="67">
        <v>0</v>
      </c>
      <c r="CY161" s="67">
        <v>0</v>
      </c>
      <c r="CZ161" s="67">
        <v>0</v>
      </c>
      <c r="DA161" s="67">
        <v>0</v>
      </c>
      <c r="DB161" s="67">
        <v>0</v>
      </c>
      <c r="DD161" s="40">
        <v>2</v>
      </c>
      <c r="DI161" s="40" t="s">
        <v>0</v>
      </c>
    </row>
    <row r="162" spans="1:113" s="40" customFormat="1" ht="15.75" thickBot="1" x14ac:dyDescent="0.3">
      <c r="A162" s="40">
        <v>5823</v>
      </c>
      <c r="B162" s="40" t="s">
        <v>437</v>
      </c>
      <c r="C162" s="53" t="s">
        <v>390</v>
      </c>
      <c r="D162" s="40">
        <v>13</v>
      </c>
      <c r="E162" s="40">
        <v>0</v>
      </c>
      <c r="F162" s="40">
        <v>13</v>
      </c>
      <c r="G162" s="40">
        <v>526</v>
      </c>
      <c r="H162" s="40">
        <v>0</v>
      </c>
      <c r="I162" s="40">
        <v>27</v>
      </c>
      <c r="J162" s="54" t="s">
        <v>454</v>
      </c>
      <c r="K162" s="54" t="s">
        <v>455</v>
      </c>
      <c r="L162" s="56">
        <v>45947</v>
      </c>
      <c r="M162" s="40">
        <v>0</v>
      </c>
      <c r="N162" s="40">
        <v>0</v>
      </c>
      <c r="O162" s="40">
        <v>0</v>
      </c>
      <c r="S162" s="40" t="b">
        <v>0</v>
      </c>
      <c r="T162" s="40">
        <v>0.01</v>
      </c>
      <c r="U162" s="52">
        <v>7.5</v>
      </c>
      <c r="V162" s="40">
        <v>0.01</v>
      </c>
      <c r="W162" s="40">
        <v>0</v>
      </c>
      <c r="X162" s="40">
        <v>1000</v>
      </c>
      <c r="Z162" s="40">
        <v>10</v>
      </c>
      <c r="AB162" s="52">
        <v>55</v>
      </c>
      <c r="AD162" s="40">
        <v>10</v>
      </c>
      <c r="AF162" s="40">
        <v>2000</v>
      </c>
      <c r="AG162" s="40">
        <v>2</v>
      </c>
      <c r="AH162" s="40">
        <v>7.6599998469999999</v>
      </c>
      <c r="AI162" s="40">
        <v>25</v>
      </c>
      <c r="AJ162" s="40">
        <v>0</v>
      </c>
      <c r="AK162" s="40">
        <v>0</v>
      </c>
      <c r="AM162" s="40" t="s">
        <v>2</v>
      </c>
      <c r="AO162" s="40">
        <v>54</v>
      </c>
      <c r="AW162" s="40" t="b">
        <v>0</v>
      </c>
      <c r="BE162" s="244"/>
      <c r="BF162" s="40">
        <v>1.6</v>
      </c>
      <c r="BG162" s="40">
        <v>1</v>
      </c>
      <c r="BH162" s="40">
        <v>1</v>
      </c>
      <c r="BI162" s="40">
        <v>0.55000000000000004</v>
      </c>
      <c r="BJ162" s="40">
        <v>0</v>
      </c>
      <c r="BM162" s="33" t="s">
        <v>1</v>
      </c>
      <c r="BN162" s="58">
        <v>13</v>
      </c>
      <c r="BO162" s="35">
        <f t="shared" si="29"/>
        <v>7.5</v>
      </c>
      <c r="BP162" s="58">
        <v>250</v>
      </c>
      <c r="BT162" s="59"/>
      <c r="BU162" s="59"/>
      <c r="BV162" s="59"/>
      <c r="BW162" s="59"/>
      <c r="BX162" s="59"/>
      <c r="BY162" s="59"/>
      <c r="BZ162" s="59"/>
      <c r="CA162" s="59"/>
      <c r="CB162" s="59"/>
      <c r="CC162" s="59"/>
      <c r="CD162" s="59"/>
      <c r="CE162" s="60"/>
      <c r="CF162" s="44" t="s">
        <v>12</v>
      </c>
      <c r="CG162" s="40">
        <v>0</v>
      </c>
      <c r="CI162" s="40">
        <v>2.68</v>
      </c>
      <c r="CR162" s="40">
        <v>0</v>
      </c>
      <c r="CS162" s="67">
        <v>0</v>
      </c>
      <c r="CT162" s="67">
        <v>0</v>
      </c>
      <c r="CU162" s="40">
        <v>1</v>
      </c>
      <c r="CV162" s="67">
        <v>0</v>
      </c>
      <c r="CW162" s="67">
        <v>0</v>
      </c>
      <c r="CX162" s="67">
        <v>0</v>
      </c>
      <c r="CY162" s="67">
        <v>0</v>
      </c>
      <c r="CZ162" s="67">
        <v>0</v>
      </c>
      <c r="DA162" s="67">
        <v>0</v>
      </c>
      <c r="DB162" s="67">
        <v>0</v>
      </c>
      <c r="DD162" s="40">
        <v>2</v>
      </c>
      <c r="DI162" s="40" t="s">
        <v>0</v>
      </c>
    </row>
    <row r="163" spans="1:113" s="40" customFormat="1" ht="15.75" thickBot="1" x14ac:dyDescent="0.3">
      <c r="A163" s="40">
        <v>5824</v>
      </c>
      <c r="B163" s="40" t="s">
        <v>437</v>
      </c>
      <c r="C163" s="53" t="s">
        <v>390</v>
      </c>
      <c r="D163" s="40">
        <v>13</v>
      </c>
      <c r="E163" s="40">
        <v>0</v>
      </c>
      <c r="F163" s="40">
        <v>13</v>
      </c>
      <c r="G163" s="40">
        <v>527</v>
      </c>
      <c r="H163" s="40">
        <v>0</v>
      </c>
      <c r="I163" s="40">
        <v>27</v>
      </c>
      <c r="J163" s="54" t="s">
        <v>456</v>
      </c>
      <c r="K163" s="54" t="s">
        <v>457</v>
      </c>
      <c r="L163" s="56">
        <v>45947</v>
      </c>
      <c r="M163" s="40">
        <v>0</v>
      </c>
      <c r="N163" s="40">
        <v>0</v>
      </c>
      <c r="O163" s="40">
        <v>0</v>
      </c>
      <c r="S163" s="40" t="b">
        <v>0</v>
      </c>
      <c r="T163" s="40">
        <v>0.01</v>
      </c>
      <c r="U163" s="52">
        <v>7.5</v>
      </c>
      <c r="V163" s="40">
        <v>0.01</v>
      </c>
      <c r="W163" s="40">
        <v>0</v>
      </c>
      <c r="X163" s="40">
        <v>1000</v>
      </c>
      <c r="Z163" s="40">
        <v>10</v>
      </c>
      <c r="AB163" s="52">
        <v>55</v>
      </c>
      <c r="AD163" s="40">
        <v>10</v>
      </c>
      <c r="AF163" s="40">
        <v>2000</v>
      </c>
      <c r="AG163" s="40">
        <v>2</v>
      </c>
      <c r="AH163" s="40">
        <v>7.6300001139999996</v>
      </c>
      <c r="AI163" s="40">
        <v>25</v>
      </c>
      <c r="AJ163" s="40">
        <v>0</v>
      </c>
      <c r="AK163" s="40">
        <v>0</v>
      </c>
      <c r="AM163" s="40" t="s">
        <v>2</v>
      </c>
      <c r="AO163" s="40">
        <v>54</v>
      </c>
      <c r="AW163" s="40" t="b">
        <v>0</v>
      </c>
      <c r="BE163" s="244"/>
      <c r="BF163" s="40">
        <v>1.6</v>
      </c>
      <c r="BG163" s="40">
        <v>1</v>
      </c>
      <c r="BH163" s="40">
        <v>1</v>
      </c>
      <c r="BI163" s="40">
        <v>0.55000000000000004</v>
      </c>
      <c r="BJ163" s="40">
        <v>0</v>
      </c>
      <c r="BM163" s="33" t="s">
        <v>1</v>
      </c>
      <c r="BN163" s="58">
        <v>13</v>
      </c>
      <c r="BO163" s="35">
        <f t="shared" si="29"/>
        <v>7.5</v>
      </c>
      <c r="BP163" s="58">
        <v>250</v>
      </c>
      <c r="BT163" s="59"/>
      <c r="BU163" s="59"/>
      <c r="BV163" s="59"/>
      <c r="BW163" s="59"/>
      <c r="BX163" s="59"/>
      <c r="BY163" s="59"/>
      <c r="BZ163" s="59"/>
      <c r="CA163" s="59"/>
      <c r="CB163" s="59"/>
      <c r="CC163" s="59"/>
      <c r="CD163" s="59"/>
      <c r="CE163" s="60"/>
      <c r="CF163" s="44" t="s">
        <v>12</v>
      </c>
      <c r="CG163" s="40">
        <v>0</v>
      </c>
      <c r="CI163" s="40">
        <v>2.68</v>
      </c>
      <c r="CR163" s="40">
        <v>0</v>
      </c>
      <c r="CS163" s="67">
        <v>0</v>
      </c>
      <c r="CT163" s="67">
        <v>0</v>
      </c>
      <c r="CU163" s="40">
        <v>1</v>
      </c>
      <c r="CV163" s="67">
        <v>0</v>
      </c>
      <c r="CW163" s="67">
        <v>0</v>
      </c>
      <c r="CX163" s="67">
        <v>0</v>
      </c>
      <c r="CY163" s="67">
        <v>0</v>
      </c>
      <c r="CZ163" s="67">
        <v>0</v>
      </c>
      <c r="DA163" s="67">
        <v>0</v>
      </c>
      <c r="DB163" s="67">
        <v>0</v>
      </c>
      <c r="DD163" s="40">
        <v>2</v>
      </c>
      <c r="DI163" s="40" t="s">
        <v>0</v>
      </c>
    </row>
    <row r="164" spans="1:113" s="40" customFormat="1" ht="15.75" thickBot="1" x14ac:dyDescent="0.3">
      <c r="A164" s="40">
        <v>5825</v>
      </c>
      <c r="B164" s="40" t="s">
        <v>437</v>
      </c>
      <c r="C164" s="53" t="s">
        <v>390</v>
      </c>
      <c r="D164" s="40">
        <v>13</v>
      </c>
      <c r="E164" s="40">
        <v>0</v>
      </c>
      <c r="F164" s="40">
        <v>13</v>
      </c>
      <c r="G164" s="40">
        <v>528</v>
      </c>
      <c r="H164" s="40">
        <v>0</v>
      </c>
      <c r="I164" s="40">
        <v>27</v>
      </c>
      <c r="J164" s="54" t="s">
        <v>458</v>
      </c>
      <c r="K164" s="54" t="s">
        <v>459</v>
      </c>
      <c r="L164" s="56">
        <v>45947</v>
      </c>
      <c r="M164" s="40">
        <v>0</v>
      </c>
      <c r="N164" s="40">
        <v>0</v>
      </c>
      <c r="O164" s="40">
        <v>0</v>
      </c>
      <c r="S164" s="40" t="b">
        <v>0</v>
      </c>
      <c r="T164" s="40">
        <v>0.01</v>
      </c>
      <c r="U164" s="52">
        <v>7.5</v>
      </c>
      <c r="V164" s="40">
        <v>0.01</v>
      </c>
      <c r="W164" s="40">
        <v>0</v>
      </c>
      <c r="X164" s="40">
        <v>1000</v>
      </c>
      <c r="Z164" s="40">
        <v>10</v>
      </c>
      <c r="AB164" s="52">
        <v>55</v>
      </c>
      <c r="AD164" s="40">
        <v>10</v>
      </c>
      <c r="AF164" s="40">
        <v>2000</v>
      </c>
      <c r="AG164" s="40">
        <v>2</v>
      </c>
      <c r="AH164" s="40">
        <v>7.6100001339999999</v>
      </c>
      <c r="AI164" s="40">
        <v>25</v>
      </c>
      <c r="AJ164" s="40">
        <v>0</v>
      </c>
      <c r="AK164" s="40">
        <v>0</v>
      </c>
      <c r="AM164" s="40" t="s">
        <v>2</v>
      </c>
      <c r="AO164" s="40">
        <v>54</v>
      </c>
      <c r="AW164" s="40" t="b">
        <v>0</v>
      </c>
      <c r="BE164" s="244"/>
      <c r="BF164" s="40">
        <v>1.6</v>
      </c>
      <c r="BG164" s="40">
        <v>1</v>
      </c>
      <c r="BH164" s="40">
        <v>1</v>
      </c>
      <c r="BI164" s="40">
        <v>0.55000000000000004</v>
      </c>
      <c r="BJ164" s="40">
        <v>0</v>
      </c>
      <c r="BM164" s="33" t="s">
        <v>1</v>
      </c>
      <c r="BN164" s="58">
        <v>13</v>
      </c>
      <c r="BO164" s="35">
        <f t="shared" si="29"/>
        <v>7.5</v>
      </c>
      <c r="BP164" s="58">
        <v>250</v>
      </c>
      <c r="BT164" s="59"/>
      <c r="BU164" s="59"/>
      <c r="BV164" s="59"/>
      <c r="BW164" s="59"/>
      <c r="BX164" s="59"/>
      <c r="BY164" s="59"/>
      <c r="BZ164" s="59"/>
      <c r="CA164" s="59"/>
      <c r="CB164" s="59"/>
      <c r="CC164" s="59"/>
      <c r="CD164" s="59"/>
      <c r="CE164" s="60"/>
      <c r="CF164" s="44" t="s">
        <v>12</v>
      </c>
      <c r="CG164" s="40">
        <v>0</v>
      </c>
      <c r="CI164" s="40">
        <v>2.68</v>
      </c>
      <c r="CR164" s="40">
        <v>0</v>
      </c>
      <c r="CS164" s="67">
        <v>0</v>
      </c>
      <c r="CT164" s="67">
        <v>0</v>
      </c>
      <c r="CU164" s="40">
        <v>1</v>
      </c>
      <c r="CV164" s="67">
        <v>0</v>
      </c>
      <c r="CW164" s="67">
        <v>0</v>
      </c>
      <c r="CX164" s="67">
        <v>0</v>
      </c>
      <c r="CY164" s="67">
        <v>0</v>
      </c>
      <c r="CZ164" s="67">
        <v>0</v>
      </c>
      <c r="DA164" s="67">
        <v>0</v>
      </c>
      <c r="DB164" s="67">
        <v>0</v>
      </c>
      <c r="DD164" s="40">
        <v>2</v>
      </c>
      <c r="DI164" s="40" t="s">
        <v>0</v>
      </c>
    </row>
    <row r="165" spans="1:113" s="40" customFormat="1" ht="15.75" thickBot="1" x14ac:dyDescent="0.3">
      <c r="A165" s="40">
        <v>5826</v>
      </c>
      <c r="B165" s="40" t="s">
        <v>437</v>
      </c>
      <c r="C165" s="53" t="s">
        <v>390</v>
      </c>
      <c r="D165" s="40">
        <v>13</v>
      </c>
      <c r="E165" s="40">
        <v>0</v>
      </c>
      <c r="F165" s="40">
        <v>13</v>
      </c>
      <c r="G165" s="40">
        <v>529</v>
      </c>
      <c r="H165" s="40">
        <v>0</v>
      </c>
      <c r="I165" s="40">
        <v>27</v>
      </c>
      <c r="J165" s="54" t="s">
        <v>460</v>
      </c>
      <c r="K165" s="54" t="s">
        <v>461</v>
      </c>
      <c r="L165" s="56">
        <v>45947</v>
      </c>
      <c r="M165" s="40">
        <v>0</v>
      </c>
      <c r="N165" s="40">
        <v>0</v>
      </c>
      <c r="O165" s="40">
        <v>0</v>
      </c>
      <c r="S165" s="40" t="b">
        <v>0</v>
      </c>
      <c r="T165" s="40">
        <v>0.01</v>
      </c>
      <c r="U165" s="52">
        <v>7.5</v>
      </c>
      <c r="V165" s="40">
        <v>0.01</v>
      </c>
      <c r="W165" s="40">
        <v>0</v>
      </c>
      <c r="X165" s="40">
        <v>1000</v>
      </c>
      <c r="Z165" s="40">
        <v>10</v>
      </c>
      <c r="AB165" s="52">
        <v>55</v>
      </c>
      <c r="AD165" s="40">
        <v>10</v>
      </c>
      <c r="AF165" s="40">
        <v>2000</v>
      </c>
      <c r="AG165" s="40">
        <v>2</v>
      </c>
      <c r="AH165" s="40">
        <v>7.6300001139999996</v>
      </c>
      <c r="AI165" s="40">
        <v>25</v>
      </c>
      <c r="AJ165" s="40">
        <v>0</v>
      </c>
      <c r="AK165" s="40">
        <v>0</v>
      </c>
      <c r="AM165" s="40" t="s">
        <v>2</v>
      </c>
      <c r="AO165" s="40">
        <v>54</v>
      </c>
      <c r="AW165" s="40" t="b">
        <v>0</v>
      </c>
      <c r="BE165" s="244"/>
      <c r="BF165" s="40">
        <v>1.6</v>
      </c>
      <c r="BG165" s="40">
        <v>1</v>
      </c>
      <c r="BH165" s="40">
        <v>1</v>
      </c>
      <c r="BI165" s="40">
        <v>0.55000000000000004</v>
      </c>
      <c r="BJ165" s="40">
        <v>0</v>
      </c>
      <c r="BM165" s="33" t="s">
        <v>1</v>
      </c>
      <c r="BN165" s="58">
        <v>13</v>
      </c>
      <c r="BO165" s="35">
        <f t="shared" si="29"/>
        <v>7.5</v>
      </c>
      <c r="BP165" s="58">
        <v>250</v>
      </c>
      <c r="BT165" s="59"/>
      <c r="BU165" s="59"/>
      <c r="BV165" s="59"/>
      <c r="BW165" s="59"/>
      <c r="BX165" s="59"/>
      <c r="BY165" s="59"/>
      <c r="BZ165" s="59"/>
      <c r="CA165" s="59"/>
      <c r="CB165" s="59"/>
      <c r="CC165" s="59"/>
      <c r="CD165" s="59"/>
      <c r="CE165" s="60"/>
      <c r="CF165" s="44" t="s">
        <v>12</v>
      </c>
      <c r="CG165" s="40">
        <v>0</v>
      </c>
      <c r="CI165" s="40">
        <v>2.68</v>
      </c>
      <c r="CR165" s="40">
        <v>0</v>
      </c>
      <c r="CS165" s="67">
        <v>0</v>
      </c>
      <c r="CT165" s="67">
        <v>0</v>
      </c>
      <c r="CU165" s="40">
        <v>1</v>
      </c>
      <c r="CV165" s="67">
        <v>0</v>
      </c>
      <c r="CW165" s="67">
        <v>0</v>
      </c>
      <c r="CX165" s="67">
        <v>0</v>
      </c>
      <c r="CY165" s="67">
        <v>0</v>
      </c>
      <c r="CZ165" s="67">
        <v>0</v>
      </c>
      <c r="DA165" s="67">
        <v>0</v>
      </c>
      <c r="DB165" s="67">
        <v>0</v>
      </c>
      <c r="DD165" s="40">
        <v>2</v>
      </c>
      <c r="DI165" s="40" t="s">
        <v>0</v>
      </c>
    </row>
    <row r="166" spans="1:113" s="40" customFormat="1" ht="15.75" thickBot="1" x14ac:dyDescent="0.3">
      <c r="A166" s="40">
        <v>5827</v>
      </c>
      <c r="B166" s="40" t="s">
        <v>437</v>
      </c>
      <c r="C166" s="53" t="s">
        <v>390</v>
      </c>
      <c r="D166" s="40">
        <v>13</v>
      </c>
      <c r="E166" s="40">
        <v>0</v>
      </c>
      <c r="F166" s="40">
        <v>13</v>
      </c>
      <c r="G166" s="40">
        <v>530</v>
      </c>
      <c r="H166" s="40">
        <v>0</v>
      </c>
      <c r="I166" s="40">
        <v>25</v>
      </c>
      <c r="J166" s="54" t="s">
        <v>462</v>
      </c>
      <c r="K166" s="54" t="s">
        <v>463</v>
      </c>
      <c r="L166" s="56">
        <v>45947</v>
      </c>
      <c r="M166" s="40">
        <v>0</v>
      </c>
      <c r="N166" s="40">
        <v>0</v>
      </c>
      <c r="O166" s="40">
        <v>0</v>
      </c>
      <c r="S166" s="40" t="b">
        <v>0</v>
      </c>
      <c r="T166" s="40">
        <v>0.01</v>
      </c>
      <c r="U166" s="52">
        <v>8</v>
      </c>
      <c r="V166" s="40">
        <v>0.01</v>
      </c>
      <c r="W166" s="40">
        <v>0</v>
      </c>
      <c r="X166" s="40">
        <v>1000</v>
      </c>
      <c r="Z166" s="40">
        <v>10</v>
      </c>
      <c r="AB166" s="52">
        <v>50</v>
      </c>
      <c r="AD166" s="40">
        <v>10</v>
      </c>
      <c r="AF166" s="40">
        <v>2000</v>
      </c>
      <c r="AG166" s="40">
        <v>2</v>
      </c>
      <c r="AH166" s="40">
        <v>8.2200002669999996</v>
      </c>
      <c r="AI166" s="40">
        <v>21</v>
      </c>
      <c r="AJ166" s="40">
        <v>0</v>
      </c>
      <c r="AK166" s="40">
        <v>0</v>
      </c>
      <c r="AM166" s="40" t="s">
        <v>2</v>
      </c>
      <c r="AO166" s="40">
        <v>50</v>
      </c>
      <c r="AW166" s="40" t="b">
        <v>0</v>
      </c>
      <c r="BE166" s="244"/>
      <c r="BF166" s="40">
        <v>1.6</v>
      </c>
      <c r="BG166" s="40">
        <v>1</v>
      </c>
      <c r="BH166" s="40">
        <v>1</v>
      </c>
      <c r="BI166" s="40">
        <v>0.55000000000000004</v>
      </c>
      <c r="BJ166" s="40">
        <v>0</v>
      </c>
      <c r="BM166" s="33" t="s">
        <v>1</v>
      </c>
      <c r="BN166" s="58">
        <v>13</v>
      </c>
      <c r="BO166" s="35">
        <f t="shared" si="29"/>
        <v>8</v>
      </c>
      <c r="BP166" s="58">
        <v>250</v>
      </c>
      <c r="BT166" s="59"/>
      <c r="BU166" s="59"/>
      <c r="BV166" s="59"/>
      <c r="BW166" s="59"/>
      <c r="BX166" s="59"/>
      <c r="BY166" s="59"/>
      <c r="BZ166" s="59"/>
      <c r="CA166" s="59"/>
      <c r="CB166" s="59"/>
      <c r="CC166" s="59"/>
      <c r="CD166" s="59"/>
      <c r="CE166" s="60"/>
      <c r="CF166" s="44" t="s">
        <v>12</v>
      </c>
      <c r="CG166" s="40">
        <v>0</v>
      </c>
      <c r="CI166" s="40">
        <v>2.68</v>
      </c>
      <c r="CR166" s="40">
        <v>0</v>
      </c>
      <c r="CS166" s="67">
        <v>0</v>
      </c>
      <c r="CT166" s="67">
        <v>0</v>
      </c>
      <c r="CU166" s="40">
        <v>1</v>
      </c>
      <c r="CV166" s="67">
        <v>0</v>
      </c>
      <c r="CW166" s="67">
        <v>0</v>
      </c>
      <c r="CX166" s="67">
        <v>0</v>
      </c>
      <c r="CY166" s="67">
        <v>0</v>
      </c>
      <c r="CZ166" s="67">
        <v>0</v>
      </c>
      <c r="DA166" s="67">
        <v>0</v>
      </c>
      <c r="DB166" s="67">
        <v>0</v>
      </c>
      <c r="DD166" s="40">
        <v>2</v>
      </c>
      <c r="DI166" s="40" t="s">
        <v>0</v>
      </c>
    </row>
    <row r="167" spans="1:113" s="40" customFormat="1" ht="15.75" thickBot="1" x14ac:dyDescent="0.3">
      <c r="A167" s="40">
        <v>5828</v>
      </c>
      <c r="B167" s="40" t="s">
        <v>437</v>
      </c>
      <c r="C167" s="53" t="s">
        <v>390</v>
      </c>
      <c r="D167" s="40">
        <v>13</v>
      </c>
      <c r="E167" s="40">
        <v>0</v>
      </c>
      <c r="F167" s="40">
        <v>13</v>
      </c>
      <c r="G167" s="40">
        <v>531</v>
      </c>
      <c r="H167" s="40">
        <v>0</v>
      </c>
      <c r="I167" s="40">
        <v>25</v>
      </c>
      <c r="J167" s="54" t="s">
        <v>464</v>
      </c>
      <c r="K167" s="54" t="s">
        <v>465</v>
      </c>
      <c r="L167" s="56">
        <v>45947</v>
      </c>
      <c r="M167" s="40">
        <v>0</v>
      </c>
      <c r="N167" s="40">
        <v>0</v>
      </c>
      <c r="O167" s="40">
        <v>0</v>
      </c>
      <c r="S167" s="40" t="b">
        <v>0</v>
      </c>
      <c r="T167" s="40">
        <v>0.01</v>
      </c>
      <c r="U167" s="52">
        <v>8</v>
      </c>
      <c r="V167" s="40">
        <v>0.01</v>
      </c>
      <c r="W167" s="40">
        <v>0</v>
      </c>
      <c r="X167" s="40">
        <v>1000</v>
      </c>
      <c r="Z167" s="40">
        <v>10</v>
      </c>
      <c r="AB167" s="52">
        <v>50</v>
      </c>
      <c r="AD167" s="40">
        <v>10</v>
      </c>
      <c r="AF167" s="40">
        <v>2000</v>
      </c>
      <c r="AG167" s="40">
        <v>2</v>
      </c>
      <c r="AH167" s="40">
        <v>8.1999998089999995</v>
      </c>
      <c r="AI167" s="40">
        <v>25</v>
      </c>
      <c r="AJ167" s="40">
        <v>0</v>
      </c>
      <c r="AK167" s="40">
        <v>0</v>
      </c>
      <c r="AM167" s="40" t="s">
        <v>2</v>
      </c>
      <c r="AO167" s="40">
        <v>50</v>
      </c>
      <c r="AW167" s="40" t="b">
        <v>0</v>
      </c>
      <c r="BE167" s="244"/>
      <c r="BF167" s="40">
        <v>1.6</v>
      </c>
      <c r="BG167" s="40">
        <v>1</v>
      </c>
      <c r="BH167" s="40">
        <v>1</v>
      </c>
      <c r="BI167" s="40">
        <v>0.55000000000000004</v>
      </c>
      <c r="BJ167" s="40">
        <v>0</v>
      </c>
      <c r="BM167" s="33" t="s">
        <v>1</v>
      </c>
      <c r="BN167" s="58">
        <v>13</v>
      </c>
      <c r="BO167" s="35">
        <f t="shared" si="29"/>
        <v>8</v>
      </c>
      <c r="BP167" s="58">
        <v>250</v>
      </c>
      <c r="BT167" s="59"/>
      <c r="BU167" s="59"/>
      <c r="BV167" s="59"/>
      <c r="BW167" s="59"/>
      <c r="BX167" s="59"/>
      <c r="BY167" s="59"/>
      <c r="BZ167" s="59"/>
      <c r="CA167" s="59"/>
      <c r="CB167" s="59"/>
      <c r="CC167" s="59"/>
      <c r="CD167" s="59"/>
      <c r="CE167" s="60"/>
      <c r="CF167" s="44" t="s">
        <v>12</v>
      </c>
      <c r="CG167" s="40">
        <v>0</v>
      </c>
      <c r="CI167" s="40">
        <v>2.68</v>
      </c>
      <c r="CR167" s="40">
        <v>0</v>
      </c>
      <c r="CS167" s="67">
        <v>0</v>
      </c>
      <c r="CT167" s="67">
        <v>0</v>
      </c>
      <c r="CU167" s="40">
        <v>1</v>
      </c>
      <c r="CV167" s="67">
        <v>0</v>
      </c>
      <c r="CW167" s="67">
        <v>0</v>
      </c>
      <c r="CX167" s="67">
        <v>0</v>
      </c>
      <c r="CY167" s="67">
        <v>0</v>
      </c>
      <c r="CZ167" s="67">
        <v>0</v>
      </c>
      <c r="DA167" s="67">
        <v>0</v>
      </c>
      <c r="DB167" s="67">
        <v>0</v>
      </c>
      <c r="DD167" s="40">
        <v>2</v>
      </c>
      <c r="DI167" s="40" t="s">
        <v>0</v>
      </c>
    </row>
    <row r="168" spans="1:113" s="40" customFormat="1" ht="15.75" thickBot="1" x14ac:dyDescent="0.3">
      <c r="A168" s="40">
        <v>5829</v>
      </c>
      <c r="B168" s="40" t="s">
        <v>437</v>
      </c>
      <c r="C168" s="53" t="s">
        <v>390</v>
      </c>
      <c r="D168" s="40">
        <v>13</v>
      </c>
      <c r="E168" s="40">
        <v>0</v>
      </c>
      <c r="F168" s="40">
        <v>13</v>
      </c>
      <c r="G168" s="40">
        <v>532</v>
      </c>
      <c r="H168" s="40">
        <v>0</v>
      </c>
      <c r="I168" s="40">
        <v>25</v>
      </c>
      <c r="J168" s="54" t="s">
        <v>466</v>
      </c>
      <c r="K168" s="54" t="s">
        <v>467</v>
      </c>
      <c r="L168" s="56">
        <v>45947</v>
      </c>
      <c r="M168" s="40">
        <v>0</v>
      </c>
      <c r="N168" s="40">
        <v>0</v>
      </c>
      <c r="O168" s="40">
        <v>0</v>
      </c>
      <c r="S168" s="40" t="b">
        <v>0</v>
      </c>
      <c r="T168" s="40">
        <v>0.01</v>
      </c>
      <c r="U168" s="52">
        <v>8</v>
      </c>
      <c r="V168" s="40">
        <v>0.01</v>
      </c>
      <c r="W168" s="40">
        <v>0</v>
      </c>
      <c r="X168" s="40">
        <v>1000</v>
      </c>
      <c r="Z168" s="40">
        <v>10</v>
      </c>
      <c r="AB168" s="52">
        <v>50</v>
      </c>
      <c r="AD168" s="40">
        <v>10</v>
      </c>
      <c r="AF168" s="40">
        <v>2000</v>
      </c>
      <c r="AG168" s="40">
        <v>2</v>
      </c>
      <c r="AH168" s="40">
        <v>8.1999998089999995</v>
      </c>
      <c r="AI168" s="40">
        <v>25</v>
      </c>
      <c r="AJ168" s="40">
        <v>0</v>
      </c>
      <c r="AK168" s="40">
        <v>0</v>
      </c>
      <c r="AM168" s="40" t="s">
        <v>2</v>
      </c>
      <c r="AO168" s="40">
        <v>50</v>
      </c>
      <c r="AW168" s="40" t="b">
        <v>0</v>
      </c>
      <c r="BE168" s="244"/>
      <c r="BF168" s="40">
        <v>1.6</v>
      </c>
      <c r="BG168" s="40">
        <v>1</v>
      </c>
      <c r="BH168" s="40">
        <v>1</v>
      </c>
      <c r="BI168" s="40">
        <v>0.55000000000000004</v>
      </c>
      <c r="BJ168" s="40">
        <v>0</v>
      </c>
      <c r="BM168" s="33" t="s">
        <v>1</v>
      </c>
      <c r="BN168" s="58">
        <v>13</v>
      </c>
      <c r="BO168" s="35">
        <f t="shared" si="29"/>
        <v>8</v>
      </c>
      <c r="BP168" s="58">
        <v>250</v>
      </c>
      <c r="BT168" s="59"/>
      <c r="BU168" s="59"/>
      <c r="BV168" s="59"/>
      <c r="BW168" s="59"/>
      <c r="BX168" s="59"/>
      <c r="BY168" s="59"/>
      <c r="BZ168" s="59"/>
      <c r="CA168" s="59"/>
      <c r="CB168" s="59"/>
      <c r="CC168" s="59"/>
      <c r="CD168" s="59"/>
      <c r="CE168" s="60"/>
      <c r="CF168" s="44" t="s">
        <v>12</v>
      </c>
      <c r="CG168" s="40">
        <v>0</v>
      </c>
      <c r="CI168" s="40">
        <v>2.68</v>
      </c>
      <c r="CR168" s="40">
        <v>0</v>
      </c>
      <c r="CS168" s="67">
        <v>0</v>
      </c>
      <c r="CT168" s="67">
        <v>0</v>
      </c>
      <c r="CU168" s="40">
        <v>1</v>
      </c>
      <c r="CV168" s="67">
        <v>0</v>
      </c>
      <c r="CW168" s="67">
        <v>0</v>
      </c>
      <c r="CX168" s="67">
        <v>0</v>
      </c>
      <c r="CY168" s="67">
        <v>0</v>
      </c>
      <c r="CZ168" s="67">
        <v>0</v>
      </c>
      <c r="DA168" s="67">
        <v>0</v>
      </c>
      <c r="DB168" s="67">
        <v>0</v>
      </c>
      <c r="DD168" s="40">
        <v>2</v>
      </c>
      <c r="DI168" s="40" t="s">
        <v>0</v>
      </c>
    </row>
    <row r="169" spans="1:113" s="40" customFormat="1" ht="15.75" thickBot="1" x14ac:dyDescent="0.3">
      <c r="A169" s="40">
        <v>5830</v>
      </c>
      <c r="B169" s="40" t="s">
        <v>437</v>
      </c>
      <c r="C169" s="53" t="s">
        <v>390</v>
      </c>
      <c r="D169" s="40">
        <v>13</v>
      </c>
      <c r="E169" s="40">
        <v>0</v>
      </c>
      <c r="F169" s="40">
        <v>13</v>
      </c>
      <c r="G169" s="40">
        <v>533</v>
      </c>
      <c r="H169" s="40">
        <v>0</v>
      </c>
      <c r="I169" s="40">
        <v>25</v>
      </c>
      <c r="J169" s="54" t="s">
        <v>468</v>
      </c>
      <c r="K169" s="54" t="s">
        <v>469</v>
      </c>
      <c r="L169" s="56">
        <v>45947</v>
      </c>
      <c r="M169" s="40">
        <v>0</v>
      </c>
      <c r="N169" s="40">
        <v>0</v>
      </c>
      <c r="O169" s="40">
        <v>0</v>
      </c>
      <c r="S169" s="40" t="b">
        <v>0</v>
      </c>
      <c r="T169" s="40">
        <v>0.01</v>
      </c>
      <c r="U169" s="52">
        <v>8</v>
      </c>
      <c r="V169" s="40">
        <v>0.01</v>
      </c>
      <c r="W169" s="40">
        <v>0</v>
      </c>
      <c r="X169" s="40">
        <v>1000</v>
      </c>
      <c r="Z169" s="40">
        <v>10</v>
      </c>
      <c r="AB169" s="52">
        <v>50</v>
      </c>
      <c r="AD169" s="40">
        <v>10</v>
      </c>
      <c r="AF169" s="40">
        <v>2000</v>
      </c>
      <c r="AG169" s="40">
        <v>2</v>
      </c>
      <c r="AH169" s="40">
        <v>8.2100000380000004</v>
      </c>
      <c r="AI169" s="40">
        <v>25</v>
      </c>
      <c r="AJ169" s="40">
        <v>0</v>
      </c>
      <c r="AK169" s="40">
        <v>0</v>
      </c>
      <c r="AM169" s="40" t="s">
        <v>2</v>
      </c>
      <c r="AO169" s="40">
        <v>50</v>
      </c>
      <c r="AW169" s="40" t="b">
        <v>0</v>
      </c>
      <c r="BE169" s="244"/>
      <c r="BF169" s="40">
        <v>1.6</v>
      </c>
      <c r="BG169" s="40">
        <v>1</v>
      </c>
      <c r="BH169" s="40">
        <v>1</v>
      </c>
      <c r="BI169" s="40">
        <v>0.55000000000000004</v>
      </c>
      <c r="BJ169" s="40">
        <v>0</v>
      </c>
      <c r="BM169" s="33" t="s">
        <v>1</v>
      </c>
      <c r="BN169" s="58">
        <v>13</v>
      </c>
      <c r="BO169" s="35">
        <f t="shared" si="29"/>
        <v>8</v>
      </c>
      <c r="BP169" s="58">
        <v>250</v>
      </c>
      <c r="BT169" s="59"/>
      <c r="BU169" s="59"/>
      <c r="BV169" s="59"/>
      <c r="BW169" s="59"/>
      <c r="BX169" s="59"/>
      <c r="BY169" s="59"/>
      <c r="BZ169" s="59"/>
      <c r="CA169" s="59"/>
      <c r="CB169" s="59"/>
      <c r="CC169" s="59"/>
      <c r="CD169" s="59"/>
      <c r="CE169" s="60"/>
      <c r="CF169" s="44" t="s">
        <v>12</v>
      </c>
      <c r="CG169" s="40">
        <v>0</v>
      </c>
      <c r="CI169" s="40">
        <v>2.68</v>
      </c>
      <c r="CR169" s="40">
        <v>0</v>
      </c>
      <c r="CS169" s="67">
        <v>0</v>
      </c>
      <c r="CT169" s="67">
        <v>0</v>
      </c>
      <c r="CU169" s="40">
        <v>1</v>
      </c>
      <c r="CV169" s="67">
        <v>0</v>
      </c>
      <c r="CW169" s="67">
        <v>0</v>
      </c>
      <c r="CX169" s="67">
        <v>0</v>
      </c>
      <c r="CY169" s="67">
        <v>0</v>
      </c>
      <c r="CZ169" s="67">
        <v>0</v>
      </c>
      <c r="DA169" s="67">
        <v>0</v>
      </c>
      <c r="DB169" s="67">
        <v>0</v>
      </c>
      <c r="DD169" s="40">
        <v>2</v>
      </c>
      <c r="DI169" s="40" t="s">
        <v>0</v>
      </c>
    </row>
    <row r="170" spans="1:113" s="40" customFormat="1" ht="15.75" thickBot="1" x14ac:dyDescent="0.3">
      <c r="A170" s="40">
        <v>5831</v>
      </c>
      <c r="B170" s="40" t="s">
        <v>437</v>
      </c>
      <c r="C170" s="53" t="s">
        <v>390</v>
      </c>
      <c r="D170" s="40">
        <v>13</v>
      </c>
      <c r="E170" s="40">
        <v>0</v>
      </c>
      <c r="F170" s="40">
        <v>13</v>
      </c>
      <c r="G170" s="40">
        <v>534</v>
      </c>
      <c r="H170" s="40">
        <v>0</v>
      </c>
      <c r="I170" s="40">
        <v>25</v>
      </c>
      <c r="J170" s="54" t="s">
        <v>470</v>
      </c>
      <c r="K170" s="54" t="s">
        <v>471</v>
      </c>
      <c r="L170" s="56">
        <v>45947</v>
      </c>
      <c r="M170" s="40">
        <v>0</v>
      </c>
      <c r="N170" s="40">
        <v>0</v>
      </c>
      <c r="O170" s="40">
        <v>0</v>
      </c>
      <c r="S170" s="40" t="b">
        <v>0</v>
      </c>
      <c r="T170" s="40">
        <v>0.01</v>
      </c>
      <c r="U170" s="52">
        <v>8.25</v>
      </c>
      <c r="V170" s="40">
        <v>0.01</v>
      </c>
      <c r="W170" s="40">
        <v>0</v>
      </c>
      <c r="X170" s="40">
        <v>1000</v>
      </c>
      <c r="Z170" s="40">
        <v>10</v>
      </c>
      <c r="AB170" s="52">
        <v>50</v>
      </c>
      <c r="AD170" s="40">
        <v>10</v>
      </c>
      <c r="AF170" s="40">
        <v>2000</v>
      </c>
      <c r="AG170" s="40">
        <v>2</v>
      </c>
      <c r="AH170" s="40">
        <v>8.4700002669999996</v>
      </c>
      <c r="AI170" s="40">
        <v>16</v>
      </c>
      <c r="AJ170" s="40">
        <v>0</v>
      </c>
      <c r="AK170" s="40">
        <v>0</v>
      </c>
      <c r="AM170" s="40" t="s">
        <v>2</v>
      </c>
      <c r="AO170" s="40">
        <v>50</v>
      </c>
      <c r="AW170" s="40" t="b">
        <v>0</v>
      </c>
      <c r="BE170" s="244"/>
      <c r="BF170" s="40">
        <v>1.6</v>
      </c>
      <c r="BG170" s="40">
        <v>1</v>
      </c>
      <c r="BH170" s="40">
        <v>1</v>
      </c>
      <c r="BI170" s="40">
        <v>0.55000000000000004</v>
      </c>
      <c r="BJ170" s="40">
        <v>0</v>
      </c>
      <c r="BM170" s="33" t="s">
        <v>1</v>
      </c>
      <c r="BN170" s="58">
        <v>13</v>
      </c>
      <c r="BO170" s="35">
        <f t="shared" si="29"/>
        <v>8.25</v>
      </c>
      <c r="BP170" s="58">
        <v>250</v>
      </c>
      <c r="BT170" s="59"/>
      <c r="BU170" s="59"/>
      <c r="BV170" s="59"/>
      <c r="BW170" s="59"/>
      <c r="BX170" s="59"/>
      <c r="BY170" s="59"/>
      <c r="BZ170" s="59"/>
      <c r="CA170" s="59"/>
      <c r="CB170" s="59"/>
      <c r="CC170" s="59"/>
      <c r="CD170" s="59"/>
      <c r="CE170" s="60"/>
      <c r="CF170" s="44" t="s">
        <v>12</v>
      </c>
      <c r="CG170" s="40">
        <v>0</v>
      </c>
      <c r="CI170" s="40">
        <v>2.68</v>
      </c>
      <c r="CR170" s="40">
        <v>0</v>
      </c>
      <c r="CS170" s="67">
        <v>0</v>
      </c>
      <c r="CT170" s="67">
        <v>0</v>
      </c>
      <c r="CU170" s="40">
        <v>1</v>
      </c>
      <c r="CV170" s="67">
        <v>0</v>
      </c>
      <c r="CW170" s="67">
        <v>0</v>
      </c>
      <c r="CX170" s="67">
        <v>0</v>
      </c>
      <c r="CY170" s="67">
        <v>0</v>
      </c>
      <c r="CZ170" s="67">
        <v>0</v>
      </c>
      <c r="DA170" s="67">
        <v>0</v>
      </c>
      <c r="DB170" s="67">
        <v>0</v>
      </c>
      <c r="DD170" s="40">
        <v>2</v>
      </c>
      <c r="DI170" s="40" t="s">
        <v>0</v>
      </c>
    </row>
    <row r="171" spans="1:113" s="40" customFormat="1" ht="15.75" thickBot="1" x14ac:dyDescent="0.3">
      <c r="A171" s="40">
        <v>5832</v>
      </c>
      <c r="B171" s="40" t="s">
        <v>437</v>
      </c>
      <c r="C171" s="53" t="s">
        <v>390</v>
      </c>
      <c r="D171" s="40">
        <v>13</v>
      </c>
      <c r="E171" s="40">
        <v>0</v>
      </c>
      <c r="F171" s="40">
        <v>13</v>
      </c>
      <c r="G171" s="40">
        <v>535</v>
      </c>
      <c r="H171" s="40">
        <v>0</v>
      </c>
      <c r="I171" s="40">
        <v>25</v>
      </c>
      <c r="J171" s="54" t="s">
        <v>472</v>
      </c>
      <c r="K171" s="54" t="s">
        <v>473</v>
      </c>
      <c r="L171" s="56">
        <v>45947</v>
      </c>
      <c r="M171" s="40">
        <v>0</v>
      </c>
      <c r="N171" s="40">
        <v>0</v>
      </c>
      <c r="O171" s="40">
        <v>0</v>
      </c>
      <c r="S171" s="40" t="b">
        <v>0</v>
      </c>
      <c r="T171" s="40">
        <v>0.01</v>
      </c>
      <c r="U171" s="52">
        <v>8.25</v>
      </c>
      <c r="V171" s="40">
        <v>0.01</v>
      </c>
      <c r="W171" s="40">
        <v>0</v>
      </c>
      <c r="X171" s="40">
        <v>1000</v>
      </c>
      <c r="Z171" s="40">
        <v>10</v>
      </c>
      <c r="AB171" s="52">
        <v>50</v>
      </c>
      <c r="AD171" s="40">
        <v>10</v>
      </c>
      <c r="AF171" s="40">
        <v>2000</v>
      </c>
      <c r="AG171" s="40">
        <v>2</v>
      </c>
      <c r="AH171" s="40">
        <v>8.5</v>
      </c>
      <c r="AI171" s="40">
        <v>16</v>
      </c>
      <c r="AJ171" s="40">
        <v>0</v>
      </c>
      <c r="AK171" s="40">
        <v>0</v>
      </c>
      <c r="AM171" s="40" t="s">
        <v>2</v>
      </c>
      <c r="AO171" s="40">
        <v>50</v>
      </c>
      <c r="AW171" s="40" t="b">
        <v>0</v>
      </c>
      <c r="BE171" s="244"/>
      <c r="BF171" s="40">
        <v>1.6</v>
      </c>
      <c r="BG171" s="40">
        <v>1</v>
      </c>
      <c r="BH171" s="40">
        <v>1</v>
      </c>
      <c r="BI171" s="40">
        <v>0.55000000000000004</v>
      </c>
      <c r="BJ171" s="40">
        <v>0</v>
      </c>
      <c r="BM171" s="33" t="s">
        <v>1</v>
      </c>
      <c r="BN171" s="58">
        <v>13</v>
      </c>
      <c r="BO171" s="35">
        <f t="shared" si="29"/>
        <v>8.25</v>
      </c>
      <c r="BP171" s="58">
        <v>250</v>
      </c>
      <c r="BT171" s="59"/>
      <c r="BU171" s="59"/>
      <c r="BV171" s="59"/>
      <c r="BW171" s="59"/>
      <c r="BX171" s="59"/>
      <c r="BY171" s="59"/>
      <c r="BZ171" s="59"/>
      <c r="CA171" s="59"/>
      <c r="CB171" s="59"/>
      <c r="CC171" s="59"/>
      <c r="CD171" s="59"/>
      <c r="CE171" s="60"/>
      <c r="CF171" s="44" t="s">
        <v>12</v>
      </c>
      <c r="CG171" s="40">
        <v>0</v>
      </c>
      <c r="CI171" s="40">
        <v>2.68</v>
      </c>
      <c r="CR171" s="40">
        <v>0</v>
      </c>
      <c r="CS171" s="67">
        <v>0</v>
      </c>
      <c r="CT171" s="67">
        <v>0</v>
      </c>
      <c r="CU171" s="40">
        <v>1</v>
      </c>
      <c r="CV171" s="67">
        <v>0</v>
      </c>
      <c r="CW171" s="67">
        <v>0</v>
      </c>
      <c r="CX171" s="67">
        <v>0</v>
      </c>
      <c r="CY171" s="67">
        <v>0</v>
      </c>
      <c r="CZ171" s="67">
        <v>0</v>
      </c>
      <c r="DA171" s="67">
        <v>0</v>
      </c>
      <c r="DB171" s="67">
        <v>0</v>
      </c>
      <c r="DD171" s="40">
        <v>2</v>
      </c>
      <c r="DI171" s="40" t="s">
        <v>0</v>
      </c>
    </row>
    <row r="172" spans="1:113" s="40" customFormat="1" ht="15.75" thickBot="1" x14ac:dyDescent="0.3">
      <c r="A172" s="40">
        <v>5833</v>
      </c>
      <c r="B172" s="40" t="s">
        <v>437</v>
      </c>
      <c r="C172" s="53" t="s">
        <v>390</v>
      </c>
      <c r="D172" s="40">
        <v>13</v>
      </c>
      <c r="E172" s="40">
        <v>0</v>
      </c>
      <c r="F172" s="40">
        <v>13</v>
      </c>
      <c r="G172" s="40">
        <v>536</v>
      </c>
      <c r="H172" s="40">
        <v>0</v>
      </c>
      <c r="I172" s="40">
        <v>25</v>
      </c>
      <c r="J172" s="54" t="s">
        <v>474</v>
      </c>
      <c r="K172" s="54" t="s">
        <v>475</v>
      </c>
      <c r="L172" s="56">
        <v>45947</v>
      </c>
      <c r="M172" s="40">
        <v>0</v>
      </c>
      <c r="N172" s="40">
        <v>0</v>
      </c>
      <c r="O172" s="40">
        <v>0</v>
      </c>
      <c r="S172" s="40" t="b">
        <v>0</v>
      </c>
      <c r="T172" s="40">
        <v>0.01</v>
      </c>
      <c r="U172" s="52">
        <v>8.25</v>
      </c>
      <c r="V172" s="40">
        <v>0.01</v>
      </c>
      <c r="W172" s="40">
        <v>0</v>
      </c>
      <c r="X172" s="40">
        <v>1000</v>
      </c>
      <c r="Z172" s="40">
        <v>10</v>
      </c>
      <c r="AB172" s="52">
        <v>50</v>
      </c>
      <c r="AD172" s="40">
        <v>10</v>
      </c>
      <c r="AF172" s="40">
        <v>2000</v>
      </c>
      <c r="AG172" s="40">
        <v>2</v>
      </c>
      <c r="AH172" s="40">
        <v>8.4700002669999996</v>
      </c>
      <c r="AI172" s="40">
        <v>16</v>
      </c>
      <c r="AJ172" s="40">
        <v>0</v>
      </c>
      <c r="AK172" s="40">
        <v>0</v>
      </c>
      <c r="AM172" s="40" t="s">
        <v>2</v>
      </c>
      <c r="AO172" s="40">
        <v>50</v>
      </c>
      <c r="AW172" s="40" t="b">
        <v>0</v>
      </c>
      <c r="BE172" s="244"/>
      <c r="BF172" s="40">
        <v>1.6</v>
      </c>
      <c r="BG172" s="40">
        <v>1</v>
      </c>
      <c r="BH172" s="40">
        <v>1</v>
      </c>
      <c r="BI172" s="40">
        <v>0.55000000000000004</v>
      </c>
      <c r="BJ172" s="40">
        <v>0</v>
      </c>
      <c r="BM172" s="33" t="s">
        <v>1</v>
      </c>
      <c r="BN172" s="58">
        <v>13</v>
      </c>
      <c r="BO172" s="35">
        <f t="shared" si="29"/>
        <v>8.25</v>
      </c>
      <c r="BP172" s="58">
        <v>250</v>
      </c>
      <c r="BT172" s="59"/>
      <c r="BU172" s="59"/>
      <c r="BV172" s="59"/>
      <c r="BW172" s="59"/>
      <c r="BX172" s="59"/>
      <c r="BY172" s="59"/>
      <c r="BZ172" s="59"/>
      <c r="CA172" s="59"/>
      <c r="CB172" s="59"/>
      <c r="CC172" s="59"/>
      <c r="CD172" s="59"/>
      <c r="CE172" s="60"/>
      <c r="CF172" s="44" t="s">
        <v>12</v>
      </c>
      <c r="CG172" s="40">
        <v>0</v>
      </c>
      <c r="CI172" s="40">
        <v>2.68</v>
      </c>
      <c r="CR172" s="40">
        <v>0</v>
      </c>
      <c r="CS172" s="67">
        <v>0</v>
      </c>
      <c r="CT172" s="67">
        <v>0</v>
      </c>
      <c r="CU172" s="40">
        <v>1</v>
      </c>
      <c r="CV172" s="67">
        <v>0</v>
      </c>
      <c r="CW172" s="67">
        <v>0</v>
      </c>
      <c r="CX172" s="67">
        <v>0</v>
      </c>
      <c r="CY172" s="67">
        <v>0</v>
      </c>
      <c r="CZ172" s="67">
        <v>0</v>
      </c>
      <c r="DA172" s="67">
        <v>0</v>
      </c>
      <c r="DB172" s="67">
        <v>0</v>
      </c>
      <c r="DD172" s="40">
        <v>2</v>
      </c>
      <c r="DI172" s="40" t="s">
        <v>0</v>
      </c>
    </row>
    <row r="173" spans="1:113" s="40" customFormat="1" ht="15.75" thickBot="1" x14ac:dyDescent="0.3">
      <c r="A173" s="40">
        <v>5834</v>
      </c>
      <c r="B173" s="40" t="s">
        <v>437</v>
      </c>
      <c r="C173" s="53" t="s">
        <v>390</v>
      </c>
      <c r="D173" s="40">
        <v>13</v>
      </c>
      <c r="E173" s="40">
        <v>0</v>
      </c>
      <c r="F173" s="40">
        <v>13</v>
      </c>
      <c r="G173" s="40">
        <v>537</v>
      </c>
      <c r="H173" s="40">
        <v>0</v>
      </c>
      <c r="I173" s="40">
        <v>25</v>
      </c>
      <c r="J173" s="54" t="s">
        <v>476</v>
      </c>
      <c r="K173" s="54" t="s">
        <v>477</v>
      </c>
      <c r="L173" s="56">
        <v>45947</v>
      </c>
      <c r="M173" s="40">
        <v>0</v>
      </c>
      <c r="N173" s="40">
        <v>0</v>
      </c>
      <c r="O173" s="40">
        <v>0</v>
      </c>
      <c r="S173" s="40" t="b">
        <v>0</v>
      </c>
      <c r="T173" s="40">
        <v>0.01</v>
      </c>
      <c r="U173" s="52">
        <v>8.25</v>
      </c>
      <c r="V173" s="40">
        <v>0.01</v>
      </c>
      <c r="W173" s="40">
        <v>0</v>
      </c>
      <c r="X173" s="40">
        <v>1000</v>
      </c>
      <c r="Z173" s="40">
        <v>10</v>
      </c>
      <c r="AB173" s="52">
        <v>50</v>
      </c>
      <c r="AD173" s="40">
        <v>10</v>
      </c>
      <c r="AF173" s="40">
        <v>2000</v>
      </c>
      <c r="AG173" s="40">
        <v>2</v>
      </c>
      <c r="AH173" s="40">
        <v>8.4700002669999996</v>
      </c>
      <c r="AI173" s="40">
        <v>16</v>
      </c>
      <c r="AJ173" s="40">
        <v>0</v>
      </c>
      <c r="AK173" s="40">
        <v>0</v>
      </c>
      <c r="AM173" s="40" t="s">
        <v>2</v>
      </c>
      <c r="AO173" s="40">
        <v>50</v>
      </c>
      <c r="AW173" s="40" t="b">
        <v>0</v>
      </c>
      <c r="BE173" s="244"/>
      <c r="BF173" s="40">
        <v>1.6</v>
      </c>
      <c r="BG173" s="40">
        <v>1</v>
      </c>
      <c r="BH173" s="40">
        <v>1</v>
      </c>
      <c r="BI173" s="40">
        <v>0.55000000000000004</v>
      </c>
      <c r="BJ173" s="40">
        <v>0</v>
      </c>
      <c r="BM173" s="33" t="s">
        <v>1</v>
      </c>
      <c r="BN173" s="58">
        <v>13</v>
      </c>
      <c r="BO173" s="35">
        <f t="shared" si="29"/>
        <v>8.25</v>
      </c>
      <c r="BP173" s="58">
        <v>250</v>
      </c>
      <c r="BT173" s="59"/>
      <c r="BU173" s="59"/>
      <c r="BV173" s="59"/>
      <c r="BW173" s="59"/>
      <c r="BX173" s="59"/>
      <c r="BY173" s="59"/>
      <c r="BZ173" s="59"/>
      <c r="CA173" s="59"/>
      <c r="CB173" s="59"/>
      <c r="CC173" s="59"/>
      <c r="CD173" s="59"/>
      <c r="CE173" s="60"/>
      <c r="CF173" s="44" t="s">
        <v>12</v>
      </c>
      <c r="CG173" s="40">
        <v>0</v>
      </c>
      <c r="CI173" s="40">
        <v>2.68</v>
      </c>
      <c r="CR173" s="40">
        <v>0</v>
      </c>
      <c r="CS173" s="67">
        <v>0</v>
      </c>
      <c r="CT173" s="67">
        <v>0</v>
      </c>
      <c r="CU173" s="40">
        <v>1</v>
      </c>
      <c r="CV173" s="67">
        <v>0</v>
      </c>
      <c r="CW173" s="67">
        <v>0</v>
      </c>
      <c r="CX173" s="67">
        <v>0</v>
      </c>
      <c r="CY173" s="67">
        <v>0</v>
      </c>
      <c r="CZ173" s="67">
        <v>0</v>
      </c>
      <c r="DA173" s="67">
        <v>0</v>
      </c>
      <c r="DB173" s="67">
        <v>0</v>
      </c>
      <c r="DD173" s="40">
        <v>2</v>
      </c>
      <c r="DI173" s="40" t="s">
        <v>0</v>
      </c>
    </row>
    <row r="174" spans="1:113" s="40" customFormat="1" ht="15.75" thickBot="1" x14ac:dyDescent="0.3">
      <c r="A174" s="40">
        <v>5835</v>
      </c>
      <c r="B174" s="40" t="s">
        <v>437</v>
      </c>
      <c r="C174" s="53" t="s">
        <v>390</v>
      </c>
      <c r="D174" s="40">
        <v>13</v>
      </c>
      <c r="E174" s="40">
        <v>0</v>
      </c>
      <c r="F174" s="40">
        <v>13</v>
      </c>
      <c r="G174" s="40">
        <v>538</v>
      </c>
      <c r="H174" s="40">
        <v>0</v>
      </c>
      <c r="I174" s="40">
        <v>26</v>
      </c>
      <c r="J174" s="54" t="s">
        <v>478</v>
      </c>
      <c r="K174" s="54" t="s">
        <v>479</v>
      </c>
      <c r="L174" s="56">
        <v>45947</v>
      </c>
      <c r="M174" s="40">
        <v>0</v>
      </c>
      <c r="N174" s="40">
        <v>0</v>
      </c>
      <c r="O174" s="40">
        <v>0</v>
      </c>
      <c r="S174" s="40" t="b">
        <v>0</v>
      </c>
      <c r="T174" s="40">
        <v>0.01</v>
      </c>
      <c r="U174" s="52">
        <v>7.9000000950000002</v>
      </c>
      <c r="V174" s="40">
        <v>0.01</v>
      </c>
      <c r="W174" s="40">
        <v>0</v>
      </c>
      <c r="X174" s="40">
        <v>1000</v>
      </c>
      <c r="Z174" s="40">
        <v>10</v>
      </c>
      <c r="AB174" s="52">
        <v>53</v>
      </c>
      <c r="AD174" s="40">
        <v>10</v>
      </c>
      <c r="AF174" s="40">
        <v>2000</v>
      </c>
      <c r="AG174" s="40">
        <v>2</v>
      </c>
      <c r="AH174" s="40">
        <v>8.0900001530000001</v>
      </c>
      <c r="AI174" s="40">
        <v>21</v>
      </c>
      <c r="AJ174" s="40">
        <v>0</v>
      </c>
      <c r="AK174" s="40">
        <v>0</v>
      </c>
      <c r="AM174" s="40" t="s">
        <v>2</v>
      </c>
      <c r="AO174" s="40">
        <v>52</v>
      </c>
      <c r="AW174" s="40" t="b">
        <v>0</v>
      </c>
      <c r="BE174" s="244"/>
      <c r="BF174" s="40">
        <v>1.6</v>
      </c>
      <c r="BG174" s="40">
        <v>1</v>
      </c>
      <c r="BH174" s="40">
        <v>1</v>
      </c>
      <c r="BI174" s="40">
        <v>0.55000000000000004</v>
      </c>
      <c r="BJ174" s="40">
        <v>0</v>
      </c>
      <c r="BM174" s="33" t="s">
        <v>1</v>
      </c>
      <c r="BN174" s="58">
        <v>13</v>
      </c>
      <c r="BO174" s="35">
        <f t="shared" si="29"/>
        <v>7.9000000950000002</v>
      </c>
      <c r="BP174" s="58">
        <v>250</v>
      </c>
      <c r="BT174" s="59"/>
      <c r="BU174" s="59"/>
      <c r="BV174" s="59"/>
      <c r="BW174" s="59"/>
      <c r="BX174" s="59"/>
      <c r="BY174" s="59"/>
      <c r="BZ174" s="59"/>
      <c r="CA174" s="59"/>
      <c r="CB174" s="59"/>
      <c r="CC174" s="59"/>
      <c r="CD174" s="59"/>
      <c r="CE174" s="60"/>
      <c r="CF174" s="44" t="s">
        <v>12</v>
      </c>
      <c r="CG174" s="40">
        <v>0</v>
      </c>
      <c r="CI174" s="40">
        <v>2.68</v>
      </c>
      <c r="CR174" s="40">
        <v>0</v>
      </c>
      <c r="CS174" s="67">
        <v>0</v>
      </c>
      <c r="CT174" s="67">
        <v>0</v>
      </c>
      <c r="CU174" s="40">
        <v>1</v>
      </c>
      <c r="CV174" s="67">
        <v>0</v>
      </c>
      <c r="CW174" s="67">
        <v>0</v>
      </c>
      <c r="CX174" s="67">
        <v>0</v>
      </c>
      <c r="CY174" s="67">
        <v>0</v>
      </c>
      <c r="CZ174" s="67">
        <v>0</v>
      </c>
      <c r="DA174" s="67">
        <v>0</v>
      </c>
      <c r="DB174" s="67">
        <v>0</v>
      </c>
      <c r="DD174" s="40">
        <v>2</v>
      </c>
      <c r="DI174" s="40" t="s">
        <v>0</v>
      </c>
    </row>
    <row r="175" spans="1:113" s="40" customFormat="1" ht="15.75" thickBot="1" x14ac:dyDescent="0.3">
      <c r="A175" s="40">
        <v>5836</v>
      </c>
      <c r="B175" s="40" t="s">
        <v>437</v>
      </c>
      <c r="C175" s="53" t="s">
        <v>390</v>
      </c>
      <c r="D175" s="40">
        <v>13</v>
      </c>
      <c r="E175" s="40">
        <v>0</v>
      </c>
      <c r="F175" s="40">
        <v>13</v>
      </c>
      <c r="G175" s="40">
        <v>539</v>
      </c>
      <c r="H175" s="40">
        <v>0</v>
      </c>
      <c r="I175" s="40">
        <v>26</v>
      </c>
      <c r="J175" s="54" t="s">
        <v>480</v>
      </c>
      <c r="K175" s="54" t="s">
        <v>481</v>
      </c>
      <c r="L175" s="56">
        <v>45947</v>
      </c>
      <c r="M175" s="40">
        <v>0</v>
      </c>
      <c r="N175" s="40">
        <v>0</v>
      </c>
      <c r="O175" s="40">
        <v>0</v>
      </c>
      <c r="S175" s="40" t="b">
        <v>0</v>
      </c>
      <c r="T175" s="40">
        <v>0.01</v>
      </c>
      <c r="U175" s="52">
        <v>7.9000000950000002</v>
      </c>
      <c r="V175" s="40">
        <v>0.01</v>
      </c>
      <c r="W175" s="40">
        <v>0</v>
      </c>
      <c r="X175" s="40">
        <v>1000</v>
      </c>
      <c r="Z175" s="40">
        <v>10</v>
      </c>
      <c r="AB175" s="52">
        <v>53</v>
      </c>
      <c r="AD175" s="40">
        <v>10</v>
      </c>
      <c r="AF175" s="40">
        <v>2000</v>
      </c>
      <c r="AG175" s="40">
        <v>2</v>
      </c>
      <c r="AH175" s="40">
        <v>8.0799999239999991</v>
      </c>
      <c r="AI175" s="40">
        <v>25</v>
      </c>
      <c r="AJ175" s="40">
        <v>0</v>
      </c>
      <c r="AK175" s="40">
        <v>0</v>
      </c>
      <c r="AM175" s="40" t="s">
        <v>2</v>
      </c>
      <c r="AO175" s="40">
        <v>52</v>
      </c>
      <c r="AW175" s="40" t="b">
        <v>0</v>
      </c>
      <c r="BE175" s="244"/>
      <c r="BF175" s="40">
        <v>1.6</v>
      </c>
      <c r="BG175" s="40">
        <v>1</v>
      </c>
      <c r="BH175" s="40">
        <v>1</v>
      </c>
      <c r="BI175" s="40">
        <v>0.55000000000000004</v>
      </c>
      <c r="BJ175" s="40">
        <v>0</v>
      </c>
      <c r="BM175" s="33" t="s">
        <v>1</v>
      </c>
      <c r="BN175" s="58">
        <v>13</v>
      </c>
      <c r="BO175" s="35">
        <f t="shared" si="29"/>
        <v>7.9000000950000002</v>
      </c>
      <c r="BP175" s="58">
        <v>250</v>
      </c>
      <c r="BT175" s="59"/>
      <c r="BU175" s="59"/>
      <c r="BV175" s="59"/>
      <c r="BW175" s="59"/>
      <c r="BX175" s="59"/>
      <c r="BY175" s="59"/>
      <c r="BZ175" s="59"/>
      <c r="CA175" s="59"/>
      <c r="CB175" s="59"/>
      <c r="CC175" s="59"/>
      <c r="CD175" s="59"/>
      <c r="CE175" s="60"/>
      <c r="CF175" s="44" t="s">
        <v>12</v>
      </c>
      <c r="CG175" s="40">
        <v>0</v>
      </c>
      <c r="CI175" s="40">
        <v>2.68</v>
      </c>
      <c r="CR175" s="40">
        <v>0</v>
      </c>
      <c r="CS175" s="67">
        <v>0</v>
      </c>
      <c r="CT175" s="67">
        <v>0</v>
      </c>
      <c r="CU175" s="40">
        <v>1</v>
      </c>
      <c r="CV175" s="67">
        <v>0</v>
      </c>
      <c r="CW175" s="67">
        <v>0</v>
      </c>
      <c r="CX175" s="67">
        <v>0</v>
      </c>
      <c r="CY175" s="67">
        <v>0</v>
      </c>
      <c r="CZ175" s="67">
        <v>0</v>
      </c>
      <c r="DA175" s="67">
        <v>0</v>
      </c>
      <c r="DB175" s="67">
        <v>0</v>
      </c>
      <c r="DD175" s="40">
        <v>2</v>
      </c>
      <c r="DI175" s="40" t="s">
        <v>0</v>
      </c>
    </row>
    <row r="176" spans="1:113" s="40" customFormat="1" ht="15.75" thickBot="1" x14ac:dyDescent="0.3">
      <c r="A176" s="40">
        <v>5837</v>
      </c>
      <c r="B176" s="40" t="s">
        <v>437</v>
      </c>
      <c r="C176" s="53" t="s">
        <v>390</v>
      </c>
      <c r="D176" s="40">
        <v>13</v>
      </c>
      <c r="E176" s="40">
        <v>0</v>
      </c>
      <c r="F176" s="40">
        <v>13</v>
      </c>
      <c r="G176" s="40">
        <v>540</v>
      </c>
      <c r="H176" s="40">
        <v>0</v>
      </c>
      <c r="I176" s="40">
        <v>26</v>
      </c>
      <c r="J176" s="54" t="s">
        <v>482</v>
      </c>
      <c r="K176" s="54" t="s">
        <v>483</v>
      </c>
      <c r="L176" s="56">
        <v>45947</v>
      </c>
      <c r="M176" s="40">
        <v>0</v>
      </c>
      <c r="N176" s="40">
        <v>0</v>
      </c>
      <c r="O176" s="40">
        <v>0</v>
      </c>
      <c r="S176" s="40" t="b">
        <v>0</v>
      </c>
      <c r="T176" s="40">
        <v>0.01</v>
      </c>
      <c r="U176" s="52">
        <v>7.9000000950000002</v>
      </c>
      <c r="V176" s="40">
        <v>0.01</v>
      </c>
      <c r="W176" s="40">
        <v>0</v>
      </c>
      <c r="X176" s="40">
        <v>1000</v>
      </c>
      <c r="Z176" s="40">
        <v>10</v>
      </c>
      <c r="AB176" s="52">
        <v>53</v>
      </c>
      <c r="AD176" s="40">
        <v>10</v>
      </c>
      <c r="AF176" s="40">
        <v>2000</v>
      </c>
      <c r="AG176" s="40">
        <v>2</v>
      </c>
      <c r="AH176" s="40">
        <v>8.0500001910000005</v>
      </c>
      <c r="AI176" s="40">
        <v>25</v>
      </c>
      <c r="AJ176" s="40">
        <v>0</v>
      </c>
      <c r="AK176" s="40">
        <v>0</v>
      </c>
      <c r="AM176" s="40" t="s">
        <v>2</v>
      </c>
      <c r="AO176" s="40">
        <v>52</v>
      </c>
      <c r="AW176" s="40" t="b">
        <v>0</v>
      </c>
      <c r="BE176" s="244"/>
      <c r="BF176" s="40">
        <v>1.6</v>
      </c>
      <c r="BG176" s="40">
        <v>1</v>
      </c>
      <c r="BH176" s="40">
        <v>1</v>
      </c>
      <c r="BI176" s="40">
        <v>0.55000000000000004</v>
      </c>
      <c r="BJ176" s="40">
        <v>0</v>
      </c>
      <c r="BM176" s="33" t="s">
        <v>1</v>
      </c>
      <c r="BN176" s="58">
        <v>13</v>
      </c>
      <c r="BO176" s="35">
        <f t="shared" si="29"/>
        <v>7.9000000950000002</v>
      </c>
      <c r="BP176" s="58">
        <v>250</v>
      </c>
      <c r="BT176" s="59"/>
      <c r="BU176" s="59"/>
      <c r="BV176" s="59"/>
      <c r="BW176" s="59"/>
      <c r="BX176" s="59"/>
      <c r="BY176" s="59"/>
      <c r="BZ176" s="59"/>
      <c r="CA176" s="59"/>
      <c r="CB176" s="59"/>
      <c r="CC176" s="59"/>
      <c r="CD176" s="59"/>
      <c r="CE176" s="60"/>
      <c r="CF176" s="44" t="s">
        <v>12</v>
      </c>
      <c r="CG176" s="40">
        <v>0</v>
      </c>
      <c r="CI176" s="40">
        <v>2.68</v>
      </c>
      <c r="CR176" s="40">
        <v>0</v>
      </c>
      <c r="CS176" s="67">
        <v>0</v>
      </c>
      <c r="CT176" s="67">
        <v>0</v>
      </c>
      <c r="CU176" s="40">
        <v>1</v>
      </c>
      <c r="CV176" s="67">
        <v>0</v>
      </c>
      <c r="CW176" s="67">
        <v>0</v>
      </c>
      <c r="CX176" s="67">
        <v>0</v>
      </c>
      <c r="CY176" s="67">
        <v>0</v>
      </c>
      <c r="CZ176" s="67">
        <v>0</v>
      </c>
      <c r="DA176" s="67">
        <v>0</v>
      </c>
      <c r="DB176" s="67">
        <v>0</v>
      </c>
      <c r="DD176" s="40">
        <v>2</v>
      </c>
      <c r="DI176" s="40" t="s">
        <v>0</v>
      </c>
    </row>
    <row r="177" spans="1:113" s="40" customFormat="1" ht="15.75" thickBot="1" x14ac:dyDescent="0.3">
      <c r="A177" s="40">
        <v>5838</v>
      </c>
      <c r="B177" s="40" t="s">
        <v>437</v>
      </c>
      <c r="C177" s="53" t="s">
        <v>390</v>
      </c>
      <c r="D177" s="40">
        <v>13</v>
      </c>
      <c r="E177" s="40">
        <v>0</v>
      </c>
      <c r="F177" s="40">
        <v>13</v>
      </c>
      <c r="G177" s="40">
        <v>541</v>
      </c>
      <c r="H177" s="40">
        <v>0</v>
      </c>
      <c r="I177" s="40">
        <v>26</v>
      </c>
      <c r="J177" s="54" t="s">
        <v>484</v>
      </c>
      <c r="K177" s="54" t="s">
        <v>485</v>
      </c>
      <c r="L177" s="56">
        <v>45947</v>
      </c>
      <c r="M177" s="40">
        <v>0</v>
      </c>
      <c r="N177" s="40">
        <v>0</v>
      </c>
      <c r="O177" s="40">
        <v>0</v>
      </c>
      <c r="S177" s="40" t="b">
        <v>0</v>
      </c>
      <c r="T177" s="40">
        <v>0.01</v>
      </c>
      <c r="U177" s="52">
        <v>7.9000000950000002</v>
      </c>
      <c r="V177" s="40">
        <v>0.01</v>
      </c>
      <c r="W177" s="40">
        <v>0</v>
      </c>
      <c r="X177" s="40">
        <v>1000</v>
      </c>
      <c r="Z177" s="40">
        <v>10</v>
      </c>
      <c r="AB177" s="52">
        <v>53</v>
      </c>
      <c r="AD177" s="40">
        <v>10</v>
      </c>
      <c r="AF177" s="40">
        <v>2000</v>
      </c>
      <c r="AG177" s="40">
        <v>2</v>
      </c>
      <c r="AH177" s="40">
        <v>8.0799999239999991</v>
      </c>
      <c r="AI177" s="40">
        <v>25</v>
      </c>
      <c r="AJ177" s="40">
        <v>0</v>
      </c>
      <c r="AK177" s="40">
        <v>0</v>
      </c>
      <c r="AM177" s="40" t="s">
        <v>2</v>
      </c>
      <c r="AO177" s="40">
        <v>52</v>
      </c>
      <c r="AW177" s="40" t="b">
        <v>0</v>
      </c>
      <c r="BE177" s="244"/>
      <c r="BF177" s="40">
        <v>1.6</v>
      </c>
      <c r="BG177" s="40">
        <v>1</v>
      </c>
      <c r="BH177" s="40">
        <v>1</v>
      </c>
      <c r="BI177" s="40">
        <v>0.55000000000000004</v>
      </c>
      <c r="BJ177" s="40">
        <v>0</v>
      </c>
      <c r="BM177" s="33" t="s">
        <v>1</v>
      </c>
      <c r="BN177" s="58">
        <v>13</v>
      </c>
      <c r="BO177" s="35">
        <f t="shared" si="29"/>
        <v>7.9000000950000002</v>
      </c>
      <c r="BP177" s="58">
        <v>250</v>
      </c>
      <c r="BT177" s="59"/>
      <c r="BU177" s="59"/>
      <c r="BV177" s="59"/>
      <c r="BW177" s="59"/>
      <c r="BX177" s="59"/>
      <c r="BY177" s="59"/>
      <c r="BZ177" s="59"/>
      <c r="CA177" s="59"/>
      <c r="CB177" s="59"/>
      <c r="CC177" s="59"/>
      <c r="CD177" s="59"/>
      <c r="CE177" s="60"/>
      <c r="CF177" s="44" t="s">
        <v>12</v>
      </c>
      <c r="CG177" s="40">
        <v>0</v>
      </c>
      <c r="CI177" s="40">
        <v>2.68</v>
      </c>
      <c r="CR177" s="40">
        <v>0</v>
      </c>
      <c r="CS177" s="67">
        <v>0</v>
      </c>
      <c r="CT177" s="67">
        <v>0</v>
      </c>
      <c r="CU177" s="40">
        <v>1</v>
      </c>
      <c r="CV177" s="67">
        <v>0</v>
      </c>
      <c r="CW177" s="67">
        <v>0</v>
      </c>
      <c r="CX177" s="67">
        <v>0</v>
      </c>
      <c r="CY177" s="67">
        <v>0</v>
      </c>
      <c r="CZ177" s="67">
        <v>0</v>
      </c>
      <c r="DA177" s="67">
        <v>0</v>
      </c>
      <c r="DB177" s="67">
        <v>0</v>
      </c>
      <c r="DD177" s="40">
        <v>2</v>
      </c>
      <c r="DI177" s="40" t="s">
        <v>0</v>
      </c>
    </row>
    <row r="178" spans="1:113" s="40" customFormat="1" ht="15.75" thickBot="1" x14ac:dyDescent="0.3">
      <c r="A178" s="40">
        <v>5896</v>
      </c>
      <c r="B178" s="40" t="s">
        <v>437</v>
      </c>
      <c r="C178" s="53" t="s">
        <v>390</v>
      </c>
      <c r="D178" s="40">
        <v>13</v>
      </c>
      <c r="E178" s="40">
        <v>0</v>
      </c>
      <c r="F178" s="40">
        <v>13</v>
      </c>
      <c r="G178" s="40">
        <v>1</v>
      </c>
      <c r="H178" s="40">
        <v>0</v>
      </c>
      <c r="I178" s="40">
        <v>25</v>
      </c>
      <c r="J178" s="54" t="s">
        <v>486</v>
      </c>
      <c r="K178" s="54" t="s">
        <v>487</v>
      </c>
      <c r="L178" s="56">
        <v>45947</v>
      </c>
      <c r="M178" s="40">
        <v>0</v>
      </c>
      <c r="N178" s="40">
        <v>0</v>
      </c>
      <c r="O178" s="40">
        <v>0</v>
      </c>
      <c r="S178" s="40" t="b">
        <v>0</v>
      </c>
      <c r="T178" s="40">
        <v>0.01</v>
      </c>
      <c r="U178" s="52">
        <v>7.5</v>
      </c>
      <c r="V178" s="40">
        <v>0.01</v>
      </c>
      <c r="W178" s="40">
        <v>0</v>
      </c>
      <c r="X178" s="40">
        <v>1000</v>
      </c>
      <c r="Z178" s="40">
        <v>10</v>
      </c>
      <c r="AB178" s="52">
        <v>50</v>
      </c>
      <c r="AD178" s="40">
        <v>10</v>
      </c>
      <c r="AF178" s="40">
        <v>2000</v>
      </c>
      <c r="AG178" s="40">
        <v>2</v>
      </c>
      <c r="AH178" s="40">
        <v>7.6199998860000004</v>
      </c>
      <c r="AI178" s="40">
        <v>25</v>
      </c>
      <c r="AJ178" s="40">
        <v>0</v>
      </c>
      <c r="AK178" s="40">
        <v>0</v>
      </c>
      <c r="AM178" s="40" t="s">
        <v>2</v>
      </c>
      <c r="AO178" s="40">
        <v>50</v>
      </c>
      <c r="AW178" s="40" t="b">
        <v>0</v>
      </c>
      <c r="BE178" s="244"/>
      <c r="BF178" s="40">
        <v>1.6</v>
      </c>
      <c r="BG178" s="40">
        <v>1</v>
      </c>
      <c r="BH178" s="40">
        <v>1</v>
      </c>
      <c r="BI178" s="40">
        <v>0.55000000000000004</v>
      </c>
      <c r="BJ178" s="40">
        <v>0</v>
      </c>
      <c r="BM178" s="33" t="s">
        <v>1</v>
      </c>
      <c r="BN178" s="58">
        <v>13</v>
      </c>
      <c r="BO178" s="35">
        <f t="shared" si="29"/>
        <v>7.5</v>
      </c>
      <c r="BP178" s="58">
        <v>250</v>
      </c>
      <c r="BT178" s="59"/>
      <c r="BU178" s="59"/>
      <c r="BV178" s="59"/>
      <c r="BW178" s="59"/>
      <c r="BX178" s="59"/>
      <c r="BY178" s="59"/>
      <c r="BZ178" s="59"/>
      <c r="CA178" s="59"/>
      <c r="CB178" s="59"/>
      <c r="CC178" s="59"/>
      <c r="CD178" s="59"/>
      <c r="CE178" s="60"/>
      <c r="CF178" s="44" t="s">
        <v>12</v>
      </c>
      <c r="CG178" s="40">
        <v>0</v>
      </c>
      <c r="CI178" s="40">
        <v>2.68</v>
      </c>
      <c r="CR178" s="40">
        <v>0</v>
      </c>
      <c r="CS178" s="67">
        <v>0</v>
      </c>
      <c r="CT178" s="67">
        <v>0</v>
      </c>
      <c r="CU178" s="40">
        <v>1</v>
      </c>
      <c r="CV178" s="67">
        <v>0</v>
      </c>
      <c r="CW178" s="67">
        <v>0</v>
      </c>
      <c r="CX178" s="67">
        <v>0</v>
      </c>
      <c r="CY178" s="67">
        <v>0</v>
      </c>
      <c r="CZ178" s="67">
        <v>0</v>
      </c>
      <c r="DA178" s="67">
        <v>0</v>
      </c>
      <c r="DB178" s="67">
        <v>0</v>
      </c>
      <c r="DD178" s="40">
        <v>2</v>
      </c>
      <c r="DI178" s="40" t="s">
        <v>0</v>
      </c>
    </row>
    <row r="179" spans="1:113" s="40" customFormat="1" ht="15.75" thickBot="1" x14ac:dyDescent="0.3">
      <c r="A179" s="40">
        <v>5897</v>
      </c>
      <c r="B179" s="40" t="s">
        <v>437</v>
      </c>
      <c r="C179" s="53" t="s">
        <v>390</v>
      </c>
      <c r="D179" s="40">
        <v>13</v>
      </c>
      <c r="E179" s="40">
        <v>0</v>
      </c>
      <c r="F179" s="40">
        <v>13</v>
      </c>
      <c r="G179" s="40">
        <v>2</v>
      </c>
      <c r="H179" s="40">
        <v>0</v>
      </c>
      <c r="I179" s="40">
        <v>25</v>
      </c>
      <c r="J179" s="54" t="s">
        <v>488</v>
      </c>
      <c r="K179" s="54" t="s">
        <v>489</v>
      </c>
      <c r="L179" s="56">
        <v>45947</v>
      </c>
      <c r="M179" s="40">
        <v>0</v>
      </c>
      <c r="N179" s="40">
        <v>0</v>
      </c>
      <c r="O179" s="40">
        <v>0</v>
      </c>
      <c r="S179" s="40" t="b">
        <v>0</v>
      </c>
      <c r="T179" s="40">
        <v>0.01</v>
      </c>
      <c r="U179" s="52">
        <v>7.5</v>
      </c>
      <c r="V179" s="40">
        <v>0.01</v>
      </c>
      <c r="W179" s="40">
        <v>0</v>
      </c>
      <c r="X179" s="40">
        <v>1000</v>
      </c>
      <c r="Z179" s="40">
        <v>10</v>
      </c>
      <c r="AB179" s="52">
        <v>50</v>
      </c>
      <c r="AD179" s="40">
        <v>10</v>
      </c>
      <c r="AF179" s="40">
        <v>2000</v>
      </c>
      <c r="AG179" s="40">
        <v>2</v>
      </c>
      <c r="AH179" s="40">
        <v>7.6199998860000004</v>
      </c>
      <c r="AI179" s="40">
        <v>25</v>
      </c>
      <c r="AJ179" s="40">
        <v>0</v>
      </c>
      <c r="AK179" s="40">
        <v>0</v>
      </c>
      <c r="AM179" s="40" t="s">
        <v>2</v>
      </c>
      <c r="AO179" s="40">
        <v>50</v>
      </c>
      <c r="AW179" s="40" t="b">
        <v>0</v>
      </c>
      <c r="BE179" s="244"/>
      <c r="BF179" s="40">
        <v>1.6</v>
      </c>
      <c r="BG179" s="40">
        <v>1</v>
      </c>
      <c r="BH179" s="40">
        <v>1</v>
      </c>
      <c r="BI179" s="40">
        <v>0.55000000000000004</v>
      </c>
      <c r="BJ179" s="40">
        <v>0</v>
      </c>
      <c r="BM179" s="33" t="s">
        <v>1</v>
      </c>
      <c r="BN179" s="58">
        <v>13</v>
      </c>
      <c r="BO179" s="35">
        <f t="shared" si="29"/>
        <v>7.5</v>
      </c>
      <c r="BP179" s="58">
        <v>250</v>
      </c>
      <c r="BT179" s="59"/>
      <c r="BU179" s="59"/>
      <c r="BV179" s="59"/>
      <c r="BW179" s="59"/>
      <c r="BX179" s="59"/>
      <c r="BY179" s="59"/>
      <c r="BZ179" s="59"/>
      <c r="CA179" s="59"/>
      <c r="CB179" s="59"/>
      <c r="CC179" s="59"/>
      <c r="CD179" s="59"/>
      <c r="CE179" s="60"/>
      <c r="CF179" s="44" t="s">
        <v>12</v>
      </c>
      <c r="CG179" s="40">
        <v>0</v>
      </c>
      <c r="CI179" s="40">
        <v>2.68</v>
      </c>
      <c r="CR179" s="40">
        <v>0</v>
      </c>
      <c r="CS179" s="67">
        <v>0</v>
      </c>
      <c r="CT179" s="67">
        <v>0</v>
      </c>
      <c r="CU179" s="40">
        <v>1</v>
      </c>
      <c r="CV179" s="67">
        <v>0</v>
      </c>
      <c r="CW179" s="67">
        <v>0</v>
      </c>
      <c r="CX179" s="67">
        <v>0</v>
      </c>
      <c r="CY179" s="67">
        <v>0</v>
      </c>
      <c r="CZ179" s="67">
        <v>0</v>
      </c>
      <c r="DA179" s="67">
        <v>0</v>
      </c>
      <c r="DB179" s="67">
        <v>0</v>
      </c>
      <c r="DD179" s="40">
        <v>2</v>
      </c>
      <c r="DI179" s="40" t="s">
        <v>0</v>
      </c>
    </row>
    <row r="180" spans="1:113" s="40" customFormat="1" ht="15.75" thickBot="1" x14ac:dyDescent="0.3">
      <c r="A180" s="40">
        <v>5898</v>
      </c>
      <c r="B180" s="40" t="s">
        <v>437</v>
      </c>
      <c r="C180" s="53" t="s">
        <v>390</v>
      </c>
      <c r="D180" s="40">
        <v>13</v>
      </c>
      <c r="E180" s="40">
        <v>0</v>
      </c>
      <c r="F180" s="40">
        <v>13</v>
      </c>
      <c r="G180" s="40">
        <v>3</v>
      </c>
      <c r="H180" s="40">
        <v>0</v>
      </c>
      <c r="I180" s="40">
        <v>25</v>
      </c>
      <c r="J180" s="54" t="s">
        <v>490</v>
      </c>
      <c r="K180" s="54" t="s">
        <v>491</v>
      </c>
      <c r="L180" s="56">
        <v>45947</v>
      </c>
      <c r="M180" s="40">
        <v>0</v>
      </c>
      <c r="N180" s="40">
        <v>0</v>
      </c>
      <c r="O180" s="40">
        <v>0</v>
      </c>
      <c r="S180" s="40" t="b">
        <v>0</v>
      </c>
      <c r="T180" s="40">
        <v>0.01</v>
      </c>
      <c r="U180" s="52">
        <v>7.5</v>
      </c>
      <c r="V180" s="40">
        <v>0.01</v>
      </c>
      <c r="W180" s="40">
        <v>0</v>
      </c>
      <c r="X180" s="40">
        <v>1000</v>
      </c>
      <c r="Z180" s="40">
        <v>10</v>
      </c>
      <c r="AB180" s="52">
        <v>50</v>
      </c>
      <c r="AD180" s="40">
        <v>10</v>
      </c>
      <c r="AF180" s="40">
        <v>2000</v>
      </c>
      <c r="AG180" s="40">
        <v>2</v>
      </c>
      <c r="AH180" s="40">
        <v>7.6100001339999999</v>
      </c>
      <c r="AI180" s="40">
        <v>25</v>
      </c>
      <c r="AJ180" s="40">
        <v>0</v>
      </c>
      <c r="AK180" s="40">
        <v>0</v>
      </c>
      <c r="AM180" s="40" t="s">
        <v>2</v>
      </c>
      <c r="AO180" s="40">
        <v>50</v>
      </c>
      <c r="AW180" s="40" t="b">
        <v>0</v>
      </c>
      <c r="BE180" s="244"/>
      <c r="BF180" s="40">
        <v>1.6</v>
      </c>
      <c r="BG180" s="40">
        <v>1</v>
      </c>
      <c r="BH180" s="40">
        <v>1</v>
      </c>
      <c r="BI180" s="40">
        <v>0.55000000000000004</v>
      </c>
      <c r="BJ180" s="40">
        <v>0</v>
      </c>
      <c r="BM180" s="33" t="s">
        <v>1</v>
      </c>
      <c r="BN180" s="58">
        <v>13</v>
      </c>
      <c r="BO180" s="35">
        <f t="shared" si="29"/>
        <v>7.5</v>
      </c>
      <c r="BP180" s="58">
        <v>250</v>
      </c>
      <c r="BT180" s="59"/>
      <c r="BU180" s="59"/>
      <c r="BV180" s="59"/>
      <c r="BW180" s="59"/>
      <c r="BX180" s="59"/>
      <c r="BY180" s="59"/>
      <c r="BZ180" s="59"/>
      <c r="CA180" s="59"/>
      <c r="CB180" s="59"/>
      <c r="CC180" s="59"/>
      <c r="CD180" s="59"/>
      <c r="CE180" s="60"/>
      <c r="CF180" s="44" t="s">
        <v>12</v>
      </c>
      <c r="CG180" s="40">
        <v>0</v>
      </c>
      <c r="CI180" s="40">
        <v>2.68</v>
      </c>
      <c r="CR180" s="40">
        <v>0</v>
      </c>
      <c r="CS180" s="67">
        <v>0</v>
      </c>
      <c r="CT180" s="67">
        <v>0</v>
      </c>
      <c r="CU180" s="40">
        <v>1</v>
      </c>
      <c r="CV180" s="67">
        <v>0</v>
      </c>
      <c r="CW180" s="67">
        <v>0</v>
      </c>
      <c r="CX180" s="67">
        <v>0</v>
      </c>
      <c r="CY180" s="67">
        <v>0</v>
      </c>
      <c r="CZ180" s="67">
        <v>0</v>
      </c>
      <c r="DA180" s="67">
        <v>0</v>
      </c>
      <c r="DB180" s="67">
        <v>0</v>
      </c>
      <c r="DD180" s="40">
        <v>2</v>
      </c>
      <c r="DI180" s="40" t="s">
        <v>0</v>
      </c>
    </row>
    <row r="181" spans="1:113" s="40" customFormat="1" ht="15.75" thickBot="1" x14ac:dyDescent="0.3">
      <c r="A181" s="40">
        <v>5899</v>
      </c>
      <c r="B181" s="40" t="s">
        <v>437</v>
      </c>
      <c r="C181" s="53" t="s">
        <v>390</v>
      </c>
      <c r="D181" s="40">
        <v>13</v>
      </c>
      <c r="E181" s="40">
        <v>0</v>
      </c>
      <c r="F181" s="40">
        <v>13</v>
      </c>
      <c r="G181" s="40">
        <v>4</v>
      </c>
      <c r="H181" s="40">
        <v>0</v>
      </c>
      <c r="I181" s="40">
        <v>25</v>
      </c>
      <c r="J181" s="54" t="s">
        <v>492</v>
      </c>
      <c r="K181" s="54" t="s">
        <v>493</v>
      </c>
      <c r="L181" s="56">
        <v>45947</v>
      </c>
      <c r="M181" s="40">
        <v>0</v>
      </c>
      <c r="N181" s="40">
        <v>0</v>
      </c>
      <c r="O181" s="40">
        <v>0</v>
      </c>
      <c r="S181" s="40" t="b">
        <v>0</v>
      </c>
      <c r="T181" s="40">
        <v>0.01</v>
      </c>
      <c r="U181" s="52">
        <v>7.5</v>
      </c>
      <c r="V181" s="40">
        <v>0.01</v>
      </c>
      <c r="W181" s="40">
        <v>0</v>
      </c>
      <c r="X181" s="40">
        <v>1000</v>
      </c>
      <c r="Z181" s="40">
        <v>10</v>
      </c>
      <c r="AB181" s="52">
        <v>50</v>
      </c>
      <c r="AD181" s="40">
        <v>10</v>
      </c>
      <c r="AF181" s="40">
        <v>2000</v>
      </c>
      <c r="AG181" s="40">
        <v>2</v>
      </c>
      <c r="AH181" s="40">
        <v>7.6399998660000001</v>
      </c>
      <c r="AI181" s="40">
        <v>25</v>
      </c>
      <c r="AJ181" s="40">
        <v>0</v>
      </c>
      <c r="AK181" s="40">
        <v>0</v>
      </c>
      <c r="AM181" s="40" t="s">
        <v>2</v>
      </c>
      <c r="AO181" s="40">
        <v>50</v>
      </c>
      <c r="AW181" s="40" t="b">
        <v>0</v>
      </c>
      <c r="BE181" s="244"/>
      <c r="BF181" s="40">
        <v>1.6</v>
      </c>
      <c r="BG181" s="40">
        <v>1</v>
      </c>
      <c r="BH181" s="40">
        <v>1</v>
      </c>
      <c r="BI181" s="40">
        <v>0.55000000000000004</v>
      </c>
      <c r="BJ181" s="40">
        <v>0</v>
      </c>
      <c r="BM181" s="33" t="s">
        <v>1</v>
      </c>
      <c r="BN181" s="58">
        <v>13</v>
      </c>
      <c r="BO181" s="35">
        <f t="shared" si="29"/>
        <v>7.5</v>
      </c>
      <c r="BP181" s="58">
        <v>250</v>
      </c>
      <c r="BT181" s="59"/>
      <c r="BU181" s="59"/>
      <c r="BV181" s="59"/>
      <c r="BW181" s="59"/>
      <c r="BX181" s="59"/>
      <c r="BY181" s="59"/>
      <c r="BZ181" s="59"/>
      <c r="CA181" s="59"/>
      <c r="CB181" s="59"/>
      <c r="CC181" s="59"/>
      <c r="CD181" s="59"/>
      <c r="CE181" s="60"/>
      <c r="CF181" s="44" t="s">
        <v>12</v>
      </c>
      <c r="CG181" s="40">
        <v>0</v>
      </c>
      <c r="CI181" s="40">
        <v>2.68</v>
      </c>
      <c r="CR181" s="40">
        <v>0</v>
      </c>
      <c r="CS181" s="67">
        <v>0</v>
      </c>
      <c r="CT181" s="67">
        <v>0</v>
      </c>
      <c r="CU181" s="40">
        <v>1</v>
      </c>
      <c r="CV181" s="67">
        <v>0</v>
      </c>
      <c r="CW181" s="67">
        <v>0</v>
      </c>
      <c r="CX181" s="67">
        <v>0</v>
      </c>
      <c r="CY181" s="67">
        <v>0</v>
      </c>
      <c r="CZ181" s="67">
        <v>0</v>
      </c>
      <c r="DA181" s="67">
        <v>0</v>
      </c>
      <c r="DB181" s="67">
        <v>0</v>
      </c>
      <c r="DD181" s="40">
        <v>2</v>
      </c>
      <c r="DI181" s="40" t="s">
        <v>0</v>
      </c>
    </row>
    <row r="182" spans="1:113" s="40" customFormat="1" ht="15.75" thickBot="1" x14ac:dyDescent="0.3">
      <c r="A182" s="40">
        <v>5900</v>
      </c>
      <c r="B182" s="40" t="s">
        <v>437</v>
      </c>
      <c r="C182" s="53" t="s">
        <v>390</v>
      </c>
      <c r="D182" s="40">
        <v>13</v>
      </c>
      <c r="E182" s="40">
        <v>0</v>
      </c>
      <c r="F182" s="40">
        <v>13</v>
      </c>
      <c r="G182" s="40">
        <v>5</v>
      </c>
      <c r="H182" s="40">
        <v>0</v>
      </c>
      <c r="I182" s="40">
        <v>25</v>
      </c>
      <c r="J182" s="54" t="s">
        <v>494</v>
      </c>
      <c r="K182" s="54" t="s">
        <v>495</v>
      </c>
      <c r="L182" s="56">
        <v>45947</v>
      </c>
      <c r="M182" s="40">
        <v>0</v>
      </c>
      <c r="N182" s="40">
        <v>0</v>
      </c>
      <c r="O182" s="40">
        <v>0</v>
      </c>
      <c r="S182" s="40" t="b">
        <v>0</v>
      </c>
      <c r="T182" s="40">
        <v>0.01</v>
      </c>
      <c r="U182" s="52">
        <v>8.25</v>
      </c>
      <c r="V182" s="40">
        <v>0.01</v>
      </c>
      <c r="W182" s="40">
        <v>0</v>
      </c>
      <c r="X182" s="40">
        <v>1000</v>
      </c>
      <c r="Z182" s="40">
        <v>10</v>
      </c>
      <c r="AB182" s="52">
        <v>50</v>
      </c>
      <c r="AD182" s="40">
        <v>10</v>
      </c>
      <c r="AF182" s="40">
        <v>2000</v>
      </c>
      <c r="AG182" s="40">
        <v>2</v>
      </c>
      <c r="AH182" s="40">
        <v>8.5500001910000005</v>
      </c>
      <c r="AI182" s="40">
        <v>16</v>
      </c>
      <c r="AJ182" s="40">
        <v>0</v>
      </c>
      <c r="AK182" s="40">
        <v>0</v>
      </c>
      <c r="AM182" s="40" t="s">
        <v>2</v>
      </c>
      <c r="AO182" s="40">
        <v>50</v>
      </c>
      <c r="AW182" s="40" t="b">
        <v>0</v>
      </c>
      <c r="BE182" s="244"/>
      <c r="BF182" s="40">
        <v>1.6</v>
      </c>
      <c r="BG182" s="40">
        <v>1</v>
      </c>
      <c r="BH182" s="40">
        <v>1</v>
      </c>
      <c r="BI182" s="40">
        <v>0.55000000000000004</v>
      </c>
      <c r="BJ182" s="40">
        <v>0</v>
      </c>
      <c r="BM182" s="33" t="s">
        <v>1</v>
      </c>
      <c r="BN182" s="58">
        <v>13</v>
      </c>
      <c r="BO182" s="35">
        <f t="shared" si="29"/>
        <v>8.25</v>
      </c>
      <c r="BP182" s="58">
        <v>250</v>
      </c>
      <c r="BT182" s="59"/>
      <c r="BU182" s="59"/>
      <c r="BV182" s="59"/>
      <c r="BW182" s="59"/>
      <c r="BX182" s="59"/>
      <c r="BY182" s="59"/>
      <c r="BZ182" s="59"/>
      <c r="CA182" s="59"/>
      <c r="CB182" s="59"/>
      <c r="CC182" s="59"/>
      <c r="CD182" s="59"/>
      <c r="CE182" s="60"/>
      <c r="CF182" s="44" t="s">
        <v>12</v>
      </c>
      <c r="CG182" s="40">
        <v>0</v>
      </c>
      <c r="CI182" s="40">
        <v>2.68</v>
      </c>
      <c r="CR182" s="40">
        <v>0</v>
      </c>
      <c r="CS182" s="67">
        <v>0</v>
      </c>
      <c r="CT182" s="67">
        <v>0</v>
      </c>
      <c r="CU182" s="40">
        <v>1</v>
      </c>
      <c r="CV182" s="67">
        <v>0</v>
      </c>
      <c r="CW182" s="67">
        <v>0</v>
      </c>
      <c r="CX182" s="67">
        <v>0</v>
      </c>
      <c r="CY182" s="67">
        <v>0</v>
      </c>
      <c r="CZ182" s="67">
        <v>0</v>
      </c>
      <c r="DA182" s="67">
        <v>0</v>
      </c>
      <c r="DB182" s="67">
        <v>0</v>
      </c>
      <c r="DD182" s="40">
        <v>2</v>
      </c>
      <c r="DI182" s="40" t="s">
        <v>0</v>
      </c>
    </row>
    <row r="183" spans="1:113" s="40" customFormat="1" ht="15.75" thickBot="1" x14ac:dyDescent="0.3">
      <c r="A183" s="40">
        <v>5901</v>
      </c>
      <c r="B183" s="40" t="s">
        <v>437</v>
      </c>
      <c r="C183" s="53" t="s">
        <v>390</v>
      </c>
      <c r="D183" s="40">
        <v>13</v>
      </c>
      <c r="E183" s="40">
        <v>0</v>
      </c>
      <c r="F183" s="40">
        <v>13</v>
      </c>
      <c r="G183" s="40">
        <v>6</v>
      </c>
      <c r="H183" s="40">
        <v>0</v>
      </c>
      <c r="I183" s="40">
        <v>25</v>
      </c>
      <c r="J183" s="54" t="s">
        <v>496</v>
      </c>
      <c r="K183" s="54" t="s">
        <v>497</v>
      </c>
      <c r="L183" s="56">
        <v>45947</v>
      </c>
      <c r="M183" s="40">
        <v>0</v>
      </c>
      <c r="N183" s="40">
        <v>0</v>
      </c>
      <c r="O183" s="40">
        <v>0</v>
      </c>
      <c r="S183" s="40" t="b">
        <v>0</v>
      </c>
      <c r="T183" s="40">
        <v>0.01</v>
      </c>
      <c r="U183" s="52">
        <v>8.25</v>
      </c>
      <c r="V183" s="40">
        <v>0.01</v>
      </c>
      <c r="W183" s="40">
        <v>0</v>
      </c>
      <c r="X183" s="40">
        <v>1000</v>
      </c>
      <c r="Z183" s="40">
        <v>10</v>
      </c>
      <c r="AB183" s="52">
        <v>50</v>
      </c>
      <c r="AD183" s="40">
        <v>10</v>
      </c>
      <c r="AF183" s="40">
        <v>2000</v>
      </c>
      <c r="AG183" s="40">
        <v>2</v>
      </c>
      <c r="AH183" s="40">
        <v>8.4399995800000003</v>
      </c>
      <c r="AI183" s="40">
        <v>16</v>
      </c>
      <c r="AJ183" s="40">
        <v>0</v>
      </c>
      <c r="AK183" s="40">
        <v>0</v>
      </c>
      <c r="AM183" s="40" t="s">
        <v>2</v>
      </c>
      <c r="AO183" s="40">
        <v>50</v>
      </c>
      <c r="AW183" s="40" t="b">
        <v>0</v>
      </c>
      <c r="BE183" s="244"/>
      <c r="BF183" s="40">
        <v>1.6</v>
      </c>
      <c r="BG183" s="40">
        <v>1</v>
      </c>
      <c r="BH183" s="40">
        <v>1</v>
      </c>
      <c r="BI183" s="40">
        <v>0.55000000000000004</v>
      </c>
      <c r="BJ183" s="40">
        <v>0</v>
      </c>
      <c r="BM183" s="33" t="s">
        <v>1</v>
      </c>
      <c r="BN183" s="58">
        <v>13</v>
      </c>
      <c r="BO183" s="35">
        <f t="shared" si="29"/>
        <v>8.25</v>
      </c>
      <c r="BP183" s="58">
        <v>250</v>
      </c>
      <c r="BT183" s="59"/>
      <c r="BU183" s="59"/>
      <c r="BV183" s="59"/>
      <c r="BW183" s="59"/>
      <c r="BX183" s="59"/>
      <c r="BY183" s="59"/>
      <c r="BZ183" s="59"/>
      <c r="CA183" s="59"/>
      <c r="CB183" s="59"/>
      <c r="CC183" s="59"/>
      <c r="CD183" s="59"/>
      <c r="CE183" s="60"/>
      <c r="CF183" s="44" t="s">
        <v>12</v>
      </c>
      <c r="CG183" s="40">
        <v>0</v>
      </c>
      <c r="CI183" s="40">
        <v>2.68</v>
      </c>
      <c r="CR183" s="40">
        <v>0</v>
      </c>
      <c r="CS183" s="67">
        <v>0</v>
      </c>
      <c r="CT183" s="67">
        <v>0</v>
      </c>
      <c r="CU183" s="40">
        <v>1</v>
      </c>
      <c r="CV183" s="67">
        <v>0</v>
      </c>
      <c r="CW183" s="67">
        <v>0</v>
      </c>
      <c r="CX183" s="67">
        <v>0</v>
      </c>
      <c r="CY183" s="67">
        <v>0</v>
      </c>
      <c r="CZ183" s="67">
        <v>0</v>
      </c>
      <c r="DA183" s="67">
        <v>0</v>
      </c>
      <c r="DB183" s="67">
        <v>0</v>
      </c>
      <c r="DD183" s="40">
        <v>2</v>
      </c>
      <c r="DI183" s="40" t="s">
        <v>0</v>
      </c>
    </row>
    <row r="184" spans="1:113" s="40" customFormat="1" ht="15.75" thickBot="1" x14ac:dyDescent="0.3">
      <c r="A184" s="40">
        <v>5902</v>
      </c>
      <c r="B184" s="40" t="s">
        <v>437</v>
      </c>
      <c r="C184" s="53" t="s">
        <v>390</v>
      </c>
      <c r="D184" s="40">
        <v>13</v>
      </c>
      <c r="E184" s="40">
        <v>0</v>
      </c>
      <c r="F184" s="40">
        <v>13</v>
      </c>
      <c r="G184" s="40">
        <v>7</v>
      </c>
      <c r="H184" s="40">
        <v>0</v>
      </c>
      <c r="I184" s="40">
        <v>25</v>
      </c>
      <c r="J184" s="54" t="s">
        <v>498</v>
      </c>
      <c r="K184" s="54" t="s">
        <v>499</v>
      </c>
      <c r="L184" s="56">
        <v>45947</v>
      </c>
      <c r="M184" s="40">
        <v>0</v>
      </c>
      <c r="N184" s="40">
        <v>0</v>
      </c>
      <c r="O184" s="40">
        <v>0</v>
      </c>
      <c r="S184" s="40" t="b">
        <v>0</v>
      </c>
      <c r="T184" s="40">
        <v>0.01</v>
      </c>
      <c r="U184" s="52">
        <v>8.25</v>
      </c>
      <c r="V184" s="40">
        <v>0.01</v>
      </c>
      <c r="W184" s="40">
        <v>0</v>
      </c>
      <c r="X184" s="40">
        <v>1000</v>
      </c>
      <c r="Z184" s="40">
        <v>10</v>
      </c>
      <c r="AB184" s="52">
        <v>50</v>
      </c>
      <c r="AD184" s="40">
        <v>10</v>
      </c>
      <c r="AF184" s="40">
        <v>2000</v>
      </c>
      <c r="AG184" s="40">
        <v>2</v>
      </c>
      <c r="AH184" s="40">
        <v>8.4600000380000004</v>
      </c>
      <c r="AI184" s="40">
        <v>16</v>
      </c>
      <c r="AJ184" s="40">
        <v>0</v>
      </c>
      <c r="AK184" s="40">
        <v>0</v>
      </c>
      <c r="AM184" s="40" t="s">
        <v>2</v>
      </c>
      <c r="AO184" s="40">
        <v>50</v>
      </c>
      <c r="AW184" s="40" t="b">
        <v>0</v>
      </c>
      <c r="BE184" s="244"/>
      <c r="BF184" s="40">
        <v>1.6</v>
      </c>
      <c r="BG184" s="40">
        <v>1</v>
      </c>
      <c r="BH184" s="40">
        <v>1</v>
      </c>
      <c r="BI184" s="40">
        <v>0.55000000000000004</v>
      </c>
      <c r="BJ184" s="40">
        <v>0</v>
      </c>
      <c r="BM184" s="33" t="s">
        <v>1</v>
      </c>
      <c r="BN184" s="58">
        <v>13</v>
      </c>
      <c r="BO184" s="35">
        <f t="shared" si="29"/>
        <v>8.25</v>
      </c>
      <c r="BP184" s="58">
        <v>250</v>
      </c>
      <c r="BT184" s="59"/>
      <c r="BU184" s="59"/>
      <c r="BV184" s="59"/>
      <c r="BW184" s="59"/>
      <c r="BX184" s="59"/>
      <c r="BY184" s="59"/>
      <c r="BZ184" s="59"/>
      <c r="CA184" s="59"/>
      <c r="CB184" s="59"/>
      <c r="CC184" s="59"/>
      <c r="CD184" s="59"/>
      <c r="CE184" s="60"/>
      <c r="CF184" s="44" t="s">
        <v>12</v>
      </c>
      <c r="CG184" s="40">
        <v>0</v>
      </c>
      <c r="CI184" s="40">
        <v>2.68</v>
      </c>
      <c r="CR184" s="40">
        <v>0</v>
      </c>
      <c r="CS184" s="67">
        <v>0</v>
      </c>
      <c r="CT184" s="67">
        <v>0</v>
      </c>
      <c r="CU184" s="40">
        <v>1</v>
      </c>
      <c r="CV184" s="67">
        <v>0</v>
      </c>
      <c r="CW184" s="67">
        <v>0</v>
      </c>
      <c r="CX184" s="67">
        <v>0</v>
      </c>
      <c r="CY184" s="67">
        <v>0</v>
      </c>
      <c r="CZ184" s="67">
        <v>0</v>
      </c>
      <c r="DA184" s="67">
        <v>0</v>
      </c>
      <c r="DB184" s="67">
        <v>0</v>
      </c>
      <c r="DD184" s="40">
        <v>2</v>
      </c>
      <c r="DI184" s="40" t="s">
        <v>0</v>
      </c>
    </row>
    <row r="185" spans="1:113" s="40" customFormat="1" ht="15.75" thickBot="1" x14ac:dyDescent="0.3">
      <c r="A185" s="40">
        <v>5903</v>
      </c>
      <c r="B185" s="40" t="s">
        <v>437</v>
      </c>
      <c r="C185" s="53" t="s">
        <v>390</v>
      </c>
      <c r="D185" s="40">
        <v>13</v>
      </c>
      <c r="E185" s="40">
        <v>0</v>
      </c>
      <c r="F185" s="40">
        <v>13</v>
      </c>
      <c r="G185" s="40">
        <v>8</v>
      </c>
      <c r="H185" s="40">
        <v>0</v>
      </c>
      <c r="I185" s="40">
        <v>25</v>
      </c>
      <c r="J185" s="54" t="s">
        <v>500</v>
      </c>
      <c r="K185" s="54" t="s">
        <v>501</v>
      </c>
      <c r="L185" s="56">
        <v>45947</v>
      </c>
      <c r="M185" s="40">
        <v>0</v>
      </c>
      <c r="N185" s="40">
        <v>0</v>
      </c>
      <c r="O185" s="40">
        <v>0</v>
      </c>
      <c r="S185" s="40" t="b">
        <v>0</v>
      </c>
      <c r="T185" s="40">
        <v>0.01</v>
      </c>
      <c r="U185" s="52">
        <v>8.25</v>
      </c>
      <c r="V185" s="40">
        <v>0.01</v>
      </c>
      <c r="W185" s="40">
        <v>0</v>
      </c>
      <c r="X185" s="40">
        <v>1000</v>
      </c>
      <c r="Z185" s="40">
        <v>10</v>
      </c>
      <c r="AB185" s="52">
        <v>50</v>
      </c>
      <c r="AD185" s="40">
        <v>10</v>
      </c>
      <c r="AF185" s="40">
        <v>2000</v>
      </c>
      <c r="AG185" s="40">
        <v>2</v>
      </c>
      <c r="AH185" s="40">
        <v>8.4600000380000004</v>
      </c>
      <c r="AI185" s="40">
        <v>16</v>
      </c>
      <c r="AJ185" s="40">
        <v>0</v>
      </c>
      <c r="AK185" s="40">
        <v>0</v>
      </c>
      <c r="AM185" s="40" t="s">
        <v>2</v>
      </c>
      <c r="AO185" s="40">
        <v>50</v>
      </c>
      <c r="AW185" s="40" t="b">
        <v>0</v>
      </c>
      <c r="BE185" s="244"/>
      <c r="BF185" s="40">
        <v>1.6</v>
      </c>
      <c r="BG185" s="40">
        <v>1</v>
      </c>
      <c r="BH185" s="40">
        <v>1</v>
      </c>
      <c r="BI185" s="40">
        <v>0.55000000000000004</v>
      </c>
      <c r="BJ185" s="40">
        <v>0</v>
      </c>
      <c r="BM185" s="33" t="s">
        <v>1</v>
      </c>
      <c r="BN185" s="58">
        <v>13</v>
      </c>
      <c r="BO185" s="35">
        <f t="shared" si="29"/>
        <v>8.25</v>
      </c>
      <c r="BP185" s="58">
        <v>250</v>
      </c>
      <c r="BT185" s="59"/>
      <c r="BU185" s="59"/>
      <c r="BV185" s="59"/>
      <c r="BW185" s="59"/>
      <c r="BX185" s="59"/>
      <c r="BY185" s="59"/>
      <c r="BZ185" s="59"/>
      <c r="CA185" s="59"/>
      <c r="CB185" s="59"/>
      <c r="CC185" s="59"/>
      <c r="CD185" s="59"/>
      <c r="CE185" s="60"/>
      <c r="CF185" s="44" t="s">
        <v>12</v>
      </c>
      <c r="CG185" s="40">
        <v>0</v>
      </c>
      <c r="CI185" s="40">
        <v>2.68</v>
      </c>
      <c r="CR185" s="40">
        <v>0</v>
      </c>
      <c r="CS185" s="67">
        <v>0</v>
      </c>
      <c r="CT185" s="67">
        <v>0</v>
      </c>
      <c r="CU185" s="40">
        <v>1</v>
      </c>
      <c r="CV185" s="67">
        <v>0</v>
      </c>
      <c r="CW185" s="67">
        <v>0</v>
      </c>
      <c r="CX185" s="67">
        <v>0</v>
      </c>
      <c r="CY185" s="67">
        <v>0</v>
      </c>
      <c r="CZ185" s="67">
        <v>0</v>
      </c>
      <c r="DA185" s="67">
        <v>0</v>
      </c>
      <c r="DB185" s="67">
        <v>0</v>
      </c>
      <c r="DD185" s="40">
        <v>2</v>
      </c>
      <c r="DI185" s="40" t="s">
        <v>0</v>
      </c>
    </row>
    <row r="186" spans="1:113" s="40" customFormat="1" ht="15.75" thickBot="1" x14ac:dyDescent="0.3">
      <c r="A186" s="40">
        <v>5904</v>
      </c>
      <c r="B186" s="40" t="s">
        <v>437</v>
      </c>
      <c r="C186" s="53" t="s">
        <v>390</v>
      </c>
      <c r="D186" s="40">
        <v>13</v>
      </c>
      <c r="E186" s="40">
        <v>0</v>
      </c>
      <c r="F186" s="40">
        <v>13</v>
      </c>
      <c r="G186" s="40">
        <v>9</v>
      </c>
      <c r="H186" s="40">
        <v>0</v>
      </c>
      <c r="I186" s="40">
        <v>26</v>
      </c>
      <c r="J186" s="54" t="s">
        <v>502</v>
      </c>
      <c r="K186" s="54" t="s">
        <v>503</v>
      </c>
      <c r="L186" s="56">
        <v>45947</v>
      </c>
      <c r="M186" s="40">
        <v>0</v>
      </c>
      <c r="N186" s="40">
        <v>0</v>
      </c>
      <c r="O186" s="40">
        <v>0</v>
      </c>
      <c r="S186" s="40" t="b">
        <v>0</v>
      </c>
      <c r="T186" s="40">
        <v>0.01</v>
      </c>
      <c r="U186" s="52">
        <v>7.8000001909999996</v>
      </c>
      <c r="V186" s="40">
        <v>0.01</v>
      </c>
      <c r="W186" s="40">
        <v>0</v>
      </c>
      <c r="X186" s="40">
        <v>1000</v>
      </c>
      <c r="Z186" s="40">
        <v>10</v>
      </c>
      <c r="AB186" s="52">
        <v>52</v>
      </c>
      <c r="AD186" s="40">
        <v>10</v>
      </c>
      <c r="AF186" s="40">
        <v>2000</v>
      </c>
      <c r="AG186" s="40">
        <v>2</v>
      </c>
      <c r="AH186" s="40">
        <v>7.9600000380000004</v>
      </c>
      <c r="AI186" s="40">
        <v>25</v>
      </c>
      <c r="AJ186" s="40">
        <v>0</v>
      </c>
      <c r="AK186" s="40">
        <v>0</v>
      </c>
      <c r="AM186" s="40" t="s">
        <v>2</v>
      </c>
      <c r="AO186" s="40">
        <v>52</v>
      </c>
      <c r="AW186" s="40" t="b">
        <v>0</v>
      </c>
      <c r="BE186" s="244"/>
      <c r="BF186" s="40">
        <v>1.6</v>
      </c>
      <c r="BG186" s="40">
        <v>1</v>
      </c>
      <c r="BH186" s="40">
        <v>1</v>
      </c>
      <c r="BI186" s="40">
        <v>0.55000000000000004</v>
      </c>
      <c r="BJ186" s="40">
        <v>0</v>
      </c>
      <c r="BM186" s="33" t="s">
        <v>1</v>
      </c>
      <c r="BN186" s="58">
        <v>13</v>
      </c>
      <c r="BO186" s="35">
        <f t="shared" si="29"/>
        <v>7.8000001909999996</v>
      </c>
      <c r="BP186" s="58">
        <v>250</v>
      </c>
      <c r="BT186" s="59"/>
      <c r="BU186" s="59"/>
      <c r="BV186" s="59"/>
      <c r="BW186" s="59"/>
      <c r="BX186" s="59"/>
      <c r="BY186" s="59"/>
      <c r="BZ186" s="59"/>
      <c r="CA186" s="59"/>
      <c r="CB186" s="59"/>
      <c r="CC186" s="59"/>
      <c r="CD186" s="59"/>
      <c r="CE186" s="60"/>
      <c r="CF186" s="44" t="s">
        <v>12</v>
      </c>
      <c r="CG186" s="40">
        <v>0</v>
      </c>
      <c r="CI186" s="40">
        <v>2.68</v>
      </c>
      <c r="CR186" s="40">
        <v>0</v>
      </c>
      <c r="CS186" s="67">
        <v>0</v>
      </c>
      <c r="CT186" s="67">
        <v>0</v>
      </c>
      <c r="CU186" s="40">
        <v>1</v>
      </c>
      <c r="CV186" s="67">
        <v>0</v>
      </c>
      <c r="CW186" s="67">
        <v>0</v>
      </c>
      <c r="CX186" s="67">
        <v>0</v>
      </c>
      <c r="CY186" s="67">
        <v>0</v>
      </c>
      <c r="CZ186" s="67">
        <v>0</v>
      </c>
      <c r="DA186" s="67">
        <v>0</v>
      </c>
      <c r="DB186" s="67">
        <v>0</v>
      </c>
      <c r="DD186" s="40">
        <v>2</v>
      </c>
      <c r="DI186" s="40" t="s">
        <v>0</v>
      </c>
    </row>
    <row r="187" spans="1:113" s="40" customFormat="1" ht="15.75" thickBot="1" x14ac:dyDescent="0.3">
      <c r="A187" s="40">
        <v>5905</v>
      </c>
      <c r="B187" s="40" t="s">
        <v>437</v>
      </c>
      <c r="C187" s="53" t="s">
        <v>390</v>
      </c>
      <c r="D187" s="40">
        <v>13</v>
      </c>
      <c r="E187" s="40">
        <v>0</v>
      </c>
      <c r="F187" s="40">
        <v>13</v>
      </c>
      <c r="G187" s="40">
        <v>10</v>
      </c>
      <c r="H187" s="40">
        <v>0</v>
      </c>
      <c r="I187" s="40">
        <v>26</v>
      </c>
      <c r="J187" s="54" t="s">
        <v>504</v>
      </c>
      <c r="K187" s="54" t="s">
        <v>505</v>
      </c>
      <c r="L187" s="56">
        <v>45947</v>
      </c>
      <c r="M187" s="40">
        <v>0</v>
      </c>
      <c r="N187" s="40">
        <v>0</v>
      </c>
      <c r="O187" s="40">
        <v>0</v>
      </c>
      <c r="S187" s="40" t="b">
        <v>0</v>
      </c>
      <c r="T187" s="40">
        <v>0.01</v>
      </c>
      <c r="U187" s="52">
        <v>7.8000001909999996</v>
      </c>
      <c r="V187" s="40">
        <v>0.01</v>
      </c>
      <c r="W187" s="40">
        <v>0</v>
      </c>
      <c r="X187" s="40">
        <v>1000</v>
      </c>
      <c r="Z187" s="40">
        <v>10</v>
      </c>
      <c r="AB187" s="52">
        <v>52</v>
      </c>
      <c r="AD187" s="40">
        <v>10</v>
      </c>
      <c r="AF187" s="40">
        <v>2000</v>
      </c>
      <c r="AG187" s="40">
        <v>2</v>
      </c>
      <c r="AH187" s="40">
        <v>7.9600000380000004</v>
      </c>
      <c r="AI187" s="40">
        <v>25</v>
      </c>
      <c r="AJ187" s="40">
        <v>0</v>
      </c>
      <c r="AK187" s="40">
        <v>0</v>
      </c>
      <c r="AM187" s="40" t="s">
        <v>2</v>
      </c>
      <c r="AO187" s="40">
        <v>52</v>
      </c>
      <c r="AW187" s="40" t="b">
        <v>0</v>
      </c>
      <c r="BE187" s="244"/>
      <c r="BF187" s="40">
        <v>1.6</v>
      </c>
      <c r="BG187" s="40">
        <v>1</v>
      </c>
      <c r="BH187" s="40">
        <v>1</v>
      </c>
      <c r="BI187" s="40">
        <v>0.55000000000000004</v>
      </c>
      <c r="BJ187" s="40">
        <v>0</v>
      </c>
      <c r="BM187" s="33" t="s">
        <v>1</v>
      </c>
      <c r="BN187" s="58">
        <v>13</v>
      </c>
      <c r="BO187" s="35">
        <f t="shared" si="29"/>
        <v>7.8000001909999996</v>
      </c>
      <c r="BP187" s="58">
        <v>250</v>
      </c>
      <c r="BT187" s="59"/>
      <c r="BU187" s="59"/>
      <c r="BV187" s="59"/>
      <c r="BW187" s="59"/>
      <c r="BX187" s="59"/>
      <c r="BY187" s="59"/>
      <c r="BZ187" s="59"/>
      <c r="CA187" s="59"/>
      <c r="CB187" s="59"/>
      <c r="CC187" s="59"/>
      <c r="CD187" s="59"/>
      <c r="CE187" s="60"/>
      <c r="CF187" s="44" t="s">
        <v>12</v>
      </c>
      <c r="CG187" s="40">
        <v>0</v>
      </c>
      <c r="CI187" s="40">
        <v>2.68</v>
      </c>
      <c r="CR187" s="40">
        <v>0</v>
      </c>
      <c r="CS187" s="67">
        <v>0</v>
      </c>
      <c r="CT187" s="67">
        <v>0</v>
      </c>
      <c r="CU187" s="40">
        <v>1</v>
      </c>
      <c r="CV187" s="67">
        <v>0</v>
      </c>
      <c r="CW187" s="67">
        <v>0</v>
      </c>
      <c r="CX187" s="67">
        <v>0</v>
      </c>
      <c r="CY187" s="67">
        <v>0</v>
      </c>
      <c r="CZ187" s="67">
        <v>0</v>
      </c>
      <c r="DA187" s="67">
        <v>0</v>
      </c>
      <c r="DB187" s="67">
        <v>0</v>
      </c>
      <c r="DD187" s="40">
        <v>2</v>
      </c>
      <c r="DI187" s="40" t="s">
        <v>0</v>
      </c>
    </row>
    <row r="188" spans="1:113" s="40" customFormat="1" ht="15.75" thickBot="1" x14ac:dyDescent="0.3">
      <c r="A188" s="40">
        <v>5906</v>
      </c>
      <c r="B188" s="40" t="s">
        <v>437</v>
      </c>
      <c r="C188" s="53" t="s">
        <v>390</v>
      </c>
      <c r="D188" s="40">
        <v>13</v>
      </c>
      <c r="E188" s="40">
        <v>0</v>
      </c>
      <c r="F188" s="40">
        <v>13</v>
      </c>
      <c r="G188" s="40">
        <v>11</v>
      </c>
      <c r="H188" s="40">
        <v>0</v>
      </c>
      <c r="I188" s="40">
        <v>26</v>
      </c>
      <c r="J188" s="54" t="s">
        <v>506</v>
      </c>
      <c r="K188" s="54" t="s">
        <v>507</v>
      </c>
      <c r="L188" s="56">
        <v>45947</v>
      </c>
      <c r="M188" s="40">
        <v>0</v>
      </c>
      <c r="N188" s="40">
        <v>0</v>
      </c>
      <c r="O188" s="40">
        <v>0</v>
      </c>
      <c r="S188" s="40" t="b">
        <v>0</v>
      </c>
      <c r="T188" s="40">
        <v>0.01</v>
      </c>
      <c r="U188" s="52">
        <v>7.8000001909999996</v>
      </c>
      <c r="V188" s="40">
        <v>0.01</v>
      </c>
      <c r="W188" s="40">
        <v>0</v>
      </c>
      <c r="X188" s="40">
        <v>1000</v>
      </c>
      <c r="Z188" s="40">
        <v>10</v>
      </c>
      <c r="AB188" s="52">
        <v>52</v>
      </c>
      <c r="AD188" s="40">
        <v>10</v>
      </c>
      <c r="AF188" s="40">
        <v>2000</v>
      </c>
      <c r="AG188" s="40">
        <v>2</v>
      </c>
      <c r="AH188" s="40">
        <v>7.9499998090000004</v>
      </c>
      <c r="AI188" s="40">
        <v>25</v>
      </c>
      <c r="AJ188" s="40">
        <v>0</v>
      </c>
      <c r="AK188" s="40">
        <v>0</v>
      </c>
      <c r="AM188" s="40" t="s">
        <v>2</v>
      </c>
      <c r="AO188" s="40">
        <v>52</v>
      </c>
      <c r="AW188" s="40" t="b">
        <v>0</v>
      </c>
      <c r="BE188" s="244"/>
      <c r="BF188" s="40">
        <v>1.6</v>
      </c>
      <c r="BG188" s="40">
        <v>1</v>
      </c>
      <c r="BH188" s="40">
        <v>1</v>
      </c>
      <c r="BI188" s="40">
        <v>0.55000000000000004</v>
      </c>
      <c r="BJ188" s="40">
        <v>0</v>
      </c>
      <c r="BM188" s="33" t="s">
        <v>1</v>
      </c>
      <c r="BN188" s="58">
        <v>13</v>
      </c>
      <c r="BO188" s="35">
        <f t="shared" ref="BO188:BO241" si="30">U188</f>
        <v>7.8000001909999996</v>
      </c>
      <c r="BP188" s="58">
        <v>250</v>
      </c>
      <c r="BT188" s="59"/>
      <c r="BU188" s="59"/>
      <c r="BV188" s="59"/>
      <c r="BW188" s="59"/>
      <c r="BX188" s="59"/>
      <c r="BY188" s="59"/>
      <c r="BZ188" s="59"/>
      <c r="CA188" s="59"/>
      <c r="CB188" s="59"/>
      <c r="CC188" s="59"/>
      <c r="CD188" s="59"/>
      <c r="CE188" s="60"/>
      <c r="CF188" s="44" t="s">
        <v>12</v>
      </c>
      <c r="CG188" s="40">
        <v>0</v>
      </c>
      <c r="CI188" s="40">
        <v>2.68</v>
      </c>
      <c r="CR188" s="40">
        <v>0</v>
      </c>
      <c r="CS188" s="67">
        <v>0</v>
      </c>
      <c r="CT188" s="67">
        <v>0</v>
      </c>
      <c r="CU188" s="40">
        <v>1</v>
      </c>
      <c r="CV188" s="67">
        <v>0</v>
      </c>
      <c r="CW188" s="67">
        <v>0</v>
      </c>
      <c r="CX188" s="67">
        <v>0</v>
      </c>
      <c r="CY188" s="67">
        <v>0</v>
      </c>
      <c r="CZ188" s="67">
        <v>0</v>
      </c>
      <c r="DA188" s="67">
        <v>0</v>
      </c>
      <c r="DB188" s="67">
        <v>0</v>
      </c>
      <c r="DD188" s="40">
        <v>2</v>
      </c>
      <c r="DI188" s="40" t="s">
        <v>0</v>
      </c>
    </row>
    <row r="189" spans="1:113" s="40" customFormat="1" ht="15.75" thickBot="1" x14ac:dyDescent="0.3">
      <c r="A189" s="40">
        <v>5907</v>
      </c>
      <c r="B189" s="40" t="s">
        <v>437</v>
      </c>
      <c r="C189" s="53" t="s">
        <v>390</v>
      </c>
      <c r="D189" s="40">
        <v>13</v>
      </c>
      <c r="E189" s="40">
        <v>0</v>
      </c>
      <c r="F189" s="40">
        <v>13</v>
      </c>
      <c r="G189" s="40">
        <v>12</v>
      </c>
      <c r="H189" s="40">
        <v>0</v>
      </c>
      <c r="I189" s="40">
        <v>26</v>
      </c>
      <c r="J189" s="54" t="s">
        <v>508</v>
      </c>
      <c r="K189" s="54" t="s">
        <v>509</v>
      </c>
      <c r="L189" s="56">
        <v>45947</v>
      </c>
      <c r="M189" s="40">
        <v>0</v>
      </c>
      <c r="N189" s="40">
        <v>0</v>
      </c>
      <c r="O189" s="40">
        <v>0</v>
      </c>
      <c r="S189" s="40" t="b">
        <v>0</v>
      </c>
      <c r="T189" s="40">
        <v>0.01</v>
      </c>
      <c r="U189" s="52">
        <v>7.8000001909999996</v>
      </c>
      <c r="V189" s="40">
        <v>0.01</v>
      </c>
      <c r="W189" s="40">
        <v>0</v>
      </c>
      <c r="X189" s="40">
        <v>1000</v>
      </c>
      <c r="Z189" s="40">
        <v>10</v>
      </c>
      <c r="AB189" s="52">
        <v>52</v>
      </c>
      <c r="AD189" s="40">
        <v>10</v>
      </c>
      <c r="AF189" s="40">
        <v>2000</v>
      </c>
      <c r="AG189" s="40">
        <v>2</v>
      </c>
      <c r="AH189" s="40">
        <v>7.9499998090000004</v>
      </c>
      <c r="AI189" s="40">
        <v>25</v>
      </c>
      <c r="AJ189" s="40">
        <v>0</v>
      </c>
      <c r="AK189" s="40">
        <v>0</v>
      </c>
      <c r="AM189" s="40" t="s">
        <v>2</v>
      </c>
      <c r="AO189" s="40">
        <v>52</v>
      </c>
      <c r="AW189" s="40" t="b">
        <v>0</v>
      </c>
      <c r="BE189" s="244"/>
      <c r="BF189" s="40">
        <v>1.6</v>
      </c>
      <c r="BG189" s="40">
        <v>1</v>
      </c>
      <c r="BH189" s="40">
        <v>1</v>
      </c>
      <c r="BI189" s="40">
        <v>0.55000000000000004</v>
      </c>
      <c r="BJ189" s="40">
        <v>0</v>
      </c>
      <c r="BM189" s="33" t="s">
        <v>1</v>
      </c>
      <c r="BN189" s="58">
        <v>13</v>
      </c>
      <c r="BO189" s="35">
        <f t="shared" si="30"/>
        <v>7.8000001909999996</v>
      </c>
      <c r="BP189" s="58">
        <v>250</v>
      </c>
      <c r="BT189" s="59"/>
      <c r="BU189" s="59"/>
      <c r="BV189" s="59"/>
      <c r="BW189" s="59"/>
      <c r="BX189" s="59"/>
      <c r="BY189" s="59"/>
      <c r="BZ189" s="59"/>
      <c r="CA189" s="59"/>
      <c r="CB189" s="59"/>
      <c r="CC189" s="59"/>
      <c r="CD189" s="59"/>
      <c r="CE189" s="60"/>
      <c r="CF189" s="44" t="s">
        <v>12</v>
      </c>
      <c r="CG189" s="40">
        <v>0</v>
      </c>
      <c r="CI189" s="40">
        <v>2.68</v>
      </c>
      <c r="CR189" s="40">
        <v>0</v>
      </c>
      <c r="CS189" s="67">
        <v>0</v>
      </c>
      <c r="CT189" s="67">
        <v>0</v>
      </c>
      <c r="CU189" s="40">
        <v>1</v>
      </c>
      <c r="CV189" s="67">
        <v>0</v>
      </c>
      <c r="CW189" s="67">
        <v>0</v>
      </c>
      <c r="CX189" s="67">
        <v>0</v>
      </c>
      <c r="CY189" s="67">
        <v>0</v>
      </c>
      <c r="CZ189" s="67">
        <v>0</v>
      </c>
      <c r="DA189" s="67">
        <v>0</v>
      </c>
      <c r="DB189" s="67">
        <v>0</v>
      </c>
      <c r="DD189" s="40">
        <v>2</v>
      </c>
      <c r="DI189" s="40" t="s">
        <v>0</v>
      </c>
    </row>
    <row r="190" spans="1:113" s="40" customFormat="1" ht="15.75" thickBot="1" x14ac:dyDescent="0.3">
      <c r="A190" s="40">
        <v>5963</v>
      </c>
      <c r="B190" s="40" t="s">
        <v>437</v>
      </c>
      <c r="C190" s="53" t="s">
        <v>390</v>
      </c>
      <c r="D190" s="40">
        <v>13</v>
      </c>
      <c r="E190" s="40">
        <v>0</v>
      </c>
      <c r="F190" s="40">
        <v>13</v>
      </c>
      <c r="G190" s="40">
        <v>68</v>
      </c>
      <c r="H190" s="40">
        <v>0</v>
      </c>
      <c r="I190" s="40">
        <v>25</v>
      </c>
      <c r="J190" s="54" t="s">
        <v>510</v>
      </c>
      <c r="K190" s="54" t="s">
        <v>511</v>
      </c>
      <c r="L190" s="56">
        <v>45947</v>
      </c>
      <c r="M190" s="40">
        <v>0</v>
      </c>
      <c r="N190" s="40">
        <v>0</v>
      </c>
      <c r="O190" s="40">
        <v>0</v>
      </c>
      <c r="S190" s="40" t="b">
        <v>0</v>
      </c>
      <c r="T190" s="40">
        <v>0.01</v>
      </c>
      <c r="U190" s="52">
        <v>8.25</v>
      </c>
      <c r="V190" s="40">
        <v>0.01</v>
      </c>
      <c r="W190" s="40">
        <v>0</v>
      </c>
      <c r="X190" s="40">
        <v>1000</v>
      </c>
      <c r="Z190" s="40">
        <v>10</v>
      </c>
      <c r="AB190" s="52">
        <v>50</v>
      </c>
      <c r="AD190" s="40">
        <v>10</v>
      </c>
      <c r="AF190" s="40">
        <v>2000</v>
      </c>
      <c r="AG190" s="40">
        <v>2</v>
      </c>
      <c r="AH190" s="40">
        <v>8.5600004199999997</v>
      </c>
      <c r="AI190" s="40">
        <v>16</v>
      </c>
      <c r="AJ190" s="40">
        <v>0</v>
      </c>
      <c r="AK190" s="40">
        <v>0</v>
      </c>
      <c r="AM190" s="40" t="s">
        <v>2</v>
      </c>
      <c r="AO190" s="40">
        <v>50</v>
      </c>
      <c r="AW190" s="40" t="b">
        <v>0</v>
      </c>
      <c r="BE190" s="244"/>
      <c r="BF190" s="40">
        <v>1.6</v>
      </c>
      <c r="BG190" s="40">
        <v>1</v>
      </c>
      <c r="BH190" s="40">
        <v>1</v>
      </c>
      <c r="BI190" s="40">
        <v>0.55000000000000004</v>
      </c>
      <c r="BJ190" s="40">
        <v>0</v>
      </c>
      <c r="BM190" s="33" t="s">
        <v>1</v>
      </c>
      <c r="BN190" s="58">
        <v>13</v>
      </c>
      <c r="BO190" s="35">
        <f t="shared" si="30"/>
        <v>8.25</v>
      </c>
      <c r="BP190" s="58">
        <v>250</v>
      </c>
      <c r="BT190" s="59"/>
      <c r="BU190" s="59"/>
      <c r="BV190" s="59"/>
      <c r="BW190" s="59"/>
      <c r="BX190" s="59"/>
      <c r="BY190" s="59"/>
      <c r="BZ190" s="59"/>
      <c r="CA190" s="59"/>
      <c r="CB190" s="59"/>
      <c r="CC190" s="59"/>
      <c r="CD190" s="59"/>
      <c r="CE190" s="60"/>
      <c r="CF190" s="44" t="s">
        <v>12</v>
      </c>
      <c r="CG190" s="40">
        <v>0</v>
      </c>
      <c r="CI190" s="40">
        <v>2.68</v>
      </c>
      <c r="CR190" s="40">
        <v>0</v>
      </c>
      <c r="CS190" s="67">
        <v>0</v>
      </c>
      <c r="CT190" s="67">
        <v>0</v>
      </c>
      <c r="CU190" s="40">
        <v>1</v>
      </c>
      <c r="CV190" s="67">
        <v>0</v>
      </c>
      <c r="CW190" s="67">
        <v>0</v>
      </c>
      <c r="CX190" s="67">
        <v>0</v>
      </c>
      <c r="CY190" s="67">
        <v>0</v>
      </c>
      <c r="CZ190" s="67">
        <v>0</v>
      </c>
      <c r="DA190" s="67">
        <v>0</v>
      </c>
      <c r="DB190" s="67">
        <v>0</v>
      </c>
      <c r="DD190" s="40">
        <v>2</v>
      </c>
      <c r="DI190" s="40" t="s">
        <v>0</v>
      </c>
    </row>
    <row r="191" spans="1:113" s="40" customFormat="1" ht="15.75" thickBot="1" x14ac:dyDescent="0.3">
      <c r="A191" s="40">
        <v>5964</v>
      </c>
      <c r="B191" s="40" t="s">
        <v>437</v>
      </c>
      <c r="C191" s="53" t="s">
        <v>390</v>
      </c>
      <c r="D191" s="40">
        <v>13</v>
      </c>
      <c r="E191" s="40">
        <v>0</v>
      </c>
      <c r="F191" s="40">
        <v>13</v>
      </c>
      <c r="G191" s="40">
        <v>69</v>
      </c>
      <c r="H191" s="40">
        <v>0</v>
      </c>
      <c r="I191" s="40">
        <v>25</v>
      </c>
      <c r="J191" s="54" t="s">
        <v>512</v>
      </c>
      <c r="K191" s="54" t="s">
        <v>513</v>
      </c>
      <c r="L191" s="56">
        <v>45947</v>
      </c>
      <c r="M191" s="40">
        <v>0</v>
      </c>
      <c r="N191" s="40">
        <v>0</v>
      </c>
      <c r="O191" s="40">
        <v>0</v>
      </c>
      <c r="S191" s="40" t="b">
        <v>0</v>
      </c>
      <c r="T191" s="40">
        <v>0.01</v>
      </c>
      <c r="U191" s="52">
        <v>8.25</v>
      </c>
      <c r="V191" s="40">
        <v>0.01</v>
      </c>
      <c r="W191" s="40">
        <v>0</v>
      </c>
      <c r="X191" s="40">
        <v>1000</v>
      </c>
      <c r="Z191" s="40">
        <v>10</v>
      </c>
      <c r="AB191" s="52">
        <v>50</v>
      </c>
      <c r="AD191" s="40">
        <v>10</v>
      </c>
      <c r="AF191" s="40">
        <v>2000</v>
      </c>
      <c r="AG191" s="40">
        <v>2</v>
      </c>
      <c r="AH191" s="40">
        <v>8.5600004199999997</v>
      </c>
      <c r="AI191" s="40">
        <v>16</v>
      </c>
      <c r="AJ191" s="40">
        <v>0</v>
      </c>
      <c r="AK191" s="40">
        <v>0</v>
      </c>
      <c r="AM191" s="40" t="s">
        <v>2</v>
      </c>
      <c r="AO191" s="40">
        <v>50</v>
      </c>
      <c r="AW191" s="40" t="b">
        <v>0</v>
      </c>
      <c r="BE191" s="244"/>
      <c r="BF191" s="40">
        <v>1.6</v>
      </c>
      <c r="BG191" s="40">
        <v>1</v>
      </c>
      <c r="BH191" s="40">
        <v>1</v>
      </c>
      <c r="BI191" s="40">
        <v>0.55000000000000004</v>
      </c>
      <c r="BJ191" s="40">
        <v>0</v>
      </c>
      <c r="BM191" s="33" t="s">
        <v>1</v>
      </c>
      <c r="BN191" s="58">
        <v>13</v>
      </c>
      <c r="BO191" s="35">
        <f t="shared" si="30"/>
        <v>8.25</v>
      </c>
      <c r="BP191" s="58">
        <v>250</v>
      </c>
      <c r="BT191" s="59"/>
      <c r="BU191" s="59"/>
      <c r="BV191" s="59"/>
      <c r="BW191" s="59"/>
      <c r="BX191" s="59"/>
      <c r="BY191" s="59"/>
      <c r="BZ191" s="59"/>
      <c r="CA191" s="59"/>
      <c r="CB191" s="59"/>
      <c r="CC191" s="59"/>
      <c r="CD191" s="59"/>
      <c r="CE191" s="60"/>
      <c r="CF191" s="44" t="s">
        <v>12</v>
      </c>
      <c r="CG191" s="40">
        <v>0</v>
      </c>
      <c r="CI191" s="40">
        <v>2.68</v>
      </c>
      <c r="CR191" s="40">
        <v>0</v>
      </c>
      <c r="CS191" s="67">
        <v>0</v>
      </c>
      <c r="CT191" s="67">
        <v>0</v>
      </c>
      <c r="CU191" s="40">
        <v>1</v>
      </c>
      <c r="CV191" s="67">
        <v>0</v>
      </c>
      <c r="CW191" s="67">
        <v>0</v>
      </c>
      <c r="CX191" s="67">
        <v>0</v>
      </c>
      <c r="CY191" s="67">
        <v>0</v>
      </c>
      <c r="CZ191" s="67">
        <v>0</v>
      </c>
      <c r="DA191" s="67">
        <v>0</v>
      </c>
      <c r="DB191" s="67">
        <v>0</v>
      </c>
      <c r="DD191" s="40">
        <v>2</v>
      </c>
      <c r="DI191" s="40" t="s">
        <v>0</v>
      </c>
    </row>
    <row r="192" spans="1:113" s="40" customFormat="1" ht="15.75" thickBot="1" x14ac:dyDescent="0.3">
      <c r="A192" s="40">
        <v>5965</v>
      </c>
      <c r="B192" s="40" t="s">
        <v>437</v>
      </c>
      <c r="C192" s="53" t="s">
        <v>390</v>
      </c>
      <c r="D192" s="40">
        <v>13</v>
      </c>
      <c r="E192" s="40">
        <v>0</v>
      </c>
      <c r="F192" s="40">
        <v>13</v>
      </c>
      <c r="G192" s="40">
        <v>70</v>
      </c>
      <c r="H192" s="40">
        <v>0</v>
      </c>
      <c r="I192" s="40">
        <v>25</v>
      </c>
      <c r="J192" s="54" t="s">
        <v>514</v>
      </c>
      <c r="K192" s="54" t="s">
        <v>515</v>
      </c>
      <c r="L192" s="56">
        <v>45947</v>
      </c>
      <c r="M192" s="40">
        <v>0</v>
      </c>
      <c r="N192" s="40">
        <v>0</v>
      </c>
      <c r="O192" s="40">
        <v>0</v>
      </c>
      <c r="S192" s="40" t="b">
        <v>0</v>
      </c>
      <c r="T192" s="40">
        <v>0.01</v>
      </c>
      <c r="U192" s="52">
        <v>8.25</v>
      </c>
      <c r="V192" s="40">
        <v>0.01</v>
      </c>
      <c r="W192" s="40">
        <v>0</v>
      </c>
      <c r="X192" s="40">
        <v>1000</v>
      </c>
      <c r="Z192" s="40">
        <v>10</v>
      </c>
      <c r="AB192" s="52">
        <v>50</v>
      </c>
      <c r="AD192" s="40">
        <v>10</v>
      </c>
      <c r="AF192" s="40">
        <v>2000</v>
      </c>
      <c r="AG192" s="40">
        <v>2</v>
      </c>
      <c r="AH192" s="40">
        <v>8.5299997330000004</v>
      </c>
      <c r="AI192" s="40">
        <v>16</v>
      </c>
      <c r="AJ192" s="40">
        <v>0</v>
      </c>
      <c r="AK192" s="40">
        <v>0</v>
      </c>
      <c r="AM192" s="40" t="s">
        <v>2</v>
      </c>
      <c r="AO192" s="40">
        <v>50</v>
      </c>
      <c r="AW192" s="40" t="b">
        <v>0</v>
      </c>
      <c r="BE192" s="244"/>
      <c r="BF192" s="40">
        <v>1.6</v>
      </c>
      <c r="BG192" s="40">
        <v>1</v>
      </c>
      <c r="BH192" s="40">
        <v>1</v>
      </c>
      <c r="BI192" s="40">
        <v>0.55000000000000004</v>
      </c>
      <c r="BJ192" s="40">
        <v>0</v>
      </c>
      <c r="BM192" s="33" t="s">
        <v>1</v>
      </c>
      <c r="BN192" s="58">
        <v>13</v>
      </c>
      <c r="BO192" s="35">
        <f t="shared" si="30"/>
        <v>8.25</v>
      </c>
      <c r="BP192" s="58">
        <v>250</v>
      </c>
      <c r="BT192" s="59"/>
      <c r="BU192" s="59"/>
      <c r="BV192" s="59"/>
      <c r="BW192" s="59"/>
      <c r="BX192" s="59"/>
      <c r="BY192" s="59"/>
      <c r="BZ192" s="59"/>
      <c r="CA192" s="59"/>
      <c r="CB192" s="59"/>
      <c r="CC192" s="59"/>
      <c r="CD192" s="59"/>
      <c r="CE192" s="60"/>
      <c r="CF192" s="44" t="s">
        <v>12</v>
      </c>
      <c r="CG192" s="40">
        <v>0</v>
      </c>
      <c r="CI192" s="40">
        <v>2.68</v>
      </c>
      <c r="CR192" s="40">
        <v>0</v>
      </c>
      <c r="CS192" s="67">
        <v>0</v>
      </c>
      <c r="CT192" s="67">
        <v>0</v>
      </c>
      <c r="CU192" s="40">
        <v>1</v>
      </c>
      <c r="CV192" s="67">
        <v>0</v>
      </c>
      <c r="CW192" s="67">
        <v>0</v>
      </c>
      <c r="CX192" s="67">
        <v>0</v>
      </c>
      <c r="CY192" s="67">
        <v>0</v>
      </c>
      <c r="CZ192" s="67">
        <v>0</v>
      </c>
      <c r="DA192" s="67">
        <v>0</v>
      </c>
      <c r="DB192" s="67">
        <v>0</v>
      </c>
      <c r="DD192" s="40">
        <v>2</v>
      </c>
      <c r="DI192" s="40" t="s">
        <v>0</v>
      </c>
    </row>
    <row r="193" spans="1:113" s="40" customFormat="1" ht="15.75" thickBot="1" x14ac:dyDescent="0.3">
      <c r="A193" s="40">
        <v>5966</v>
      </c>
      <c r="B193" s="40" t="s">
        <v>437</v>
      </c>
      <c r="C193" s="53" t="s">
        <v>390</v>
      </c>
      <c r="D193" s="40">
        <v>13</v>
      </c>
      <c r="E193" s="40">
        <v>0</v>
      </c>
      <c r="F193" s="40">
        <v>13</v>
      </c>
      <c r="G193" s="40">
        <v>71</v>
      </c>
      <c r="H193" s="40">
        <v>0</v>
      </c>
      <c r="I193" s="40">
        <v>25</v>
      </c>
      <c r="J193" s="54" t="s">
        <v>516</v>
      </c>
      <c r="K193" s="54" t="s">
        <v>517</v>
      </c>
      <c r="L193" s="56">
        <v>45947</v>
      </c>
      <c r="M193" s="40">
        <v>0</v>
      </c>
      <c r="N193" s="40">
        <v>0</v>
      </c>
      <c r="O193" s="40">
        <v>0</v>
      </c>
      <c r="S193" s="40" t="b">
        <v>0</v>
      </c>
      <c r="T193" s="40">
        <v>0.01</v>
      </c>
      <c r="U193" s="52">
        <v>8.25</v>
      </c>
      <c r="V193" s="40">
        <v>0.01</v>
      </c>
      <c r="W193" s="40">
        <v>0</v>
      </c>
      <c r="X193" s="40">
        <v>1000</v>
      </c>
      <c r="Z193" s="40">
        <v>10</v>
      </c>
      <c r="AB193" s="52">
        <v>50</v>
      </c>
      <c r="AD193" s="40">
        <v>10</v>
      </c>
      <c r="AF193" s="40">
        <v>2000</v>
      </c>
      <c r="AG193" s="40">
        <v>2</v>
      </c>
      <c r="AH193" s="40">
        <v>8.5299997330000004</v>
      </c>
      <c r="AI193" s="40">
        <v>16</v>
      </c>
      <c r="AJ193" s="40">
        <v>0</v>
      </c>
      <c r="AK193" s="40">
        <v>0</v>
      </c>
      <c r="AM193" s="40" t="s">
        <v>2</v>
      </c>
      <c r="AO193" s="40">
        <v>50</v>
      </c>
      <c r="AW193" s="40" t="b">
        <v>0</v>
      </c>
      <c r="BE193" s="244"/>
      <c r="BF193" s="40">
        <v>1.6</v>
      </c>
      <c r="BG193" s="40">
        <v>1</v>
      </c>
      <c r="BH193" s="40">
        <v>1</v>
      </c>
      <c r="BI193" s="40">
        <v>0.55000000000000004</v>
      </c>
      <c r="BJ193" s="40">
        <v>0</v>
      </c>
      <c r="BM193" s="33" t="s">
        <v>1</v>
      </c>
      <c r="BN193" s="58">
        <v>13</v>
      </c>
      <c r="BO193" s="35">
        <f t="shared" si="30"/>
        <v>8.25</v>
      </c>
      <c r="BP193" s="58">
        <v>250</v>
      </c>
      <c r="BT193" s="59"/>
      <c r="BU193" s="59"/>
      <c r="BV193" s="59"/>
      <c r="BW193" s="59"/>
      <c r="BX193" s="59"/>
      <c r="BY193" s="59"/>
      <c r="BZ193" s="59"/>
      <c r="CA193" s="59"/>
      <c r="CB193" s="59"/>
      <c r="CC193" s="59"/>
      <c r="CD193" s="59"/>
      <c r="CE193" s="60"/>
      <c r="CF193" s="44" t="s">
        <v>12</v>
      </c>
      <c r="CG193" s="40">
        <v>0</v>
      </c>
      <c r="CI193" s="40">
        <v>2.68</v>
      </c>
      <c r="CR193" s="40">
        <v>0</v>
      </c>
      <c r="CS193" s="67">
        <v>0</v>
      </c>
      <c r="CT193" s="67">
        <v>0</v>
      </c>
      <c r="CU193" s="40">
        <v>1</v>
      </c>
      <c r="CV193" s="67">
        <v>0</v>
      </c>
      <c r="CW193" s="67">
        <v>0</v>
      </c>
      <c r="CX193" s="67">
        <v>0</v>
      </c>
      <c r="CY193" s="67">
        <v>0</v>
      </c>
      <c r="CZ193" s="67">
        <v>0</v>
      </c>
      <c r="DA193" s="67">
        <v>0</v>
      </c>
      <c r="DB193" s="67">
        <v>0</v>
      </c>
      <c r="DD193" s="40">
        <v>2</v>
      </c>
      <c r="DI193" s="40" t="s">
        <v>0</v>
      </c>
    </row>
    <row r="194" spans="1:113" s="40" customFormat="1" ht="15.75" thickBot="1" x14ac:dyDescent="0.3">
      <c r="A194" s="40">
        <v>5968</v>
      </c>
      <c r="B194" s="40" t="s">
        <v>437</v>
      </c>
      <c r="C194" s="53" t="s">
        <v>390</v>
      </c>
      <c r="D194" s="40">
        <v>13</v>
      </c>
      <c r="E194" s="40">
        <v>0</v>
      </c>
      <c r="F194" s="40">
        <v>13</v>
      </c>
      <c r="G194" s="40">
        <v>73</v>
      </c>
      <c r="H194" s="40">
        <v>0</v>
      </c>
      <c r="I194" s="40">
        <v>25</v>
      </c>
      <c r="J194" s="54" t="s">
        <v>518</v>
      </c>
      <c r="K194" s="54" t="s">
        <v>519</v>
      </c>
      <c r="L194" s="56">
        <v>45947</v>
      </c>
      <c r="M194" s="40">
        <v>0</v>
      </c>
      <c r="N194" s="40">
        <v>0</v>
      </c>
      <c r="O194" s="40">
        <v>0</v>
      </c>
      <c r="S194" s="40" t="b">
        <v>0</v>
      </c>
      <c r="T194" s="40">
        <v>0.01</v>
      </c>
      <c r="U194" s="52">
        <v>8.25</v>
      </c>
      <c r="V194" s="40">
        <v>0.01</v>
      </c>
      <c r="W194" s="40">
        <v>0</v>
      </c>
      <c r="X194" s="40">
        <v>1000</v>
      </c>
      <c r="Z194" s="40">
        <v>10</v>
      </c>
      <c r="AB194" s="52">
        <v>50</v>
      </c>
      <c r="AD194" s="40">
        <v>10</v>
      </c>
      <c r="AF194" s="40">
        <v>2000</v>
      </c>
      <c r="AG194" s="40">
        <v>2</v>
      </c>
      <c r="AH194" s="40">
        <v>8.5299997330000004</v>
      </c>
      <c r="AI194" s="40">
        <v>16</v>
      </c>
      <c r="AJ194" s="40">
        <v>0</v>
      </c>
      <c r="AK194" s="40">
        <v>0</v>
      </c>
      <c r="AM194" s="40" t="s">
        <v>2</v>
      </c>
      <c r="AO194" s="40">
        <v>50</v>
      </c>
      <c r="AW194" s="40" t="b">
        <v>0</v>
      </c>
      <c r="BE194" s="244"/>
      <c r="BF194" s="40">
        <v>1.6</v>
      </c>
      <c r="BG194" s="40">
        <v>1</v>
      </c>
      <c r="BH194" s="40">
        <v>1</v>
      </c>
      <c r="BI194" s="40">
        <v>0.55000000000000004</v>
      </c>
      <c r="BJ194" s="40">
        <v>0</v>
      </c>
      <c r="BM194" s="33" t="s">
        <v>1</v>
      </c>
      <c r="BN194" s="58">
        <v>13</v>
      </c>
      <c r="BO194" s="35">
        <f t="shared" si="30"/>
        <v>8.25</v>
      </c>
      <c r="BP194" s="58">
        <v>250</v>
      </c>
      <c r="BT194" s="59"/>
      <c r="BU194" s="59"/>
      <c r="BV194" s="59"/>
      <c r="BW194" s="59"/>
      <c r="BX194" s="59"/>
      <c r="BY194" s="59"/>
      <c r="BZ194" s="59"/>
      <c r="CA194" s="59"/>
      <c r="CB194" s="59"/>
      <c r="CC194" s="59"/>
      <c r="CD194" s="59"/>
      <c r="CE194" s="60"/>
      <c r="CF194" s="44" t="s">
        <v>12</v>
      </c>
      <c r="CG194" s="40">
        <v>0</v>
      </c>
      <c r="CI194" s="40">
        <v>2.68</v>
      </c>
      <c r="CR194" s="40">
        <v>0</v>
      </c>
      <c r="CS194" s="67">
        <v>0</v>
      </c>
      <c r="CT194" s="67">
        <v>0</v>
      </c>
      <c r="CU194" s="40">
        <v>1</v>
      </c>
      <c r="CV194" s="67">
        <v>0</v>
      </c>
      <c r="CW194" s="67">
        <v>0</v>
      </c>
      <c r="CX194" s="67">
        <v>0</v>
      </c>
      <c r="CY194" s="67">
        <v>0</v>
      </c>
      <c r="CZ194" s="67">
        <v>0</v>
      </c>
      <c r="DA194" s="67">
        <v>0</v>
      </c>
      <c r="DB194" s="67">
        <v>0</v>
      </c>
      <c r="DD194" s="40">
        <v>2</v>
      </c>
      <c r="DI194" s="40" t="s">
        <v>0</v>
      </c>
    </row>
    <row r="195" spans="1:113" s="40" customFormat="1" ht="15.75" thickBot="1" x14ac:dyDescent="0.3">
      <c r="A195" s="40">
        <v>5969</v>
      </c>
      <c r="B195" s="40" t="s">
        <v>437</v>
      </c>
      <c r="C195" s="53" t="s">
        <v>390</v>
      </c>
      <c r="D195" s="40">
        <v>13</v>
      </c>
      <c r="E195" s="40">
        <v>0</v>
      </c>
      <c r="F195" s="40">
        <v>13</v>
      </c>
      <c r="G195" s="40">
        <v>74</v>
      </c>
      <c r="H195" s="40">
        <v>0</v>
      </c>
      <c r="I195" s="40">
        <v>25</v>
      </c>
      <c r="J195" s="54" t="s">
        <v>520</v>
      </c>
      <c r="K195" s="54" t="s">
        <v>521</v>
      </c>
      <c r="L195" s="56">
        <v>45947</v>
      </c>
      <c r="M195" s="40">
        <v>0</v>
      </c>
      <c r="N195" s="40">
        <v>0</v>
      </c>
      <c r="O195" s="40">
        <v>0</v>
      </c>
      <c r="S195" s="40" t="b">
        <v>0</v>
      </c>
      <c r="T195" s="40">
        <v>0.01</v>
      </c>
      <c r="U195" s="52">
        <v>8.25</v>
      </c>
      <c r="V195" s="40">
        <v>0.01</v>
      </c>
      <c r="W195" s="40">
        <v>0</v>
      </c>
      <c r="X195" s="40">
        <v>1000</v>
      </c>
      <c r="Z195" s="40">
        <v>10</v>
      </c>
      <c r="AB195" s="52">
        <v>50</v>
      </c>
      <c r="AD195" s="40">
        <v>10</v>
      </c>
      <c r="AF195" s="40">
        <v>2000</v>
      </c>
      <c r="AG195" s="40">
        <v>2</v>
      </c>
      <c r="AH195" s="40">
        <v>8.5600004199999997</v>
      </c>
      <c r="AI195" s="40">
        <v>16</v>
      </c>
      <c r="AJ195" s="40">
        <v>0</v>
      </c>
      <c r="AK195" s="40">
        <v>0</v>
      </c>
      <c r="AM195" s="40" t="s">
        <v>2</v>
      </c>
      <c r="AO195" s="40">
        <v>50</v>
      </c>
      <c r="AW195" s="40" t="b">
        <v>0</v>
      </c>
      <c r="BE195" s="244"/>
      <c r="BF195" s="40">
        <v>1.6</v>
      </c>
      <c r="BG195" s="40">
        <v>1</v>
      </c>
      <c r="BH195" s="40">
        <v>1</v>
      </c>
      <c r="BI195" s="40">
        <v>0.55000000000000004</v>
      </c>
      <c r="BJ195" s="40">
        <v>0</v>
      </c>
      <c r="BM195" s="33" t="s">
        <v>1</v>
      </c>
      <c r="BN195" s="58">
        <v>13</v>
      </c>
      <c r="BO195" s="35">
        <f t="shared" si="30"/>
        <v>8.25</v>
      </c>
      <c r="BP195" s="58">
        <v>250</v>
      </c>
      <c r="BT195" s="59"/>
      <c r="BU195" s="59"/>
      <c r="BV195" s="59"/>
      <c r="BW195" s="59"/>
      <c r="BX195" s="59"/>
      <c r="BY195" s="59"/>
      <c r="BZ195" s="59"/>
      <c r="CA195" s="59"/>
      <c r="CB195" s="59"/>
      <c r="CC195" s="59"/>
      <c r="CD195" s="59"/>
      <c r="CE195" s="60"/>
      <c r="CF195" s="44" t="s">
        <v>16</v>
      </c>
      <c r="CI195" s="40">
        <v>2.68</v>
      </c>
      <c r="CR195" s="40">
        <v>0</v>
      </c>
      <c r="CS195" s="67">
        <v>0</v>
      </c>
      <c r="CT195" s="67">
        <v>0</v>
      </c>
      <c r="CU195" s="40">
        <v>0</v>
      </c>
      <c r="CV195" s="67">
        <v>0</v>
      </c>
      <c r="CW195" s="67">
        <v>0</v>
      </c>
      <c r="CX195" s="67">
        <v>0</v>
      </c>
      <c r="CY195" s="67">
        <v>0</v>
      </c>
      <c r="CZ195" s="67">
        <v>0</v>
      </c>
      <c r="DA195" s="67">
        <v>0</v>
      </c>
      <c r="DB195" s="67">
        <v>0</v>
      </c>
      <c r="DD195" s="40">
        <v>0</v>
      </c>
      <c r="DI195" s="40" t="s">
        <v>0</v>
      </c>
    </row>
    <row r="196" spans="1:113" s="40" customFormat="1" ht="15.75" thickBot="1" x14ac:dyDescent="0.3">
      <c r="A196" s="40">
        <v>5970</v>
      </c>
      <c r="B196" s="40" t="s">
        <v>437</v>
      </c>
      <c r="C196" s="53" t="s">
        <v>390</v>
      </c>
      <c r="D196" s="40">
        <v>13</v>
      </c>
      <c r="E196" s="40">
        <v>0</v>
      </c>
      <c r="F196" s="40">
        <v>13</v>
      </c>
      <c r="G196" s="40">
        <v>75</v>
      </c>
      <c r="H196" s="40">
        <v>0</v>
      </c>
      <c r="I196" s="40">
        <v>25</v>
      </c>
      <c r="J196" s="54" t="s">
        <v>522</v>
      </c>
      <c r="K196" s="54" t="s">
        <v>523</v>
      </c>
      <c r="L196" s="56">
        <v>45947</v>
      </c>
      <c r="M196" s="40">
        <v>0</v>
      </c>
      <c r="N196" s="40">
        <v>0</v>
      </c>
      <c r="O196" s="40">
        <v>0</v>
      </c>
      <c r="S196" s="40" t="b">
        <v>0</v>
      </c>
      <c r="T196" s="40">
        <v>0.01</v>
      </c>
      <c r="U196" s="52">
        <v>8.25</v>
      </c>
      <c r="V196" s="40">
        <v>0.01</v>
      </c>
      <c r="W196" s="40">
        <v>0</v>
      </c>
      <c r="X196" s="40">
        <v>1000</v>
      </c>
      <c r="Z196" s="40">
        <v>10</v>
      </c>
      <c r="AB196" s="52">
        <v>50</v>
      </c>
      <c r="AD196" s="40">
        <v>10</v>
      </c>
      <c r="AF196" s="40">
        <v>2000</v>
      </c>
      <c r="AG196" s="40">
        <v>2</v>
      </c>
      <c r="AH196" s="40">
        <v>8.5299997330000004</v>
      </c>
      <c r="AI196" s="40">
        <v>16</v>
      </c>
      <c r="AJ196" s="40">
        <v>0</v>
      </c>
      <c r="AK196" s="40">
        <v>0</v>
      </c>
      <c r="AM196" s="40" t="s">
        <v>2</v>
      </c>
      <c r="AO196" s="40">
        <v>50</v>
      </c>
      <c r="AW196" s="40" t="b">
        <v>0</v>
      </c>
      <c r="BE196" s="244"/>
      <c r="BF196" s="40">
        <v>1.6</v>
      </c>
      <c r="BG196" s="40">
        <v>1</v>
      </c>
      <c r="BH196" s="40">
        <v>1</v>
      </c>
      <c r="BI196" s="40">
        <v>0.55000000000000004</v>
      </c>
      <c r="BJ196" s="40">
        <v>0</v>
      </c>
      <c r="BM196" s="33" t="s">
        <v>1</v>
      </c>
      <c r="BN196" s="58">
        <v>13</v>
      </c>
      <c r="BO196" s="35">
        <f t="shared" si="30"/>
        <v>8.25</v>
      </c>
      <c r="BP196" s="58">
        <v>250</v>
      </c>
      <c r="BT196" s="59"/>
      <c r="BU196" s="59"/>
      <c r="BV196" s="59"/>
      <c r="BW196" s="59"/>
      <c r="BX196" s="59"/>
      <c r="BY196" s="59"/>
      <c r="BZ196" s="59"/>
      <c r="CA196" s="59"/>
      <c r="CB196" s="59"/>
      <c r="CC196" s="59"/>
      <c r="CD196" s="59"/>
      <c r="CE196" s="60"/>
      <c r="CF196" s="44" t="s">
        <v>16</v>
      </c>
      <c r="CI196" s="40">
        <v>2.68</v>
      </c>
      <c r="CR196" s="40">
        <v>0</v>
      </c>
      <c r="CS196" s="67">
        <v>0</v>
      </c>
      <c r="CT196" s="67">
        <v>0</v>
      </c>
      <c r="CU196" s="40">
        <v>0</v>
      </c>
      <c r="CV196" s="67">
        <v>0</v>
      </c>
      <c r="CW196" s="67">
        <v>0</v>
      </c>
      <c r="CX196" s="67">
        <v>0</v>
      </c>
      <c r="CY196" s="67">
        <v>0</v>
      </c>
      <c r="CZ196" s="67">
        <v>0</v>
      </c>
      <c r="DA196" s="67">
        <v>0</v>
      </c>
      <c r="DB196" s="67">
        <v>0</v>
      </c>
      <c r="DD196" s="40">
        <v>0</v>
      </c>
      <c r="DI196" s="40" t="s">
        <v>0</v>
      </c>
    </row>
    <row r="197" spans="1:113" s="40" customFormat="1" ht="15.75" thickBot="1" x14ac:dyDescent="0.3">
      <c r="A197" s="40">
        <v>5971</v>
      </c>
      <c r="B197" s="40" t="s">
        <v>437</v>
      </c>
      <c r="C197" s="53" t="s">
        <v>390</v>
      </c>
      <c r="D197" s="40">
        <v>13</v>
      </c>
      <c r="E197" s="40">
        <v>0</v>
      </c>
      <c r="F197" s="40">
        <v>13</v>
      </c>
      <c r="G197" s="40">
        <v>76</v>
      </c>
      <c r="H197" s="40">
        <v>0</v>
      </c>
      <c r="I197" s="40">
        <v>25</v>
      </c>
      <c r="J197" s="54" t="s">
        <v>524</v>
      </c>
      <c r="K197" s="54" t="s">
        <v>525</v>
      </c>
      <c r="L197" s="56">
        <v>45947</v>
      </c>
      <c r="M197" s="40">
        <v>0</v>
      </c>
      <c r="N197" s="40">
        <v>0</v>
      </c>
      <c r="O197" s="40">
        <v>0</v>
      </c>
      <c r="S197" s="40" t="b">
        <v>0</v>
      </c>
      <c r="T197" s="40">
        <v>0.01</v>
      </c>
      <c r="U197" s="52">
        <v>8.25</v>
      </c>
      <c r="V197" s="40">
        <v>0.01</v>
      </c>
      <c r="W197" s="40">
        <v>0</v>
      </c>
      <c r="X197" s="40">
        <v>1000</v>
      </c>
      <c r="Z197" s="40">
        <v>10</v>
      </c>
      <c r="AB197" s="52">
        <v>50</v>
      </c>
      <c r="AD197" s="40">
        <v>10</v>
      </c>
      <c r="AF197" s="40">
        <v>2000</v>
      </c>
      <c r="AG197" s="40">
        <v>2</v>
      </c>
      <c r="AH197" s="40">
        <v>8.5299997330000004</v>
      </c>
      <c r="AI197" s="40">
        <v>16</v>
      </c>
      <c r="AJ197" s="40">
        <v>0</v>
      </c>
      <c r="AK197" s="40">
        <v>0</v>
      </c>
      <c r="AM197" s="40" t="s">
        <v>2</v>
      </c>
      <c r="AO197" s="40">
        <v>50</v>
      </c>
      <c r="AW197" s="40" t="b">
        <v>0</v>
      </c>
      <c r="BE197" s="244"/>
      <c r="BF197" s="40">
        <v>1.6</v>
      </c>
      <c r="BG197" s="40">
        <v>1</v>
      </c>
      <c r="BH197" s="40">
        <v>1</v>
      </c>
      <c r="BI197" s="40">
        <v>0.55000000000000004</v>
      </c>
      <c r="BJ197" s="40">
        <v>0</v>
      </c>
      <c r="BM197" s="33" t="s">
        <v>1</v>
      </c>
      <c r="BN197" s="58">
        <v>13</v>
      </c>
      <c r="BO197" s="35">
        <f t="shared" si="30"/>
        <v>8.25</v>
      </c>
      <c r="BP197" s="58">
        <v>250</v>
      </c>
      <c r="BT197" s="59"/>
      <c r="BU197" s="59"/>
      <c r="BV197" s="59"/>
      <c r="BW197" s="59"/>
      <c r="BX197" s="59"/>
      <c r="BY197" s="59"/>
      <c r="BZ197" s="59"/>
      <c r="CA197" s="59"/>
      <c r="CB197" s="59"/>
      <c r="CC197" s="59"/>
      <c r="CD197" s="59"/>
      <c r="CE197" s="60"/>
      <c r="CF197" s="44" t="s">
        <v>16</v>
      </c>
      <c r="CI197" s="40">
        <v>2.68</v>
      </c>
      <c r="CR197" s="40">
        <v>0</v>
      </c>
      <c r="CS197" s="67">
        <v>0</v>
      </c>
      <c r="CT197" s="67">
        <v>0</v>
      </c>
      <c r="CU197" s="40">
        <v>0</v>
      </c>
      <c r="CV197" s="67">
        <v>0</v>
      </c>
      <c r="CW197" s="67">
        <v>0</v>
      </c>
      <c r="CX197" s="67">
        <v>0</v>
      </c>
      <c r="CY197" s="67">
        <v>0</v>
      </c>
      <c r="CZ197" s="67">
        <v>0</v>
      </c>
      <c r="DA197" s="67">
        <v>0</v>
      </c>
      <c r="DB197" s="67">
        <v>0</v>
      </c>
      <c r="DD197" s="40">
        <v>0</v>
      </c>
      <c r="DI197" s="40" t="s">
        <v>0</v>
      </c>
    </row>
    <row r="198" spans="1:113" s="40" customFormat="1" ht="15.75" thickBot="1" x14ac:dyDescent="0.3">
      <c r="A198" s="40">
        <v>6027</v>
      </c>
      <c r="B198" s="40" t="s">
        <v>437</v>
      </c>
      <c r="C198" s="53" t="s">
        <v>390</v>
      </c>
      <c r="D198" s="40">
        <v>13</v>
      </c>
      <c r="E198" s="40">
        <v>0</v>
      </c>
      <c r="F198" s="40">
        <v>13</v>
      </c>
      <c r="G198" s="40">
        <v>132</v>
      </c>
      <c r="H198" s="40">
        <v>0</v>
      </c>
      <c r="I198" s="40">
        <v>25</v>
      </c>
      <c r="J198" s="54" t="s">
        <v>526</v>
      </c>
      <c r="K198" s="54" t="s">
        <v>527</v>
      </c>
      <c r="L198" s="56">
        <v>45947</v>
      </c>
      <c r="M198" s="40">
        <v>0</v>
      </c>
      <c r="N198" s="40">
        <v>0</v>
      </c>
      <c r="O198" s="40">
        <v>0</v>
      </c>
      <c r="S198" s="40" t="b">
        <v>0</v>
      </c>
      <c r="T198" s="40">
        <v>0.01</v>
      </c>
      <c r="U198" s="52">
        <v>8.25</v>
      </c>
      <c r="V198" s="40">
        <v>0.01</v>
      </c>
      <c r="W198" s="40">
        <v>0</v>
      </c>
      <c r="X198" s="40">
        <v>1000</v>
      </c>
      <c r="Z198" s="40">
        <v>10</v>
      </c>
      <c r="AB198" s="52">
        <v>50</v>
      </c>
      <c r="AD198" s="40">
        <v>10</v>
      </c>
      <c r="AF198" s="40">
        <v>2000</v>
      </c>
      <c r="AG198" s="40">
        <v>2</v>
      </c>
      <c r="AH198" s="40">
        <v>8.5500001910000005</v>
      </c>
      <c r="AI198" s="40">
        <v>16</v>
      </c>
      <c r="AJ198" s="40">
        <v>0</v>
      </c>
      <c r="AK198" s="40">
        <v>0</v>
      </c>
      <c r="AM198" s="40" t="s">
        <v>2</v>
      </c>
      <c r="AO198" s="40">
        <v>50</v>
      </c>
      <c r="AW198" s="40" t="b">
        <v>0</v>
      </c>
      <c r="BE198" s="244"/>
      <c r="BF198" s="40">
        <v>1.6</v>
      </c>
      <c r="BG198" s="40">
        <v>1</v>
      </c>
      <c r="BH198" s="40">
        <v>1</v>
      </c>
      <c r="BI198" s="40">
        <v>0.55000000000000004</v>
      </c>
      <c r="BJ198" s="40">
        <v>0</v>
      </c>
      <c r="BM198" s="33" t="s">
        <v>1</v>
      </c>
      <c r="BN198" s="58">
        <v>13</v>
      </c>
      <c r="BO198" s="35">
        <f t="shared" si="30"/>
        <v>8.25</v>
      </c>
      <c r="BP198" s="58">
        <v>250</v>
      </c>
      <c r="BT198" s="59"/>
      <c r="BU198" s="59"/>
      <c r="BV198" s="59"/>
      <c r="BW198" s="59"/>
      <c r="BX198" s="59"/>
      <c r="BY198" s="59"/>
      <c r="BZ198" s="59"/>
      <c r="CA198" s="59"/>
      <c r="CB198" s="59"/>
      <c r="CC198" s="59"/>
      <c r="CD198" s="59"/>
      <c r="CE198" s="60"/>
      <c r="CF198" s="44" t="s">
        <v>16</v>
      </c>
      <c r="CI198" s="40">
        <v>2.68</v>
      </c>
      <c r="CR198" s="40">
        <v>0</v>
      </c>
      <c r="CS198" s="67">
        <v>0</v>
      </c>
      <c r="CT198" s="67">
        <v>0</v>
      </c>
      <c r="CU198" s="40">
        <v>0</v>
      </c>
      <c r="CV198" s="67">
        <v>0</v>
      </c>
      <c r="CW198" s="67">
        <v>0</v>
      </c>
      <c r="CX198" s="67">
        <v>0</v>
      </c>
      <c r="CY198" s="67">
        <v>0</v>
      </c>
      <c r="CZ198" s="67">
        <v>0</v>
      </c>
      <c r="DA198" s="67">
        <v>0</v>
      </c>
      <c r="DB198" s="67">
        <v>0</v>
      </c>
      <c r="DD198" s="40">
        <v>0</v>
      </c>
      <c r="DI198" s="40" t="s">
        <v>0</v>
      </c>
    </row>
    <row r="199" spans="1:113" s="40" customFormat="1" ht="15.75" thickBot="1" x14ac:dyDescent="0.3">
      <c r="A199" s="40">
        <v>6028</v>
      </c>
      <c r="B199" s="40" t="s">
        <v>437</v>
      </c>
      <c r="C199" s="53" t="s">
        <v>390</v>
      </c>
      <c r="D199" s="40">
        <v>13</v>
      </c>
      <c r="E199" s="40">
        <v>0</v>
      </c>
      <c r="F199" s="40">
        <v>13</v>
      </c>
      <c r="G199" s="40">
        <v>133</v>
      </c>
      <c r="H199" s="40">
        <v>0</v>
      </c>
      <c r="I199" s="40">
        <v>25</v>
      </c>
      <c r="J199" s="54" t="s">
        <v>528</v>
      </c>
      <c r="K199" s="54" t="s">
        <v>529</v>
      </c>
      <c r="L199" s="56">
        <v>45947</v>
      </c>
      <c r="M199" s="40">
        <v>0</v>
      </c>
      <c r="N199" s="40">
        <v>0</v>
      </c>
      <c r="O199" s="40">
        <v>0</v>
      </c>
      <c r="S199" s="40" t="b">
        <v>0</v>
      </c>
      <c r="T199" s="40">
        <v>0.01</v>
      </c>
      <c r="U199" s="52">
        <v>8.25</v>
      </c>
      <c r="V199" s="40">
        <v>0.01</v>
      </c>
      <c r="W199" s="40">
        <v>0</v>
      </c>
      <c r="X199" s="40">
        <v>1000</v>
      </c>
      <c r="Z199" s="40">
        <v>10</v>
      </c>
      <c r="AB199" s="52">
        <v>50</v>
      </c>
      <c r="AD199" s="40">
        <v>10</v>
      </c>
      <c r="AF199" s="40">
        <v>2000</v>
      </c>
      <c r="AG199" s="40">
        <v>2</v>
      </c>
      <c r="AH199" s="40">
        <v>8.5799999239999991</v>
      </c>
      <c r="AI199" s="40">
        <v>16</v>
      </c>
      <c r="AJ199" s="40">
        <v>0</v>
      </c>
      <c r="AK199" s="40">
        <v>0</v>
      </c>
      <c r="AM199" s="40" t="s">
        <v>2</v>
      </c>
      <c r="AO199" s="40">
        <v>50</v>
      </c>
      <c r="AW199" s="40" t="b">
        <v>0</v>
      </c>
      <c r="BE199" s="244"/>
      <c r="BF199" s="40">
        <v>1.6</v>
      </c>
      <c r="BG199" s="40">
        <v>1</v>
      </c>
      <c r="BH199" s="40">
        <v>1</v>
      </c>
      <c r="BI199" s="40">
        <v>0.55000000000000004</v>
      </c>
      <c r="BJ199" s="40">
        <v>0</v>
      </c>
      <c r="BM199" s="33" t="s">
        <v>1</v>
      </c>
      <c r="BN199" s="58">
        <v>13</v>
      </c>
      <c r="BO199" s="35">
        <f t="shared" si="30"/>
        <v>8.25</v>
      </c>
      <c r="BP199" s="58">
        <v>250</v>
      </c>
      <c r="BT199" s="59"/>
      <c r="BU199" s="59"/>
      <c r="BV199" s="59"/>
      <c r="BW199" s="59"/>
      <c r="BX199" s="59"/>
      <c r="BY199" s="59"/>
      <c r="BZ199" s="59"/>
      <c r="CA199" s="59"/>
      <c r="CB199" s="59"/>
      <c r="CC199" s="59"/>
      <c r="CD199" s="59"/>
      <c r="CE199" s="60"/>
      <c r="CF199" s="44" t="s">
        <v>16</v>
      </c>
      <c r="CI199" s="40">
        <v>2.68</v>
      </c>
      <c r="CR199" s="40">
        <v>0</v>
      </c>
      <c r="CS199" s="67">
        <v>0</v>
      </c>
      <c r="CT199" s="67">
        <v>0</v>
      </c>
      <c r="CU199" s="40">
        <v>0</v>
      </c>
      <c r="CV199" s="67">
        <v>0</v>
      </c>
      <c r="CW199" s="67">
        <v>0</v>
      </c>
      <c r="CX199" s="67">
        <v>0</v>
      </c>
      <c r="CY199" s="67">
        <v>0</v>
      </c>
      <c r="CZ199" s="67">
        <v>0</v>
      </c>
      <c r="DA199" s="67">
        <v>0</v>
      </c>
      <c r="DB199" s="67">
        <v>0</v>
      </c>
      <c r="DD199" s="40">
        <v>0</v>
      </c>
      <c r="DI199" s="40" t="s">
        <v>0</v>
      </c>
    </row>
    <row r="200" spans="1:113" s="40" customFormat="1" ht="15.75" thickBot="1" x14ac:dyDescent="0.3">
      <c r="A200" s="40">
        <v>6029</v>
      </c>
      <c r="B200" s="40" t="s">
        <v>437</v>
      </c>
      <c r="C200" s="53" t="s">
        <v>390</v>
      </c>
      <c r="D200" s="40">
        <v>13</v>
      </c>
      <c r="E200" s="40">
        <v>0</v>
      </c>
      <c r="F200" s="40">
        <v>13</v>
      </c>
      <c r="G200" s="40">
        <v>134</v>
      </c>
      <c r="H200" s="40">
        <v>0</v>
      </c>
      <c r="I200" s="40">
        <v>25</v>
      </c>
      <c r="J200" s="54" t="s">
        <v>530</v>
      </c>
      <c r="K200" s="54" t="s">
        <v>531</v>
      </c>
      <c r="L200" s="56">
        <v>45947</v>
      </c>
      <c r="M200" s="40">
        <v>0</v>
      </c>
      <c r="N200" s="40">
        <v>0</v>
      </c>
      <c r="O200" s="40">
        <v>0</v>
      </c>
      <c r="S200" s="40" t="b">
        <v>0</v>
      </c>
      <c r="T200" s="40">
        <v>0.01</v>
      </c>
      <c r="U200" s="52">
        <v>8.25</v>
      </c>
      <c r="V200" s="40">
        <v>0.01</v>
      </c>
      <c r="W200" s="40">
        <v>0</v>
      </c>
      <c r="X200" s="40">
        <v>1000</v>
      </c>
      <c r="Z200" s="40">
        <v>10</v>
      </c>
      <c r="AB200" s="52">
        <v>50</v>
      </c>
      <c r="AD200" s="40">
        <v>10</v>
      </c>
      <c r="AF200" s="40">
        <v>2000</v>
      </c>
      <c r="AG200" s="40">
        <v>2</v>
      </c>
      <c r="AH200" s="40">
        <v>8.5299997330000004</v>
      </c>
      <c r="AI200" s="40">
        <v>16</v>
      </c>
      <c r="AJ200" s="40">
        <v>0</v>
      </c>
      <c r="AK200" s="40">
        <v>0</v>
      </c>
      <c r="AM200" s="40" t="s">
        <v>2</v>
      </c>
      <c r="AO200" s="40">
        <v>50</v>
      </c>
      <c r="AW200" s="40" t="b">
        <v>0</v>
      </c>
      <c r="BE200" s="244"/>
      <c r="BF200" s="40">
        <v>1.6</v>
      </c>
      <c r="BG200" s="40">
        <v>1</v>
      </c>
      <c r="BH200" s="40">
        <v>1</v>
      </c>
      <c r="BI200" s="40">
        <v>0.55000000000000004</v>
      </c>
      <c r="BJ200" s="40">
        <v>0</v>
      </c>
      <c r="BM200" s="33" t="s">
        <v>1</v>
      </c>
      <c r="BN200" s="58">
        <v>13</v>
      </c>
      <c r="BO200" s="35">
        <f t="shared" si="30"/>
        <v>8.25</v>
      </c>
      <c r="BP200" s="58">
        <v>250</v>
      </c>
      <c r="BT200" s="59"/>
      <c r="BU200" s="59"/>
      <c r="BV200" s="59"/>
      <c r="BW200" s="59"/>
      <c r="BX200" s="59"/>
      <c r="BY200" s="59"/>
      <c r="BZ200" s="59"/>
      <c r="CA200" s="59"/>
      <c r="CB200" s="59"/>
      <c r="CC200" s="59"/>
      <c r="CD200" s="59"/>
      <c r="CE200" s="60"/>
      <c r="CF200" s="44" t="s">
        <v>16</v>
      </c>
      <c r="CI200" s="40">
        <v>2.68</v>
      </c>
      <c r="CR200" s="40">
        <v>0</v>
      </c>
      <c r="CS200" s="67">
        <v>0</v>
      </c>
      <c r="CT200" s="67">
        <v>0</v>
      </c>
      <c r="CU200" s="40">
        <v>0</v>
      </c>
      <c r="CV200" s="67">
        <v>0</v>
      </c>
      <c r="CW200" s="67">
        <v>0</v>
      </c>
      <c r="CX200" s="67">
        <v>0</v>
      </c>
      <c r="CY200" s="67">
        <v>0</v>
      </c>
      <c r="CZ200" s="67">
        <v>0</v>
      </c>
      <c r="DA200" s="67">
        <v>0</v>
      </c>
      <c r="DB200" s="67">
        <v>0</v>
      </c>
      <c r="DD200" s="40">
        <v>0</v>
      </c>
      <c r="DI200" s="40" t="s">
        <v>0</v>
      </c>
    </row>
    <row r="201" spans="1:113" s="40" customFormat="1" ht="15.75" thickBot="1" x14ac:dyDescent="0.3">
      <c r="A201" s="40">
        <v>6030</v>
      </c>
      <c r="B201" s="40" t="s">
        <v>437</v>
      </c>
      <c r="C201" s="53" t="s">
        <v>390</v>
      </c>
      <c r="D201" s="40">
        <v>13</v>
      </c>
      <c r="E201" s="40">
        <v>0</v>
      </c>
      <c r="F201" s="40">
        <v>13</v>
      </c>
      <c r="G201" s="40">
        <v>135</v>
      </c>
      <c r="H201" s="40">
        <v>0</v>
      </c>
      <c r="I201" s="40">
        <v>25</v>
      </c>
      <c r="J201" s="54" t="s">
        <v>532</v>
      </c>
      <c r="K201" s="54" t="s">
        <v>533</v>
      </c>
      <c r="L201" s="56">
        <v>45947</v>
      </c>
      <c r="M201" s="40">
        <v>0</v>
      </c>
      <c r="N201" s="40">
        <v>0</v>
      </c>
      <c r="O201" s="40">
        <v>0</v>
      </c>
      <c r="S201" s="40" t="b">
        <v>0</v>
      </c>
      <c r="T201" s="40">
        <v>0.01</v>
      </c>
      <c r="U201" s="52">
        <v>8.25</v>
      </c>
      <c r="V201" s="40">
        <v>0.01</v>
      </c>
      <c r="W201" s="40">
        <v>0</v>
      </c>
      <c r="X201" s="40">
        <v>1000</v>
      </c>
      <c r="Z201" s="40">
        <v>10</v>
      </c>
      <c r="AB201" s="52">
        <v>50</v>
      </c>
      <c r="AD201" s="40">
        <v>10</v>
      </c>
      <c r="AF201" s="40">
        <v>2000</v>
      </c>
      <c r="AG201" s="40">
        <v>2</v>
      </c>
      <c r="AH201" s="40">
        <v>8.5500001910000005</v>
      </c>
      <c r="AI201" s="40">
        <v>16</v>
      </c>
      <c r="AJ201" s="40">
        <v>0</v>
      </c>
      <c r="AK201" s="40">
        <v>0</v>
      </c>
      <c r="AM201" s="40" t="s">
        <v>2</v>
      </c>
      <c r="AO201" s="40">
        <v>50</v>
      </c>
      <c r="AW201" s="40" t="b">
        <v>0</v>
      </c>
      <c r="BE201" s="244"/>
      <c r="BF201" s="40">
        <v>1.6</v>
      </c>
      <c r="BG201" s="40">
        <v>1</v>
      </c>
      <c r="BH201" s="40">
        <v>1</v>
      </c>
      <c r="BI201" s="40">
        <v>0.55000000000000004</v>
      </c>
      <c r="BJ201" s="40">
        <v>0</v>
      </c>
      <c r="BM201" s="33" t="s">
        <v>1</v>
      </c>
      <c r="BN201" s="58">
        <v>13</v>
      </c>
      <c r="BO201" s="35">
        <f t="shared" si="30"/>
        <v>8.25</v>
      </c>
      <c r="BP201" s="58">
        <v>250</v>
      </c>
      <c r="BT201" s="59"/>
      <c r="BU201" s="59"/>
      <c r="BV201" s="59"/>
      <c r="BW201" s="59"/>
      <c r="BX201" s="59"/>
      <c r="BY201" s="59"/>
      <c r="BZ201" s="59"/>
      <c r="CA201" s="59"/>
      <c r="CB201" s="59"/>
      <c r="CC201" s="59"/>
      <c r="CD201" s="59"/>
      <c r="CE201" s="60"/>
      <c r="CF201" s="44" t="s">
        <v>16</v>
      </c>
      <c r="CI201" s="40">
        <v>2.68</v>
      </c>
      <c r="CR201" s="40">
        <v>0</v>
      </c>
      <c r="CS201" s="67">
        <v>0</v>
      </c>
      <c r="CT201" s="67">
        <v>0</v>
      </c>
      <c r="CU201" s="40">
        <v>0</v>
      </c>
      <c r="CV201" s="67">
        <v>0</v>
      </c>
      <c r="CW201" s="67">
        <v>0</v>
      </c>
      <c r="CX201" s="67">
        <v>0</v>
      </c>
      <c r="CY201" s="67">
        <v>0</v>
      </c>
      <c r="CZ201" s="67">
        <v>0</v>
      </c>
      <c r="DA201" s="67">
        <v>0</v>
      </c>
      <c r="DB201" s="67">
        <v>0</v>
      </c>
      <c r="DD201" s="40">
        <v>0</v>
      </c>
      <c r="DI201" s="40" t="s">
        <v>0</v>
      </c>
    </row>
    <row r="202" spans="1:113" s="40" customFormat="1" ht="15.75" thickBot="1" x14ac:dyDescent="0.3">
      <c r="A202" s="40">
        <v>6032</v>
      </c>
      <c r="B202" s="40" t="s">
        <v>437</v>
      </c>
      <c r="C202" s="53" t="s">
        <v>390</v>
      </c>
      <c r="D202" s="40">
        <v>13</v>
      </c>
      <c r="E202" s="40">
        <v>0</v>
      </c>
      <c r="F202" s="40">
        <v>13</v>
      </c>
      <c r="G202" s="40">
        <v>137</v>
      </c>
      <c r="H202" s="40">
        <v>0</v>
      </c>
      <c r="I202" s="40">
        <v>25</v>
      </c>
      <c r="J202" s="54" t="s">
        <v>534</v>
      </c>
      <c r="K202" s="54" t="s">
        <v>535</v>
      </c>
      <c r="L202" s="56">
        <v>45947</v>
      </c>
      <c r="M202" s="40">
        <v>0</v>
      </c>
      <c r="N202" s="40">
        <v>0</v>
      </c>
      <c r="O202" s="40">
        <v>0</v>
      </c>
      <c r="S202" s="40" t="b">
        <v>0</v>
      </c>
      <c r="T202" s="40">
        <v>0.01</v>
      </c>
      <c r="U202" s="52">
        <v>8.25</v>
      </c>
      <c r="V202" s="40">
        <v>0.01</v>
      </c>
      <c r="W202" s="40">
        <v>0</v>
      </c>
      <c r="X202" s="40">
        <v>1000</v>
      </c>
      <c r="Z202" s="40">
        <v>10</v>
      </c>
      <c r="AB202" s="52">
        <v>50</v>
      </c>
      <c r="AD202" s="40">
        <v>10</v>
      </c>
      <c r="AF202" s="40">
        <v>2000</v>
      </c>
      <c r="AG202" s="40">
        <v>2</v>
      </c>
      <c r="AH202" s="40">
        <v>8.5200004580000002</v>
      </c>
      <c r="AI202" s="40">
        <v>16</v>
      </c>
      <c r="AJ202" s="40">
        <v>0</v>
      </c>
      <c r="AK202" s="40">
        <v>0</v>
      </c>
      <c r="AM202" s="40" t="s">
        <v>2</v>
      </c>
      <c r="AO202" s="40">
        <v>50</v>
      </c>
      <c r="AW202" s="40" t="b">
        <v>0</v>
      </c>
      <c r="BE202" s="244"/>
      <c r="BF202" s="40">
        <v>1.6</v>
      </c>
      <c r="BG202" s="40">
        <v>1</v>
      </c>
      <c r="BH202" s="40">
        <v>1</v>
      </c>
      <c r="BI202" s="40">
        <v>0.55000000000000004</v>
      </c>
      <c r="BJ202" s="40">
        <v>0</v>
      </c>
      <c r="BM202" s="33" t="s">
        <v>1</v>
      </c>
      <c r="BN202" s="58">
        <v>13</v>
      </c>
      <c r="BO202" s="35">
        <f t="shared" si="30"/>
        <v>8.25</v>
      </c>
      <c r="BP202" s="58">
        <v>250</v>
      </c>
      <c r="BT202" s="59"/>
      <c r="BU202" s="59"/>
      <c r="BV202" s="59"/>
      <c r="BW202" s="59"/>
      <c r="BX202" s="59"/>
      <c r="BY202" s="59"/>
      <c r="BZ202" s="59"/>
      <c r="CA202" s="59"/>
      <c r="CB202" s="59"/>
      <c r="CC202" s="59"/>
      <c r="CD202" s="59"/>
      <c r="CE202" s="60"/>
      <c r="CF202" s="44" t="s">
        <v>16</v>
      </c>
      <c r="CI202" s="40">
        <v>2.68</v>
      </c>
      <c r="CR202" s="40">
        <v>0</v>
      </c>
      <c r="CS202" s="67">
        <v>0</v>
      </c>
      <c r="CT202" s="67">
        <v>0</v>
      </c>
      <c r="CU202" s="40">
        <v>0</v>
      </c>
      <c r="CV202" s="67">
        <v>0</v>
      </c>
      <c r="CW202" s="67">
        <v>0</v>
      </c>
      <c r="CX202" s="67">
        <v>0</v>
      </c>
      <c r="CY202" s="67">
        <v>0</v>
      </c>
      <c r="CZ202" s="67">
        <v>0</v>
      </c>
      <c r="DA202" s="67">
        <v>0</v>
      </c>
      <c r="DB202" s="67">
        <v>0</v>
      </c>
      <c r="DD202" s="40">
        <v>0</v>
      </c>
      <c r="DI202" s="40" t="s">
        <v>0</v>
      </c>
    </row>
    <row r="203" spans="1:113" s="40" customFormat="1" ht="15.75" thickBot="1" x14ac:dyDescent="0.3">
      <c r="A203" s="40">
        <v>6033</v>
      </c>
      <c r="B203" s="40" t="s">
        <v>437</v>
      </c>
      <c r="C203" s="53" t="s">
        <v>390</v>
      </c>
      <c r="D203" s="40">
        <v>13</v>
      </c>
      <c r="E203" s="40">
        <v>0</v>
      </c>
      <c r="F203" s="40">
        <v>13</v>
      </c>
      <c r="G203" s="40">
        <v>138</v>
      </c>
      <c r="H203" s="40">
        <v>0</v>
      </c>
      <c r="I203" s="40">
        <v>25</v>
      </c>
      <c r="J203" s="54" t="s">
        <v>536</v>
      </c>
      <c r="K203" s="54" t="s">
        <v>537</v>
      </c>
      <c r="L203" s="56">
        <v>45947</v>
      </c>
      <c r="M203" s="40">
        <v>0</v>
      </c>
      <c r="N203" s="40">
        <v>0</v>
      </c>
      <c r="O203" s="40">
        <v>0</v>
      </c>
      <c r="S203" s="40" t="b">
        <v>0</v>
      </c>
      <c r="T203" s="40">
        <v>0.01</v>
      </c>
      <c r="U203" s="52">
        <v>8.25</v>
      </c>
      <c r="V203" s="40">
        <v>0.01</v>
      </c>
      <c r="W203" s="40">
        <v>0</v>
      </c>
      <c r="X203" s="40">
        <v>1000</v>
      </c>
      <c r="Z203" s="40">
        <v>10</v>
      </c>
      <c r="AB203" s="52">
        <v>50</v>
      </c>
      <c r="AD203" s="40">
        <v>10</v>
      </c>
      <c r="AF203" s="40">
        <v>2000</v>
      </c>
      <c r="AG203" s="40">
        <v>2</v>
      </c>
      <c r="AH203" s="40">
        <v>8.5500001910000005</v>
      </c>
      <c r="AI203" s="40">
        <v>16</v>
      </c>
      <c r="AJ203" s="40">
        <v>0</v>
      </c>
      <c r="AK203" s="40">
        <v>0</v>
      </c>
      <c r="AM203" s="40" t="s">
        <v>2</v>
      </c>
      <c r="AO203" s="40">
        <v>50</v>
      </c>
      <c r="AW203" s="40" t="b">
        <v>0</v>
      </c>
      <c r="BE203" s="244"/>
      <c r="BF203" s="40">
        <v>1.6</v>
      </c>
      <c r="BG203" s="40">
        <v>1</v>
      </c>
      <c r="BH203" s="40">
        <v>1</v>
      </c>
      <c r="BI203" s="40">
        <v>0.55000000000000004</v>
      </c>
      <c r="BJ203" s="40">
        <v>0</v>
      </c>
      <c r="BM203" s="33" t="s">
        <v>1</v>
      </c>
      <c r="BN203" s="58">
        <v>13</v>
      </c>
      <c r="BO203" s="35">
        <f t="shared" si="30"/>
        <v>8.25</v>
      </c>
      <c r="BP203" s="58">
        <v>250</v>
      </c>
      <c r="BT203" s="59"/>
      <c r="BU203" s="59"/>
      <c r="BV203" s="59"/>
      <c r="BW203" s="59"/>
      <c r="BX203" s="59"/>
      <c r="BY203" s="59"/>
      <c r="BZ203" s="59"/>
      <c r="CA203" s="59"/>
      <c r="CB203" s="59"/>
      <c r="CC203" s="59"/>
      <c r="CD203" s="59"/>
      <c r="CE203" s="60"/>
      <c r="CF203" s="44" t="s">
        <v>16</v>
      </c>
      <c r="CI203" s="40">
        <v>2.68</v>
      </c>
      <c r="CR203" s="40">
        <v>0</v>
      </c>
      <c r="CS203" s="67">
        <v>0</v>
      </c>
      <c r="CT203" s="67">
        <v>0</v>
      </c>
      <c r="CU203" s="40">
        <v>0</v>
      </c>
      <c r="CV203" s="67">
        <v>0</v>
      </c>
      <c r="CW203" s="67">
        <v>0</v>
      </c>
      <c r="CX203" s="67">
        <v>0</v>
      </c>
      <c r="CY203" s="67">
        <v>0</v>
      </c>
      <c r="CZ203" s="67">
        <v>0</v>
      </c>
      <c r="DA203" s="67">
        <v>0</v>
      </c>
      <c r="DB203" s="67">
        <v>0</v>
      </c>
      <c r="DD203" s="40">
        <v>0</v>
      </c>
      <c r="DI203" s="40" t="s">
        <v>0</v>
      </c>
    </row>
    <row r="204" spans="1:113" s="40" customFormat="1" ht="15.75" thickBot="1" x14ac:dyDescent="0.3">
      <c r="A204" s="40">
        <v>6034</v>
      </c>
      <c r="B204" s="40" t="s">
        <v>437</v>
      </c>
      <c r="C204" s="53" t="s">
        <v>390</v>
      </c>
      <c r="D204" s="40">
        <v>13</v>
      </c>
      <c r="E204" s="40">
        <v>0</v>
      </c>
      <c r="F204" s="40">
        <v>13</v>
      </c>
      <c r="G204" s="40">
        <v>139</v>
      </c>
      <c r="H204" s="40">
        <v>0</v>
      </c>
      <c r="I204" s="40">
        <v>25</v>
      </c>
      <c r="J204" s="54" t="s">
        <v>538</v>
      </c>
      <c r="K204" s="54" t="s">
        <v>539</v>
      </c>
      <c r="L204" s="56">
        <v>45947</v>
      </c>
      <c r="M204" s="40">
        <v>0</v>
      </c>
      <c r="N204" s="40">
        <v>0</v>
      </c>
      <c r="O204" s="40">
        <v>0</v>
      </c>
      <c r="S204" s="40" t="b">
        <v>0</v>
      </c>
      <c r="T204" s="40">
        <v>0.01</v>
      </c>
      <c r="U204" s="52">
        <v>8.25</v>
      </c>
      <c r="V204" s="40">
        <v>0.01</v>
      </c>
      <c r="W204" s="40">
        <v>0</v>
      </c>
      <c r="X204" s="40">
        <v>1000</v>
      </c>
      <c r="Z204" s="40">
        <v>10</v>
      </c>
      <c r="AB204" s="52">
        <v>50</v>
      </c>
      <c r="AD204" s="40">
        <v>10</v>
      </c>
      <c r="AF204" s="40">
        <v>2000</v>
      </c>
      <c r="AG204" s="40">
        <v>2</v>
      </c>
      <c r="AH204" s="40">
        <v>8.5500001910000005</v>
      </c>
      <c r="AI204" s="40">
        <v>16</v>
      </c>
      <c r="AJ204" s="40">
        <v>0</v>
      </c>
      <c r="AK204" s="40">
        <v>0</v>
      </c>
      <c r="AM204" s="40" t="s">
        <v>2</v>
      </c>
      <c r="AO204" s="40">
        <v>50</v>
      </c>
      <c r="AW204" s="40" t="b">
        <v>0</v>
      </c>
      <c r="BE204" s="244"/>
      <c r="BF204" s="40">
        <v>1.6</v>
      </c>
      <c r="BG204" s="40">
        <v>1</v>
      </c>
      <c r="BH204" s="40">
        <v>1</v>
      </c>
      <c r="BI204" s="40">
        <v>0.55000000000000004</v>
      </c>
      <c r="BJ204" s="40">
        <v>0</v>
      </c>
      <c r="BM204" s="33" t="s">
        <v>1</v>
      </c>
      <c r="BN204" s="58">
        <v>13</v>
      </c>
      <c r="BO204" s="35">
        <f t="shared" si="30"/>
        <v>8.25</v>
      </c>
      <c r="BP204" s="58">
        <v>250</v>
      </c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60"/>
      <c r="CF204" s="44" t="s">
        <v>16</v>
      </c>
      <c r="CI204" s="40">
        <v>2.68</v>
      </c>
      <c r="CR204" s="40">
        <v>0</v>
      </c>
      <c r="CS204" s="67">
        <v>0</v>
      </c>
      <c r="CT204" s="67">
        <v>0</v>
      </c>
      <c r="CU204" s="40">
        <v>0</v>
      </c>
      <c r="CV204" s="67">
        <v>0</v>
      </c>
      <c r="CW204" s="67">
        <v>0</v>
      </c>
      <c r="CX204" s="67">
        <v>0</v>
      </c>
      <c r="CY204" s="67">
        <v>0</v>
      </c>
      <c r="CZ204" s="67">
        <v>0</v>
      </c>
      <c r="DA204" s="67">
        <v>0</v>
      </c>
      <c r="DB204" s="67">
        <v>0</v>
      </c>
      <c r="DD204" s="40">
        <v>0</v>
      </c>
      <c r="DI204" s="40" t="s">
        <v>0</v>
      </c>
    </row>
    <row r="205" spans="1:113" s="40" customFormat="1" ht="15.75" thickBot="1" x14ac:dyDescent="0.3">
      <c r="A205" s="40">
        <v>6035</v>
      </c>
      <c r="B205" s="40" t="s">
        <v>437</v>
      </c>
      <c r="C205" s="53" t="s">
        <v>390</v>
      </c>
      <c r="D205" s="40">
        <v>13</v>
      </c>
      <c r="E205" s="40">
        <v>0</v>
      </c>
      <c r="F205" s="40">
        <v>13</v>
      </c>
      <c r="G205" s="40">
        <v>140</v>
      </c>
      <c r="H205" s="40">
        <v>0</v>
      </c>
      <c r="I205" s="40">
        <v>25</v>
      </c>
      <c r="J205" s="54" t="s">
        <v>540</v>
      </c>
      <c r="K205" s="54" t="s">
        <v>541</v>
      </c>
      <c r="L205" s="56">
        <v>45947</v>
      </c>
      <c r="M205" s="40">
        <v>0</v>
      </c>
      <c r="N205" s="40">
        <v>0</v>
      </c>
      <c r="O205" s="40">
        <v>0</v>
      </c>
      <c r="S205" s="40" t="b">
        <v>0</v>
      </c>
      <c r="T205" s="40">
        <v>0.01</v>
      </c>
      <c r="U205" s="52">
        <v>8.25</v>
      </c>
      <c r="V205" s="40">
        <v>0.01</v>
      </c>
      <c r="W205" s="40">
        <v>0</v>
      </c>
      <c r="X205" s="40">
        <v>1000</v>
      </c>
      <c r="Z205" s="40">
        <v>10</v>
      </c>
      <c r="AB205" s="52">
        <v>50</v>
      </c>
      <c r="AD205" s="40">
        <v>10</v>
      </c>
      <c r="AF205" s="40">
        <v>2000</v>
      </c>
      <c r="AG205" s="40">
        <v>2</v>
      </c>
      <c r="AH205" s="40">
        <v>8.5600004199999997</v>
      </c>
      <c r="AI205" s="40">
        <v>16</v>
      </c>
      <c r="AJ205" s="40">
        <v>0</v>
      </c>
      <c r="AK205" s="40">
        <v>0</v>
      </c>
      <c r="AM205" s="40" t="s">
        <v>2</v>
      </c>
      <c r="AO205" s="40">
        <v>50</v>
      </c>
      <c r="AW205" s="40" t="b">
        <v>0</v>
      </c>
      <c r="BE205" s="244"/>
      <c r="BF205" s="40">
        <v>1.6</v>
      </c>
      <c r="BG205" s="40">
        <v>1</v>
      </c>
      <c r="BH205" s="40">
        <v>1</v>
      </c>
      <c r="BI205" s="40">
        <v>0.55000000000000004</v>
      </c>
      <c r="BJ205" s="40">
        <v>0</v>
      </c>
      <c r="BM205" s="33" t="s">
        <v>1</v>
      </c>
      <c r="BN205" s="58">
        <v>13</v>
      </c>
      <c r="BO205" s="35">
        <f t="shared" si="30"/>
        <v>8.25</v>
      </c>
      <c r="BP205" s="58">
        <v>250</v>
      </c>
      <c r="BT205" s="59"/>
      <c r="BU205" s="59"/>
      <c r="BV205" s="59"/>
      <c r="BW205" s="59"/>
      <c r="BX205" s="59"/>
      <c r="BY205" s="59"/>
      <c r="BZ205" s="59"/>
      <c r="CA205" s="59"/>
      <c r="CB205" s="59"/>
      <c r="CC205" s="59"/>
      <c r="CD205" s="59"/>
      <c r="CE205" s="60"/>
      <c r="CF205" s="44" t="s">
        <v>16</v>
      </c>
      <c r="CI205" s="40">
        <v>2.68</v>
      </c>
      <c r="CR205" s="40">
        <v>0</v>
      </c>
      <c r="CS205" s="67">
        <v>0</v>
      </c>
      <c r="CT205" s="67">
        <v>0</v>
      </c>
      <c r="CU205" s="40">
        <v>0</v>
      </c>
      <c r="CV205" s="67">
        <v>0</v>
      </c>
      <c r="CW205" s="67">
        <v>0</v>
      </c>
      <c r="CX205" s="67">
        <v>0</v>
      </c>
      <c r="CY205" s="67">
        <v>0</v>
      </c>
      <c r="CZ205" s="67">
        <v>0</v>
      </c>
      <c r="DA205" s="67">
        <v>0</v>
      </c>
      <c r="DB205" s="67">
        <v>0</v>
      </c>
      <c r="DD205" s="40">
        <v>0</v>
      </c>
      <c r="DI205" s="40" t="s">
        <v>0</v>
      </c>
    </row>
    <row r="206" spans="1:113" s="40" customFormat="1" ht="15.75" thickBot="1" x14ac:dyDescent="0.3">
      <c r="A206" s="40">
        <v>6091</v>
      </c>
      <c r="B206" s="40" t="s">
        <v>437</v>
      </c>
      <c r="C206" s="53" t="s">
        <v>390</v>
      </c>
      <c r="D206" s="40">
        <v>13</v>
      </c>
      <c r="E206" s="40">
        <v>0</v>
      </c>
      <c r="F206" s="40">
        <v>13</v>
      </c>
      <c r="G206" s="40">
        <v>196</v>
      </c>
      <c r="H206" s="40">
        <v>0</v>
      </c>
      <c r="I206" s="40">
        <v>25</v>
      </c>
      <c r="J206" s="54" t="s">
        <v>542</v>
      </c>
      <c r="K206" s="54" t="s">
        <v>543</v>
      </c>
      <c r="L206" s="56">
        <v>45947</v>
      </c>
      <c r="M206" s="40">
        <v>0</v>
      </c>
      <c r="N206" s="40">
        <v>0</v>
      </c>
      <c r="O206" s="40">
        <v>0</v>
      </c>
      <c r="S206" s="40" t="b">
        <v>0</v>
      </c>
      <c r="T206" s="40">
        <v>0.01</v>
      </c>
      <c r="U206" s="52">
        <v>8.25</v>
      </c>
      <c r="V206" s="40">
        <v>0.01</v>
      </c>
      <c r="W206" s="40">
        <v>0</v>
      </c>
      <c r="X206" s="40">
        <v>1000</v>
      </c>
      <c r="Z206" s="40">
        <v>10</v>
      </c>
      <c r="AB206" s="52">
        <v>50</v>
      </c>
      <c r="AD206" s="40">
        <v>10</v>
      </c>
      <c r="AF206" s="40">
        <v>2000</v>
      </c>
      <c r="AG206" s="40">
        <v>2</v>
      </c>
      <c r="AH206" s="40">
        <v>8.5699996949999999</v>
      </c>
      <c r="AI206" s="40">
        <v>16</v>
      </c>
      <c r="AJ206" s="40">
        <v>0</v>
      </c>
      <c r="AK206" s="40">
        <v>0</v>
      </c>
      <c r="AM206" s="40" t="s">
        <v>2</v>
      </c>
      <c r="AO206" s="40">
        <v>50</v>
      </c>
      <c r="AW206" s="40" t="b">
        <v>0</v>
      </c>
      <c r="BE206" s="244"/>
      <c r="BF206" s="40">
        <v>1.6</v>
      </c>
      <c r="BG206" s="40">
        <v>1</v>
      </c>
      <c r="BH206" s="40">
        <v>1</v>
      </c>
      <c r="BI206" s="40">
        <v>0.55000000000000004</v>
      </c>
      <c r="BJ206" s="40">
        <v>0</v>
      </c>
      <c r="BM206" s="33" t="s">
        <v>1</v>
      </c>
      <c r="BN206" s="58">
        <v>13</v>
      </c>
      <c r="BO206" s="35">
        <f t="shared" si="30"/>
        <v>8.25</v>
      </c>
      <c r="BP206" s="58">
        <v>250</v>
      </c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60"/>
      <c r="CF206" s="44" t="s">
        <v>16</v>
      </c>
      <c r="CI206" s="40">
        <v>2.68</v>
      </c>
      <c r="CR206" s="40">
        <v>0</v>
      </c>
      <c r="CS206" s="67">
        <v>0</v>
      </c>
      <c r="CT206" s="67">
        <v>0</v>
      </c>
      <c r="CU206" s="40">
        <v>0</v>
      </c>
      <c r="CV206" s="67">
        <v>0</v>
      </c>
      <c r="CW206" s="67">
        <v>0</v>
      </c>
      <c r="CX206" s="67">
        <v>0</v>
      </c>
      <c r="CY206" s="67">
        <v>0</v>
      </c>
      <c r="CZ206" s="67">
        <v>0</v>
      </c>
      <c r="DA206" s="67">
        <v>0</v>
      </c>
      <c r="DB206" s="67">
        <v>0</v>
      </c>
      <c r="DD206" s="40">
        <v>0</v>
      </c>
      <c r="DI206" s="40" t="s">
        <v>0</v>
      </c>
    </row>
    <row r="207" spans="1:113" s="40" customFormat="1" ht="15.75" thickBot="1" x14ac:dyDescent="0.3">
      <c r="A207" s="40">
        <v>6092</v>
      </c>
      <c r="B207" s="40" t="s">
        <v>437</v>
      </c>
      <c r="C207" s="53" t="s">
        <v>390</v>
      </c>
      <c r="D207" s="40">
        <v>13</v>
      </c>
      <c r="E207" s="40">
        <v>0</v>
      </c>
      <c r="F207" s="40">
        <v>13</v>
      </c>
      <c r="G207" s="40">
        <v>197</v>
      </c>
      <c r="H207" s="40">
        <v>0</v>
      </c>
      <c r="I207" s="40">
        <v>25</v>
      </c>
      <c r="J207" s="54" t="s">
        <v>544</v>
      </c>
      <c r="K207" s="54" t="s">
        <v>545</v>
      </c>
      <c r="L207" s="56">
        <v>45947</v>
      </c>
      <c r="M207" s="40">
        <v>0</v>
      </c>
      <c r="N207" s="40">
        <v>0</v>
      </c>
      <c r="O207" s="40">
        <v>0</v>
      </c>
      <c r="S207" s="40" t="b">
        <v>0</v>
      </c>
      <c r="T207" s="40">
        <v>0.01</v>
      </c>
      <c r="U207" s="52">
        <v>8.25</v>
      </c>
      <c r="V207" s="40">
        <v>0.01</v>
      </c>
      <c r="W207" s="40">
        <v>0</v>
      </c>
      <c r="X207" s="40">
        <v>1000</v>
      </c>
      <c r="Z207" s="40">
        <v>10</v>
      </c>
      <c r="AB207" s="52">
        <v>50</v>
      </c>
      <c r="AD207" s="40">
        <v>10</v>
      </c>
      <c r="AF207" s="40">
        <v>2000</v>
      </c>
      <c r="AG207" s="40">
        <v>2</v>
      </c>
      <c r="AH207" s="40">
        <v>8.5699996949999999</v>
      </c>
      <c r="AI207" s="40">
        <v>16</v>
      </c>
      <c r="AJ207" s="40">
        <v>0</v>
      </c>
      <c r="AK207" s="40">
        <v>0</v>
      </c>
      <c r="AM207" s="40" t="s">
        <v>2</v>
      </c>
      <c r="AO207" s="40">
        <v>50</v>
      </c>
      <c r="AW207" s="40" t="b">
        <v>0</v>
      </c>
      <c r="BE207" s="244"/>
      <c r="BF207" s="40">
        <v>1.6</v>
      </c>
      <c r="BG207" s="40">
        <v>1</v>
      </c>
      <c r="BH207" s="40">
        <v>1</v>
      </c>
      <c r="BI207" s="40">
        <v>0.55000000000000004</v>
      </c>
      <c r="BJ207" s="40">
        <v>0</v>
      </c>
      <c r="BM207" s="33" t="s">
        <v>1</v>
      </c>
      <c r="BN207" s="58">
        <v>13</v>
      </c>
      <c r="BO207" s="35">
        <f t="shared" si="30"/>
        <v>8.25</v>
      </c>
      <c r="BP207" s="58">
        <v>250</v>
      </c>
      <c r="BT207" s="59"/>
      <c r="BU207" s="59"/>
      <c r="BV207" s="59"/>
      <c r="BW207" s="59"/>
      <c r="BX207" s="59"/>
      <c r="BY207" s="59"/>
      <c r="BZ207" s="59"/>
      <c r="CA207" s="59"/>
      <c r="CB207" s="59"/>
      <c r="CC207" s="59"/>
      <c r="CD207" s="59"/>
      <c r="CE207" s="60"/>
      <c r="CF207" s="44" t="s">
        <v>16</v>
      </c>
      <c r="CI207" s="40">
        <v>2.68</v>
      </c>
      <c r="CR207" s="40">
        <v>0</v>
      </c>
      <c r="CS207" s="67">
        <v>0</v>
      </c>
      <c r="CT207" s="67">
        <v>0</v>
      </c>
      <c r="CU207" s="40">
        <v>0</v>
      </c>
      <c r="CV207" s="67">
        <v>0</v>
      </c>
      <c r="CW207" s="67">
        <v>0</v>
      </c>
      <c r="CX207" s="67">
        <v>0</v>
      </c>
      <c r="CY207" s="67">
        <v>0</v>
      </c>
      <c r="CZ207" s="67">
        <v>0</v>
      </c>
      <c r="DA207" s="67">
        <v>0</v>
      </c>
      <c r="DB207" s="67">
        <v>0</v>
      </c>
      <c r="DD207" s="40">
        <v>0</v>
      </c>
      <c r="DI207" s="40" t="s">
        <v>0</v>
      </c>
    </row>
    <row r="208" spans="1:113" s="40" customFormat="1" ht="15.75" thickBot="1" x14ac:dyDescent="0.3">
      <c r="A208" s="40">
        <v>6093</v>
      </c>
      <c r="B208" s="40" t="s">
        <v>437</v>
      </c>
      <c r="C208" s="53" t="s">
        <v>390</v>
      </c>
      <c r="D208" s="40">
        <v>13</v>
      </c>
      <c r="E208" s="40">
        <v>0</v>
      </c>
      <c r="F208" s="40">
        <v>13</v>
      </c>
      <c r="G208" s="40">
        <v>198</v>
      </c>
      <c r="H208" s="40">
        <v>0</v>
      </c>
      <c r="I208" s="40">
        <v>25</v>
      </c>
      <c r="J208" s="54" t="s">
        <v>546</v>
      </c>
      <c r="K208" s="54" t="s">
        <v>547</v>
      </c>
      <c r="L208" s="56">
        <v>45947</v>
      </c>
      <c r="M208" s="40">
        <v>0</v>
      </c>
      <c r="N208" s="40">
        <v>0</v>
      </c>
      <c r="O208" s="40">
        <v>0</v>
      </c>
      <c r="S208" s="40" t="b">
        <v>0</v>
      </c>
      <c r="T208" s="40">
        <v>0.01</v>
      </c>
      <c r="U208" s="52">
        <v>8.25</v>
      </c>
      <c r="V208" s="40">
        <v>0.01</v>
      </c>
      <c r="W208" s="40">
        <v>0</v>
      </c>
      <c r="X208" s="40">
        <v>1000</v>
      </c>
      <c r="Z208" s="40">
        <v>10</v>
      </c>
      <c r="AB208" s="52">
        <v>50</v>
      </c>
      <c r="AD208" s="40">
        <v>10</v>
      </c>
      <c r="AF208" s="40">
        <v>2000</v>
      </c>
      <c r="AG208" s="40">
        <v>2</v>
      </c>
      <c r="AH208" s="40">
        <v>8.5500001910000005</v>
      </c>
      <c r="AI208" s="40">
        <v>16</v>
      </c>
      <c r="AJ208" s="40">
        <v>0</v>
      </c>
      <c r="AK208" s="40">
        <v>0</v>
      </c>
      <c r="AM208" s="40" t="s">
        <v>2</v>
      </c>
      <c r="AO208" s="40">
        <v>50</v>
      </c>
      <c r="AW208" s="40" t="b">
        <v>0</v>
      </c>
      <c r="BE208" s="244"/>
      <c r="BF208" s="40">
        <v>1.6</v>
      </c>
      <c r="BG208" s="40">
        <v>1</v>
      </c>
      <c r="BH208" s="40">
        <v>1</v>
      </c>
      <c r="BI208" s="40">
        <v>0.55000000000000004</v>
      </c>
      <c r="BJ208" s="40">
        <v>0</v>
      </c>
      <c r="BM208" s="33" t="s">
        <v>1</v>
      </c>
      <c r="BN208" s="58">
        <v>13</v>
      </c>
      <c r="BO208" s="35">
        <f t="shared" si="30"/>
        <v>8.25</v>
      </c>
      <c r="BP208" s="58">
        <v>250</v>
      </c>
      <c r="BT208" s="59"/>
      <c r="BU208" s="59"/>
      <c r="BV208" s="59"/>
      <c r="BW208" s="59"/>
      <c r="BX208" s="59"/>
      <c r="BY208" s="59"/>
      <c r="BZ208" s="59"/>
      <c r="CA208" s="59"/>
      <c r="CB208" s="59"/>
      <c r="CC208" s="59"/>
      <c r="CD208" s="59"/>
      <c r="CE208" s="60"/>
      <c r="CF208" s="44" t="s">
        <v>16</v>
      </c>
      <c r="CI208" s="40">
        <v>2.68</v>
      </c>
      <c r="CR208" s="40">
        <v>0</v>
      </c>
      <c r="CS208" s="67">
        <v>0</v>
      </c>
      <c r="CT208" s="67">
        <v>0</v>
      </c>
      <c r="CU208" s="40">
        <v>0</v>
      </c>
      <c r="CV208" s="67">
        <v>0</v>
      </c>
      <c r="CW208" s="67">
        <v>0</v>
      </c>
      <c r="CX208" s="67">
        <v>0</v>
      </c>
      <c r="CY208" s="67">
        <v>0</v>
      </c>
      <c r="CZ208" s="67">
        <v>0</v>
      </c>
      <c r="DA208" s="67">
        <v>0</v>
      </c>
      <c r="DB208" s="67">
        <v>0</v>
      </c>
      <c r="DD208" s="40">
        <v>0</v>
      </c>
      <c r="DI208" s="40" t="s">
        <v>0</v>
      </c>
    </row>
    <row r="209" spans="1:113" s="40" customFormat="1" ht="15.75" thickBot="1" x14ac:dyDescent="0.3">
      <c r="A209" s="40">
        <v>6094</v>
      </c>
      <c r="B209" s="40" t="s">
        <v>437</v>
      </c>
      <c r="C209" s="53" t="s">
        <v>390</v>
      </c>
      <c r="D209" s="40">
        <v>13</v>
      </c>
      <c r="E209" s="40">
        <v>0</v>
      </c>
      <c r="F209" s="40">
        <v>13</v>
      </c>
      <c r="G209" s="40">
        <v>199</v>
      </c>
      <c r="H209" s="40">
        <v>0</v>
      </c>
      <c r="I209" s="40">
        <v>25</v>
      </c>
      <c r="J209" s="54" t="s">
        <v>548</v>
      </c>
      <c r="K209" s="54" t="s">
        <v>549</v>
      </c>
      <c r="L209" s="56">
        <v>45947</v>
      </c>
      <c r="M209" s="40">
        <v>0</v>
      </c>
      <c r="N209" s="40">
        <v>0</v>
      </c>
      <c r="O209" s="40">
        <v>0</v>
      </c>
      <c r="S209" s="40" t="b">
        <v>0</v>
      </c>
      <c r="T209" s="40">
        <v>0.01</v>
      </c>
      <c r="U209" s="52">
        <v>8.25</v>
      </c>
      <c r="V209" s="40">
        <v>0.01</v>
      </c>
      <c r="W209" s="40">
        <v>0</v>
      </c>
      <c r="X209" s="40">
        <v>1000</v>
      </c>
      <c r="Z209" s="40">
        <v>10</v>
      </c>
      <c r="AB209" s="52">
        <v>50</v>
      </c>
      <c r="AD209" s="40">
        <v>10</v>
      </c>
      <c r="AF209" s="40">
        <v>2000</v>
      </c>
      <c r="AG209" s="40">
        <v>2</v>
      </c>
      <c r="AH209" s="40">
        <v>8.5500001910000005</v>
      </c>
      <c r="AI209" s="40">
        <v>16</v>
      </c>
      <c r="AJ209" s="40">
        <v>0</v>
      </c>
      <c r="AK209" s="40">
        <v>0</v>
      </c>
      <c r="AM209" s="40" t="s">
        <v>2</v>
      </c>
      <c r="AO209" s="40">
        <v>50</v>
      </c>
      <c r="AW209" s="40" t="b">
        <v>0</v>
      </c>
      <c r="BE209" s="244"/>
      <c r="BF209" s="40">
        <v>1.6</v>
      </c>
      <c r="BG209" s="40">
        <v>1</v>
      </c>
      <c r="BH209" s="40">
        <v>1</v>
      </c>
      <c r="BI209" s="40">
        <v>0.55000000000000004</v>
      </c>
      <c r="BJ209" s="40">
        <v>0</v>
      </c>
      <c r="BM209" s="33" t="s">
        <v>1</v>
      </c>
      <c r="BN209" s="58">
        <v>13</v>
      </c>
      <c r="BO209" s="35">
        <f t="shared" si="30"/>
        <v>8.25</v>
      </c>
      <c r="BP209" s="58">
        <v>250</v>
      </c>
      <c r="BT209" s="59"/>
      <c r="BU209" s="59"/>
      <c r="BV209" s="59"/>
      <c r="BW209" s="59"/>
      <c r="BX209" s="59"/>
      <c r="BY209" s="59"/>
      <c r="BZ209" s="59"/>
      <c r="CA209" s="59"/>
      <c r="CB209" s="59"/>
      <c r="CC209" s="59"/>
      <c r="CD209" s="59"/>
      <c r="CE209" s="60"/>
      <c r="CF209" s="44" t="s">
        <v>16</v>
      </c>
      <c r="CI209" s="40">
        <v>2.68</v>
      </c>
      <c r="CR209" s="40">
        <v>0</v>
      </c>
      <c r="CS209" s="67">
        <v>0</v>
      </c>
      <c r="CT209" s="67">
        <v>0</v>
      </c>
      <c r="CU209" s="40">
        <v>0</v>
      </c>
      <c r="CV209" s="67">
        <v>0</v>
      </c>
      <c r="CW209" s="67">
        <v>0</v>
      </c>
      <c r="CX209" s="67">
        <v>0</v>
      </c>
      <c r="CY209" s="67">
        <v>0</v>
      </c>
      <c r="CZ209" s="67">
        <v>0</v>
      </c>
      <c r="DA209" s="67">
        <v>0</v>
      </c>
      <c r="DB209" s="67">
        <v>0</v>
      </c>
      <c r="DD209" s="40">
        <v>0</v>
      </c>
      <c r="DI209" s="40" t="s">
        <v>0</v>
      </c>
    </row>
    <row r="210" spans="1:113" s="40" customFormat="1" ht="15.75" thickBot="1" x14ac:dyDescent="0.3">
      <c r="A210" s="40">
        <v>6096</v>
      </c>
      <c r="B210" s="40" t="s">
        <v>437</v>
      </c>
      <c r="C210" s="53" t="s">
        <v>390</v>
      </c>
      <c r="D210" s="40">
        <v>13</v>
      </c>
      <c r="E210" s="40">
        <v>0</v>
      </c>
      <c r="F210" s="40">
        <v>13</v>
      </c>
      <c r="G210" s="40">
        <v>201</v>
      </c>
      <c r="H210" s="40">
        <v>0</v>
      </c>
      <c r="I210" s="40">
        <v>25</v>
      </c>
      <c r="J210" s="54" t="s">
        <v>550</v>
      </c>
      <c r="K210" s="54" t="s">
        <v>551</v>
      </c>
      <c r="L210" s="56">
        <v>45947</v>
      </c>
      <c r="M210" s="40">
        <v>0</v>
      </c>
      <c r="N210" s="40">
        <v>0</v>
      </c>
      <c r="O210" s="40">
        <v>0</v>
      </c>
      <c r="S210" s="40" t="b">
        <v>0</v>
      </c>
      <c r="T210" s="40">
        <v>0.01</v>
      </c>
      <c r="U210" s="52">
        <v>8.25</v>
      </c>
      <c r="V210" s="40">
        <v>0.01</v>
      </c>
      <c r="W210" s="40">
        <v>0</v>
      </c>
      <c r="X210" s="40">
        <v>1000</v>
      </c>
      <c r="Z210" s="40">
        <v>10</v>
      </c>
      <c r="AB210" s="52">
        <v>50</v>
      </c>
      <c r="AD210" s="40">
        <v>10</v>
      </c>
      <c r="AF210" s="40">
        <v>2000</v>
      </c>
      <c r="AG210" s="40">
        <v>2</v>
      </c>
      <c r="AH210" s="40">
        <v>8.5299997330000004</v>
      </c>
      <c r="AI210" s="40">
        <v>16</v>
      </c>
      <c r="AJ210" s="40">
        <v>0</v>
      </c>
      <c r="AK210" s="40">
        <v>0</v>
      </c>
      <c r="AM210" s="40" t="s">
        <v>2</v>
      </c>
      <c r="AO210" s="40">
        <v>50</v>
      </c>
      <c r="AW210" s="40" t="b">
        <v>0</v>
      </c>
      <c r="BE210" s="244"/>
      <c r="BF210" s="40">
        <v>1.6</v>
      </c>
      <c r="BG210" s="40">
        <v>1</v>
      </c>
      <c r="BH210" s="40">
        <v>1</v>
      </c>
      <c r="BI210" s="40">
        <v>0.55000000000000004</v>
      </c>
      <c r="BJ210" s="40">
        <v>0</v>
      </c>
      <c r="BM210" s="33" t="s">
        <v>1</v>
      </c>
      <c r="BN210" s="58">
        <v>13</v>
      </c>
      <c r="BO210" s="35">
        <f t="shared" si="30"/>
        <v>8.25</v>
      </c>
      <c r="BP210" s="58">
        <v>250</v>
      </c>
      <c r="BT210" s="59"/>
      <c r="BU210" s="59"/>
      <c r="BV210" s="59"/>
      <c r="BW210" s="59"/>
      <c r="BX210" s="59"/>
      <c r="BY210" s="59"/>
      <c r="BZ210" s="59"/>
      <c r="CA210" s="59"/>
      <c r="CB210" s="59"/>
      <c r="CC210" s="59"/>
      <c r="CD210" s="59"/>
      <c r="CE210" s="60"/>
      <c r="CF210" s="44" t="s">
        <v>16</v>
      </c>
      <c r="CI210" s="40">
        <v>2.68</v>
      </c>
      <c r="CR210" s="40">
        <v>0</v>
      </c>
      <c r="CS210" s="67">
        <v>0</v>
      </c>
      <c r="CT210" s="67">
        <v>0</v>
      </c>
      <c r="CU210" s="40">
        <v>0</v>
      </c>
      <c r="CV210" s="67">
        <v>0</v>
      </c>
      <c r="CW210" s="67">
        <v>0</v>
      </c>
      <c r="CX210" s="67">
        <v>0</v>
      </c>
      <c r="CY210" s="67">
        <v>0</v>
      </c>
      <c r="CZ210" s="67">
        <v>0</v>
      </c>
      <c r="DA210" s="67">
        <v>0</v>
      </c>
      <c r="DB210" s="67">
        <v>0</v>
      </c>
      <c r="DD210" s="40">
        <v>0</v>
      </c>
      <c r="DI210" s="40" t="s">
        <v>0</v>
      </c>
    </row>
    <row r="211" spans="1:113" s="40" customFormat="1" ht="15.75" thickBot="1" x14ac:dyDescent="0.3">
      <c r="A211" s="40">
        <v>6097</v>
      </c>
      <c r="B211" s="40" t="s">
        <v>437</v>
      </c>
      <c r="C211" s="53" t="s">
        <v>390</v>
      </c>
      <c r="D211" s="40">
        <v>13</v>
      </c>
      <c r="E211" s="40">
        <v>0</v>
      </c>
      <c r="F211" s="40">
        <v>13</v>
      </c>
      <c r="G211" s="40">
        <v>202</v>
      </c>
      <c r="H211" s="40">
        <v>0</v>
      </c>
      <c r="I211" s="40">
        <v>25</v>
      </c>
      <c r="J211" s="54" t="s">
        <v>552</v>
      </c>
      <c r="K211" s="54" t="s">
        <v>553</v>
      </c>
      <c r="L211" s="56">
        <v>45947</v>
      </c>
      <c r="M211" s="40">
        <v>0</v>
      </c>
      <c r="N211" s="40">
        <v>0</v>
      </c>
      <c r="O211" s="40">
        <v>0</v>
      </c>
      <c r="S211" s="40" t="b">
        <v>0</v>
      </c>
      <c r="T211" s="40">
        <v>0.01</v>
      </c>
      <c r="U211" s="52">
        <v>8.25</v>
      </c>
      <c r="V211" s="40">
        <v>0.01</v>
      </c>
      <c r="W211" s="40">
        <v>0</v>
      </c>
      <c r="X211" s="40">
        <v>1000</v>
      </c>
      <c r="Z211" s="40">
        <v>10</v>
      </c>
      <c r="AB211" s="52">
        <v>50</v>
      </c>
      <c r="AD211" s="40">
        <v>10</v>
      </c>
      <c r="AF211" s="40">
        <v>2000</v>
      </c>
      <c r="AG211" s="40">
        <v>2</v>
      </c>
      <c r="AH211" s="40">
        <v>8.5600004199999997</v>
      </c>
      <c r="AI211" s="40">
        <v>16</v>
      </c>
      <c r="AJ211" s="40">
        <v>0</v>
      </c>
      <c r="AK211" s="40">
        <v>0</v>
      </c>
      <c r="AM211" s="40" t="s">
        <v>2</v>
      </c>
      <c r="AO211" s="40">
        <v>50</v>
      </c>
      <c r="AW211" s="40" t="b">
        <v>0</v>
      </c>
      <c r="BE211" s="244"/>
      <c r="BF211" s="40">
        <v>1.6</v>
      </c>
      <c r="BG211" s="40">
        <v>1</v>
      </c>
      <c r="BH211" s="40">
        <v>1</v>
      </c>
      <c r="BI211" s="40">
        <v>0.55000000000000004</v>
      </c>
      <c r="BJ211" s="40">
        <v>0</v>
      </c>
      <c r="BM211" s="33" t="s">
        <v>1</v>
      </c>
      <c r="BN211" s="58">
        <v>13</v>
      </c>
      <c r="BO211" s="35">
        <f t="shared" si="30"/>
        <v>8.25</v>
      </c>
      <c r="BP211" s="58">
        <v>250</v>
      </c>
      <c r="BT211" s="59"/>
      <c r="BU211" s="59"/>
      <c r="BV211" s="59"/>
      <c r="BW211" s="59"/>
      <c r="BX211" s="59"/>
      <c r="BY211" s="59"/>
      <c r="BZ211" s="59"/>
      <c r="CA211" s="59"/>
      <c r="CB211" s="59"/>
      <c r="CC211" s="59"/>
      <c r="CD211" s="59"/>
      <c r="CE211" s="60"/>
      <c r="CF211" s="44" t="s">
        <v>16</v>
      </c>
      <c r="CI211" s="40">
        <v>2.68</v>
      </c>
      <c r="CR211" s="40">
        <v>0</v>
      </c>
      <c r="CS211" s="67">
        <v>0</v>
      </c>
      <c r="CT211" s="67">
        <v>0</v>
      </c>
      <c r="CU211" s="40">
        <v>0</v>
      </c>
      <c r="CV211" s="67">
        <v>0</v>
      </c>
      <c r="CW211" s="67">
        <v>0</v>
      </c>
      <c r="CX211" s="67">
        <v>0</v>
      </c>
      <c r="CY211" s="67">
        <v>0</v>
      </c>
      <c r="CZ211" s="67">
        <v>0</v>
      </c>
      <c r="DA211" s="67">
        <v>0</v>
      </c>
      <c r="DB211" s="67">
        <v>0</v>
      </c>
      <c r="DD211" s="40">
        <v>0</v>
      </c>
      <c r="DI211" s="40" t="s">
        <v>0</v>
      </c>
    </row>
    <row r="212" spans="1:113" s="40" customFormat="1" ht="15.75" thickBot="1" x14ac:dyDescent="0.3">
      <c r="A212" s="40">
        <v>6098</v>
      </c>
      <c r="B212" s="40" t="s">
        <v>437</v>
      </c>
      <c r="C212" s="53" t="s">
        <v>390</v>
      </c>
      <c r="D212" s="40">
        <v>13</v>
      </c>
      <c r="E212" s="40">
        <v>0</v>
      </c>
      <c r="F212" s="40">
        <v>13</v>
      </c>
      <c r="G212" s="40">
        <v>203</v>
      </c>
      <c r="H212" s="40">
        <v>0</v>
      </c>
      <c r="I212" s="40">
        <v>25</v>
      </c>
      <c r="J212" s="54" t="s">
        <v>554</v>
      </c>
      <c r="K212" s="54" t="s">
        <v>555</v>
      </c>
      <c r="L212" s="56">
        <v>45947</v>
      </c>
      <c r="M212" s="40">
        <v>0</v>
      </c>
      <c r="N212" s="40">
        <v>0</v>
      </c>
      <c r="O212" s="40">
        <v>0</v>
      </c>
      <c r="S212" s="40" t="b">
        <v>0</v>
      </c>
      <c r="T212" s="40">
        <v>0.01</v>
      </c>
      <c r="U212" s="52">
        <v>8.25</v>
      </c>
      <c r="V212" s="40">
        <v>0.01</v>
      </c>
      <c r="W212" s="40">
        <v>0</v>
      </c>
      <c r="X212" s="40">
        <v>1000</v>
      </c>
      <c r="Z212" s="40">
        <v>10</v>
      </c>
      <c r="AB212" s="52">
        <v>50</v>
      </c>
      <c r="AD212" s="40">
        <v>10</v>
      </c>
      <c r="AF212" s="40">
        <v>2000</v>
      </c>
      <c r="AG212" s="40">
        <v>2</v>
      </c>
      <c r="AH212" s="40">
        <v>8.5100002289999992</v>
      </c>
      <c r="AI212" s="40">
        <v>16</v>
      </c>
      <c r="AJ212" s="40">
        <v>0</v>
      </c>
      <c r="AK212" s="40">
        <v>0</v>
      </c>
      <c r="AM212" s="40" t="s">
        <v>2</v>
      </c>
      <c r="AO212" s="40">
        <v>50</v>
      </c>
      <c r="AW212" s="40" t="b">
        <v>0</v>
      </c>
      <c r="BE212" s="244"/>
      <c r="BF212" s="40">
        <v>1.6</v>
      </c>
      <c r="BG212" s="40">
        <v>1</v>
      </c>
      <c r="BH212" s="40">
        <v>1</v>
      </c>
      <c r="BI212" s="40">
        <v>0.55000000000000004</v>
      </c>
      <c r="BJ212" s="40">
        <v>0</v>
      </c>
      <c r="BM212" s="33" t="s">
        <v>1</v>
      </c>
      <c r="BN212" s="58">
        <v>13</v>
      </c>
      <c r="BO212" s="35">
        <f t="shared" si="30"/>
        <v>8.25</v>
      </c>
      <c r="BP212" s="58">
        <v>250</v>
      </c>
      <c r="BT212" s="59"/>
      <c r="BU212" s="59"/>
      <c r="BV212" s="59"/>
      <c r="BW212" s="59"/>
      <c r="BX212" s="59"/>
      <c r="BY212" s="59"/>
      <c r="BZ212" s="59"/>
      <c r="CA212" s="59"/>
      <c r="CB212" s="59"/>
      <c r="CC212" s="59"/>
      <c r="CD212" s="59"/>
      <c r="CE212" s="60"/>
      <c r="CF212" s="44" t="s">
        <v>16</v>
      </c>
      <c r="CI212" s="40">
        <v>2.68</v>
      </c>
      <c r="CR212" s="40">
        <v>0</v>
      </c>
      <c r="CS212" s="67">
        <v>0</v>
      </c>
      <c r="CT212" s="67">
        <v>0</v>
      </c>
      <c r="CU212" s="40">
        <v>0</v>
      </c>
      <c r="CV212" s="67">
        <v>0</v>
      </c>
      <c r="CW212" s="67">
        <v>0</v>
      </c>
      <c r="CX212" s="67">
        <v>0</v>
      </c>
      <c r="CY212" s="67">
        <v>0</v>
      </c>
      <c r="CZ212" s="67">
        <v>0</v>
      </c>
      <c r="DA212" s="67">
        <v>0</v>
      </c>
      <c r="DB212" s="67">
        <v>0</v>
      </c>
      <c r="DD212" s="40">
        <v>0</v>
      </c>
      <c r="DI212" s="40" t="s">
        <v>0</v>
      </c>
    </row>
    <row r="213" spans="1:113" s="40" customFormat="1" ht="15.75" thickBot="1" x14ac:dyDescent="0.3">
      <c r="A213" s="40">
        <v>6099</v>
      </c>
      <c r="B213" s="40" t="s">
        <v>437</v>
      </c>
      <c r="C213" s="53" t="s">
        <v>390</v>
      </c>
      <c r="D213" s="40">
        <v>13</v>
      </c>
      <c r="E213" s="40">
        <v>0</v>
      </c>
      <c r="F213" s="40">
        <v>13</v>
      </c>
      <c r="G213" s="40">
        <v>204</v>
      </c>
      <c r="H213" s="40">
        <v>0</v>
      </c>
      <c r="I213" s="40">
        <v>25</v>
      </c>
      <c r="J213" s="54" t="s">
        <v>556</v>
      </c>
      <c r="K213" s="54" t="s">
        <v>557</v>
      </c>
      <c r="L213" s="56">
        <v>45947</v>
      </c>
      <c r="M213" s="40">
        <v>0</v>
      </c>
      <c r="N213" s="40">
        <v>0</v>
      </c>
      <c r="O213" s="40">
        <v>0</v>
      </c>
      <c r="S213" s="40" t="b">
        <v>0</v>
      </c>
      <c r="T213" s="40">
        <v>0.01</v>
      </c>
      <c r="U213" s="52">
        <v>8.25</v>
      </c>
      <c r="V213" s="40">
        <v>0.01</v>
      </c>
      <c r="W213" s="40">
        <v>0</v>
      </c>
      <c r="X213" s="40">
        <v>1000</v>
      </c>
      <c r="Z213" s="40">
        <v>10</v>
      </c>
      <c r="AB213" s="52">
        <v>50</v>
      </c>
      <c r="AD213" s="40">
        <v>10</v>
      </c>
      <c r="AF213" s="40">
        <v>2000</v>
      </c>
      <c r="AG213" s="40">
        <v>2</v>
      </c>
      <c r="AH213" s="40">
        <v>8.5100002289999992</v>
      </c>
      <c r="AI213" s="40">
        <v>16</v>
      </c>
      <c r="AJ213" s="40">
        <v>0</v>
      </c>
      <c r="AK213" s="40">
        <v>0</v>
      </c>
      <c r="AM213" s="40" t="s">
        <v>2</v>
      </c>
      <c r="AO213" s="40">
        <v>50</v>
      </c>
      <c r="AW213" s="40" t="b">
        <v>0</v>
      </c>
      <c r="BE213" s="244"/>
      <c r="BF213" s="40">
        <v>1.6</v>
      </c>
      <c r="BG213" s="40">
        <v>1</v>
      </c>
      <c r="BH213" s="40">
        <v>1</v>
      </c>
      <c r="BI213" s="40">
        <v>0.55000000000000004</v>
      </c>
      <c r="BJ213" s="40">
        <v>0</v>
      </c>
      <c r="BM213" s="33" t="s">
        <v>1</v>
      </c>
      <c r="BN213" s="58">
        <v>13</v>
      </c>
      <c r="BO213" s="35">
        <f t="shared" si="30"/>
        <v>8.25</v>
      </c>
      <c r="BP213" s="58">
        <v>250</v>
      </c>
      <c r="BT213" s="59"/>
      <c r="BU213" s="59"/>
      <c r="BV213" s="59"/>
      <c r="BW213" s="59"/>
      <c r="BX213" s="59"/>
      <c r="BY213" s="59"/>
      <c r="BZ213" s="59"/>
      <c r="CA213" s="59"/>
      <c r="CB213" s="59"/>
      <c r="CC213" s="59"/>
      <c r="CD213" s="59"/>
      <c r="CE213" s="60"/>
      <c r="CF213" s="44" t="s">
        <v>16</v>
      </c>
      <c r="CI213" s="40">
        <v>2.68</v>
      </c>
      <c r="CR213" s="40">
        <v>0</v>
      </c>
      <c r="CS213" s="67">
        <v>0</v>
      </c>
      <c r="CT213" s="67">
        <v>0</v>
      </c>
      <c r="CU213" s="40">
        <v>0</v>
      </c>
      <c r="CV213" s="67">
        <v>0</v>
      </c>
      <c r="CW213" s="67">
        <v>0</v>
      </c>
      <c r="CX213" s="67">
        <v>0</v>
      </c>
      <c r="CY213" s="67">
        <v>0</v>
      </c>
      <c r="CZ213" s="67">
        <v>0</v>
      </c>
      <c r="DA213" s="67">
        <v>0</v>
      </c>
      <c r="DB213" s="67">
        <v>0</v>
      </c>
      <c r="DD213" s="40">
        <v>0</v>
      </c>
      <c r="DI213" s="40" t="s">
        <v>0</v>
      </c>
    </row>
    <row r="214" spans="1:113" s="40" customFormat="1" ht="15.75" thickBot="1" x14ac:dyDescent="0.3">
      <c r="A214" s="40">
        <v>6155</v>
      </c>
      <c r="B214" s="40" t="s">
        <v>437</v>
      </c>
      <c r="C214" s="53" t="s">
        <v>390</v>
      </c>
      <c r="D214" s="40">
        <v>13</v>
      </c>
      <c r="E214" s="40">
        <v>0</v>
      </c>
      <c r="F214" s="40">
        <v>13</v>
      </c>
      <c r="G214" s="40">
        <v>260</v>
      </c>
      <c r="H214" s="40">
        <v>0</v>
      </c>
      <c r="I214" s="40">
        <v>25</v>
      </c>
      <c r="J214" s="54" t="s">
        <v>558</v>
      </c>
      <c r="K214" s="54" t="s">
        <v>559</v>
      </c>
      <c r="L214" s="56">
        <v>45947</v>
      </c>
      <c r="M214" s="40">
        <v>0</v>
      </c>
      <c r="N214" s="40">
        <v>0</v>
      </c>
      <c r="O214" s="40">
        <v>0</v>
      </c>
      <c r="S214" s="40" t="b">
        <v>0</v>
      </c>
      <c r="T214" s="40">
        <v>0.01</v>
      </c>
      <c r="U214" s="52">
        <v>8.25</v>
      </c>
      <c r="V214" s="40">
        <v>0.01</v>
      </c>
      <c r="W214" s="40">
        <v>0</v>
      </c>
      <c r="X214" s="40">
        <v>1000</v>
      </c>
      <c r="Z214" s="40">
        <v>10</v>
      </c>
      <c r="AB214" s="52">
        <v>50</v>
      </c>
      <c r="AD214" s="40">
        <v>10</v>
      </c>
      <c r="AF214" s="40">
        <v>2000</v>
      </c>
      <c r="AG214" s="40">
        <v>2</v>
      </c>
      <c r="AH214" s="40">
        <v>8.5100002289999992</v>
      </c>
      <c r="AI214" s="40">
        <v>16</v>
      </c>
      <c r="AJ214" s="40">
        <v>0</v>
      </c>
      <c r="AK214" s="40">
        <v>0</v>
      </c>
      <c r="AM214" s="40" t="s">
        <v>2</v>
      </c>
      <c r="AO214" s="40">
        <v>50</v>
      </c>
      <c r="AW214" s="40" t="b">
        <v>0</v>
      </c>
      <c r="BE214" s="244"/>
      <c r="BF214" s="40">
        <v>1.6</v>
      </c>
      <c r="BG214" s="40">
        <v>1</v>
      </c>
      <c r="BH214" s="40">
        <v>1</v>
      </c>
      <c r="BI214" s="40">
        <v>0.55000000000000004</v>
      </c>
      <c r="BJ214" s="40">
        <v>0</v>
      </c>
      <c r="BM214" s="33" t="s">
        <v>1</v>
      </c>
      <c r="BN214" s="58">
        <v>13</v>
      </c>
      <c r="BO214" s="35">
        <f t="shared" si="30"/>
        <v>8.25</v>
      </c>
      <c r="BP214" s="58">
        <v>250</v>
      </c>
      <c r="BT214" s="59"/>
      <c r="BU214" s="59"/>
      <c r="BV214" s="59"/>
      <c r="BW214" s="59"/>
      <c r="BX214" s="59"/>
      <c r="BY214" s="59"/>
      <c r="BZ214" s="59"/>
      <c r="CA214" s="59"/>
      <c r="CB214" s="59"/>
      <c r="CC214" s="59"/>
      <c r="CD214" s="59"/>
      <c r="CE214" s="60"/>
      <c r="CF214" s="44" t="s">
        <v>16</v>
      </c>
      <c r="CI214" s="40">
        <v>2.68</v>
      </c>
      <c r="CR214" s="40">
        <v>0</v>
      </c>
      <c r="CS214" s="67">
        <v>0</v>
      </c>
      <c r="CT214" s="67">
        <v>0</v>
      </c>
      <c r="CU214" s="40">
        <v>0</v>
      </c>
      <c r="CV214" s="67">
        <v>0</v>
      </c>
      <c r="CW214" s="67">
        <v>0</v>
      </c>
      <c r="CX214" s="67">
        <v>0</v>
      </c>
      <c r="CY214" s="67">
        <v>0</v>
      </c>
      <c r="CZ214" s="67">
        <v>0</v>
      </c>
      <c r="DA214" s="67">
        <v>0</v>
      </c>
      <c r="DB214" s="67">
        <v>0</v>
      </c>
      <c r="DD214" s="40">
        <v>0</v>
      </c>
      <c r="DI214" s="40" t="s">
        <v>0</v>
      </c>
    </row>
    <row r="215" spans="1:113" s="40" customFormat="1" ht="15.75" thickBot="1" x14ac:dyDescent="0.3">
      <c r="A215" s="40">
        <v>6156</v>
      </c>
      <c r="B215" s="40" t="s">
        <v>437</v>
      </c>
      <c r="C215" s="53" t="s">
        <v>390</v>
      </c>
      <c r="D215" s="40">
        <v>13</v>
      </c>
      <c r="E215" s="40">
        <v>0</v>
      </c>
      <c r="F215" s="40">
        <v>13</v>
      </c>
      <c r="G215" s="40">
        <v>261</v>
      </c>
      <c r="H215" s="40">
        <v>0</v>
      </c>
      <c r="I215" s="40">
        <v>25</v>
      </c>
      <c r="J215" s="54" t="s">
        <v>560</v>
      </c>
      <c r="K215" s="54" t="s">
        <v>561</v>
      </c>
      <c r="L215" s="56">
        <v>45947</v>
      </c>
      <c r="M215" s="40">
        <v>0</v>
      </c>
      <c r="N215" s="40">
        <v>0</v>
      </c>
      <c r="O215" s="40">
        <v>0</v>
      </c>
      <c r="S215" s="40" t="b">
        <v>0</v>
      </c>
      <c r="T215" s="40">
        <v>0.01</v>
      </c>
      <c r="U215" s="52">
        <v>8.25</v>
      </c>
      <c r="V215" s="40">
        <v>0.01</v>
      </c>
      <c r="W215" s="40">
        <v>0</v>
      </c>
      <c r="X215" s="40">
        <v>1000</v>
      </c>
      <c r="Z215" s="40">
        <v>10</v>
      </c>
      <c r="AB215" s="52">
        <v>50</v>
      </c>
      <c r="AD215" s="40">
        <v>10</v>
      </c>
      <c r="AF215" s="40">
        <v>2000</v>
      </c>
      <c r="AG215" s="40">
        <v>2</v>
      </c>
      <c r="AH215" s="40">
        <v>8.5399999619999996</v>
      </c>
      <c r="AI215" s="40">
        <v>16</v>
      </c>
      <c r="AJ215" s="40">
        <v>0</v>
      </c>
      <c r="AK215" s="40">
        <v>0</v>
      </c>
      <c r="AM215" s="40" t="s">
        <v>2</v>
      </c>
      <c r="AO215" s="40">
        <v>50</v>
      </c>
      <c r="AW215" s="40" t="b">
        <v>0</v>
      </c>
      <c r="BE215" s="244"/>
      <c r="BF215" s="40">
        <v>1.6</v>
      </c>
      <c r="BG215" s="40">
        <v>1</v>
      </c>
      <c r="BH215" s="40">
        <v>1</v>
      </c>
      <c r="BI215" s="40">
        <v>0.55000000000000004</v>
      </c>
      <c r="BJ215" s="40">
        <v>0</v>
      </c>
      <c r="BM215" s="33" t="s">
        <v>1</v>
      </c>
      <c r="BN215" s="58">
        <v>13</v>
      </c>
      <c r="BO215" s="35">
        <f t="shared" si="30"/>
        <v>8.25</v>
      </c>
      <c r="BP215" s="58">
        <v>250</v>
      </c>
      <c r="BT215" s="59"/>
      <c r="BU215" s="59"/>
      <c r="BV215" s="59"/>
      <c r="BW215" s="59"/>
      <c r="BX215" s="59"/>
      <c r="BY215" s="59"/>
      <c r="BZ215" s="59"/>
      <c r="CA215" s="59"/>
      <c r="CB215" s="59"/>
      <c r="CC215" s="59"/>
      <c r="CD215" s="59"/>
      <c r="CE215" s="60"/>
      <c r="CF215" s="44" t="s">
        <v>16</v>
      </c>
      <c r="CI215" s="40">
        <v>2.68</v>
      </c>
      <c r="CR215" s="40">
        <v>0</v>
      </c>
      <c r="CS215" s="67">
        <v>0</v>
      </c>
      <c r="CT215" s="67">
        <v>0</v>
      </c>
      <c r="CU215" s="40">
        <v>0</v>
      </c>
      <c r="CV215" s="67">
        <v>0</v>
      </c>
      <c r="CW215" s="67">
        <v>0</v>
      </c>
      <c r="CX215" s="67">
        <v>0</v>
      </c>
      <c r="CY215" s="67">
        <v>0</v>
      </c>
      <c r="CZ215" s="67">
        <v>0</v>
      </c>
      <c r="DA215" s="67">
        <v>0</v>
      </c>
      <c r="DB215" s="67">
        <v>0</v>
      </c>
      <c r="DD215" s="40">
        <v>0</v>
      </c>
      <c r="DI215" s="40" t="s">
        <v>0</v>
      </c>
    </row>
    <row r="216" spans="1:113" s="40" customFormat="1" ht="15.75" thickBot="1" x14ac:dyDescent="0.3">
      <c r="A216" s="40">
        <v>6157</v>
      </c>
      <c r="B216" s="40" t="s">
        <v>437</v>
      </c>
      <c r="C216" s="53" t="s">
        <v>390</v>
      </c>
      <c r="D216" s="40">
        <v>13</v>
      </c>
      <c r="E216" s="40">
        <v>0</v>
      </c>
      <c r="F216" s="40">
        <v>13</v>
      </c>
      <c r="G216" s="40">
        <v>262</v>
      </c>
      <c r="H216" s="40">
        <v>0</v>
      </c>
      <c r="I216" s="40">
        <v>25</v>
      </c>
      <c r="J216" s="54" t="s">
        <v>562</v>
      </c>
      <c r="K216" s="54" t="s">
        <v>563</v>
      </c>
      <c r="L216" s="56">
        <v>45947</v>
      </c>
      <c r="M216" s="40">
        <v>0</v>
      </c>
      <c r="N216" s="40">
        <v>0</v>
      </c>
      <c r="O216" s="40">
        <v>0</v>
      </c>
      <c r="S216" s="40" t="b">
        <v>0</v>
      </c>
      <c r="T216" s="40">
        <v>0.01</v>
      </c>
      <c r="U216" s="52">
        <v>8.25</v>
      </c>
      <c r="V216" s="40">
        <v>0.01</v>
      </c>
      <c r="W216" s="40">
        <v>0</v>
      </c>
      <c r="X216" s="40">
        <v>1000</v>
      </c>
      <c r="Z216" s="40">
        <v>10</v>
      </c>
      <c r="AB216" s="52">
        <v>50</v>
      </c>
      <c r="AD216" s="40">
        <v>10</v>
      </c>
      <c r="AF216" s="40">
        <v>2000</v>
      </c>
      <c r="AG216" s="40">
        <v>2</v>
      </c>
      <c r="AH216" s="40">
        <v>8.5200004580000002</v>
      </c>
      <c r="AI216" s="40">
        <v>16</v>
      </c>
      <c r="AJ216" s="40">
        <v>0</v>
      </c>
      <c r="AK216" s="40">
        <v>0</v>
      </c>
      <c r="AM216" s="40" t="s">
        <v>2</v>
      </c>
      <c r="AO216" s="40">
        <v>50</v>
      </c>
      <c r="AW216" s="40" t="b">
        <v>0</v>
      </c>
      <c r="BE216" s="244"/>
      <c r="BF216" s="40">
        <v>1.6</v>
      </c>
      <c r="BG216" s="40">
        <v>1</v>
      </c>
      <c r="BH216" s="40">
        <v>1</v>
      </c>
      <c r="BI216" s="40">
        <v>0.55000000000000004</v>
      </c>
      <c r="BJ216" s="40">
        <v>0</v>
      </c>
      <c r="BM216" s="33" t="s">
        <v>1</v>
      </c>
      <c r="BN216" s="58">
        <v>13</v>
      </c>
      <c r="BO216" s="35">
        <f t="shared" si="30"/>
        <v>8.25</v>
      </c>
      <c r="BP216" s="58">
        <v>250</v>
      </c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60"/>
      <c r="CF216" s="44" t="s">
        <v>16</v>
      </c>
      <c r="CI216" s="40">
        <v>2.68</v>
      </c>
      <c r="CR216" s="40">
        <v>0</v>
      </c>
      <c r="CS216" s="67">
        <v>0</v>
      </c>
      <c r="CT216" s="67">
        <v>0</v>
      </c>
      <c r="CU216" s="40">
        <v>0</v>
      </c>
      <c r="CV216" s="67">
        <v>0</v>
      </c>
      <c r="CW216" s="67">
        <v>0</v>
      </c>
      <c r="CX216" s="67">
        <v>0</v>
      </c>
      <c r="CY216" s="67">
        <v>0</v>
      </c>
      <c r="CZ216" s="67">
        <v>0</v>
      </c>
      <c r="DA216" s="67">
        <v>0</v>
      </c>
      <c r="DB216" s="67">
        <v>0</v>
      </c>
      <c r="DD216" s="40">
        <v>0</v>
      </c>
      <c r="DI216" s="40" t="s">
        <v>0</v>
      </c>
    </row>
    <row r="217" spans="1:113" s="40" customFormat="1" ht="15.75" thickBot="1" x14ac:dyDescent="0.3">
      <c r="A217" s="40">
        <v>6158</v>
      </c>
      <c r="B217" s="40" t="s">
        <v>437</v>
      </c>
      <c r="C217" s="53" t="s">
        <v>390</v>
      </c>
      <c r="D217" s="40">
        <v>13</v>
      </c>
      <c r="E217" s="40">
        <v>0</v>
      </c>
      <c r="F217" s="40">
        <v>13</v>
      </c>
      <c r="G217" s="40">
        <v>263</v>
      </c>
      <c r="H217" s="40">
        <v>0</v>
      </c>
      <c r="I217" s="40">
        <v>25</v>
      </c>
      <c r="J217" s="54" t="s">
        <v>564</v>
      </c>
      <c r="K217" s="54" t="s">
        <v>565</v>
      </c>
      <c r="L217" s="56">
        <v>45947</v>
      </c>
      <c r="M217" s="40">
        <v>0</v>
      </c>
      <c r="N217" s="40">
        <v>0</v>
      </c>
      <c r="O217" s="40">
        <v>0</v>
      </c>
      <c r="S217" s="40" t="b">
        <v>0</v>
      </c>
      <c r="T217" s="40">
        <v>0.01</v>
      </c>
      <c r="U217" s="52">
        <v>8.25</v>
      </c>
      <c r="V217" s="40">
        <v>0.01</v>
      </c>
      <c r="W217" s="40">
        <v>0</v>
      </c>
      <c r="X217" s="40">
        <v>1000</v>
      </c>
      <c r="Z217" s="40">
        <v>10</v>
      </c>
      <c r="AB217" s="52">
        <v>50</v>
      </c>
      <c r="AD217" s="40">
        <v>10</v>
      </c>
      <c r="AF217" s="40">
        <v>2000</v>
      </c>
      <c r="AG217" s="40">
        <v>2</v>
      </c>
      <c r="AH217" s="40">
        <v>8.5299997330000004</v>
      </c>
      <c r="AI217" s="40">
        <v>16</v>
      </c>
      <c r="AJ217" s="40">
        <v>0</v>
      </c>
      <c r="AK217" s="40">
        <v>0</v>
      </c>
      <c r="AM217" s="40" t="s">
        <v>2</v>
      </c>
      <c r="AO217" s="40">
        <v>50</v>
      </c>
      <c r="AW217" s="40" t="b">
        <v>0</v>
      </c>
      <c r="BE217" s="244"/>
      <c r="BF217" s="40">
        <v>1.6</v>
      </c>
      <c r="BG217" s="40">
        <v>1</v>
      </c>
      <c r="BH217" s="40">
        <v>1</v>
      </c>
      <c r="BI217" s="40">
        <v>0.55000000000000004</v>
      </c>
      <c r="BJ217" s="40">
        <v>0</v>
      </c>
      <c r="BM217" s="33" t="s">
        <v>1</v>
      </c>
      <c r="BN217" s="58">
        <v>13</v>
      </c>
      <c r="BO217" s="35">
        <f t="shared" si="30"/>
        <v>8.25</v>
      </c>
      <c r="BP217" s="58">
        <v>250</v>
      </c>
      <c r="BT217" s="59"/>
      <c r="BU217" s="59"/>
      <c r="BV217" s="59"/>
      <c r="BW217" s="59"/>
      <c r="BX217" s="59"/>
      <c r="BY217" s="59"/>
      <c r="BZ217" s="59"/>
      <c r="CA217" s="59"/>
      <c r="CB217" s="59"/>
      <c r="CC217" s="59"/>
      <c r="CD217" s="59"/>
      <c r="CE217" s="60"/>
      <c r="CF217" s="44" t="s">
        <v>16</v>
      </c>
      <c r="CI217" s="40">
        <v>2.68</v>
      </c>
      <c r="CR217" s="40">
        <v>0</v>
      </c>
      <c r="CS217" s="67">
        <v>0</v>
      </c>
      <c r="CT217" s="67">
        <v>0</v>
      </c>
      <c r="CU217" s="40">
        <v>0</v>
      </c>
      <c r="CV217" s="67">
        <v>0</v>
      </c>
      <c r="CW217" s="67">
        <v>0</v>
      </c>
      <c r="CX217" s="67">
        <v>0</v>
      </c>
      <c r="CY217" s="67">
        <v>0</v>
      </c>
      <c r="CZ217" s="67">
        <v>0</v>
      </c>
      <c r="DA217" s="67">
        <v>0</v>
      </c>
      <c r="DB217" s="67">
        <v>0</v>
      </c>
      <c r="DD217" s="40">
        <v>0</v>
      </c>
      <c r="DI217" s="40" t="s">
        <v>0</v>
      </c>
    </row>
    <row r="218" spans="1:113" s="40" customFormat="1" ht="15.75" thickBot="1" x14ac:dyDescent="0.3">
      <c r="A218" s="40">
        <v>6160</v>
      </c>
      <c r="B218" s="40" t="s">
        <v>437</v>
      </c>
      <c r="C218" s="53" t="s">
        <v>390</v>
      </c>
      <c r="D218" s="40">
        <v>13</v>
      </c>
      <c r="E218" s="40">
        <v>0</v>
      </c>
      <c r="F218" s="40">
        <v>13</v>
      </c>
      <c r="G218" s="40">
        <v>265</v>
      </c>
      <c r="H218" s="40">
        <v>0</v>
      </c>
      <c r="I218" s="40">
        <v>25</v>
      </c>
      <c r="J218" s="54" t="s">
        <v>566</v>
      </c>
      <c r="K218" s="54" t="s">
        <v>567</v>
      </c>
      <c r="L218" s="56">
        <v>45947</v>
      </c>
      <c r="M218" s="40">
        <v>0</v>
      </c>
      <c r="N218" s="40">
        <v>0</v>
      </c>
      <c r="O218" s="40">
        <v>0</v>
      </c>
      <c r="S218" s="40" t="b">
        <v>0</v>
      </c>
      <c r="T218" s="40">
        <v>0.01</v>
      </c>
      <c r="U218" s="52">
        <v>8.25</v>
      </c>
      <c r="V218" s="40">
        <v>0.01</v>
      </c>
      <c r="W218" s="40">
        <v>0</v>
      </c>
      <c r="X218" s="40">
        <v>1000</v>
      </c>
      <c r="Z218" s="40">
        <v>10</v>
      </c>
      <c r="AB218" s="52">
        <v>50</v>
      </c>
      <c r="AD218" s="40">
        <v>10</v>
      </c>
      <c r="AF218" s="40">
        <v>2000</v>
      </c>
      <c r="AG218" s="40">
        <v>2</v>
      </c>
      <c r="AH218" s="40">
        <v>8.5299997330000004</v>
      </c>
      <c r="AI218" s="40">
        <v>16</v>
      </c>
      <c r="AJ218" s="40">
        <v>0</v>
      </c>
      <c r="AK218" s="40">
        <v>0</v>
      </c>
      <c r="AM218" s="40" t="s">
        <v>2</v>
      </c>
      <c r="AO218" s="40">
        <v>50</v>
      </c>
      <c r="AW218" s="40" t="b">
        <v>0</v>
      </c>
      <c r="BE218" s="244"/>
      <c r="BF218" s="40">
        <v>1.6</v>
      </c>
      <c r="BG218" s="40">
        <v>1</v>
      </c>
      <c r="BH218" s="40">
        <v>1</v>
      </c>
      <c r="BI218" s="40">
        <v>0.55000000000000004</v>
      </c>
      <c r="BJ218" s="40">
        <v>0</v>
      </c>
      <c r="BM218" s="33" t="s">
        <v>1</v>
      </c>
      <c r="BN218" s="58">
        <v>13</v>
      </c>
      <c r="BO218" s="35">
        <f t="shared" si="30"/>
        <v>8.25</v>
      </c>
      <c r="BP218" s="58">
        <v>250</v>
      </c>
      <c r="BT218" s="59"/>
      <c r="BU218" s="59"/>
      <c r="BV218" s="59"/>
      <c r="BW218" s="59"/>
      <c r="BX218" s="59"/>
      <c r="BY218" s="59"/>
      <c r="BZ218" s="59"/>
      <c r="CA218" s="59"/>
      <c r="CB218" s="59"/>
      <c r="CC218" s="59"/>
      <c r="CD218" s="59"/>
      <c r="CE218" s="60"/>
      <c r="CF218" s="44" t="s">
        <v>16</v>
      </c>
      <c r="CI218" s="40">
        <v>2.68</v>
      </c>
      <c r="CR218" s="40">
        <v>0</v>
      </c>
      <c r="CS218" s="67">
        <v>0</v>
      </c>
      <c r="CT218" s="67">
        <v>0</v>
      </c>
      <c r="CU218" s="40">
        <v>0</v>
      </c>
      <c r="CV218" s="67">
        <v>0</v>
      </c>
      <c r="CW218" s="67">
        <v>0</v>
      </c>
      <c r="CX218" s="67">
        <v>0</v>
      </c>
      <c r="CY218" s="67">
        <v>0</v>
      </c>
      <c r="CZ218" s="67">
        <v>0</v>
      </c>
      <c r="DA218" s="67">
        <v>0</v>
      </c>
      <c r="DB218" s="67">
        <v>0</v>
      </c>
      <c r="DD218" s="40">
        <v>0</v>
      </c>
      <c r="DI218" s="40" t="s">
        <v>0</v>
      </c>
    </row>
    <row r="219" spans="1:113" s="40" customFormat="1" ht="15.75" thickBot="1" x14ac:dyDescent="0.3">
      <c r="A219" s="40">
        <v>6161</v>
      </c>
      <c r="B219" s="40" t="s">
        <v>437</v>
      </c>
      <c r="C219" s="53" t="s">
        <v>390</v>
      </c>
      <c r="D219" s="40">
        <v>13</v>
      </c>
      <c r="E219" s="40">
        <v>0</v>
      </c>
      <c r="F219" s="40">
        <v>13</v>
      </c>
      <c r="G219" s="40">
        <v>266</v>
      </c>
      <c r="H219" s="40">
        <v>0</v>
      </c>
      <c r="I219" s="40">
        <v>25</v>
      </c>
      <c r="J219" s="54" t="s">
        <v>568</v>
      </c>
      <c r="K219" s="54" t="s">
        <v>569</v>
      </c>
      <c r="L219" s="56">
        <v>45947</v>
      </c>
      <c r="M219" s="40">
        <v>0</v>
      </c>
      <c r="N219" s="40">
        <v>0</v>
      </c>
      <c r="O219" s="40">
        <v>0</v>
      </c>
      <c r="S219" s="40" t="b">
        <v>0</v>
      </c>
      <c r="T219" s="40">
        <v>0.01</v>
      </c>
      <c r="U219" s="52">
        <v>8.25</v>
      </c>
      <c r="V219" s="40">
        <v>0.01</v>
      </c>
      <c r="W219" s="40">
        <v>0</v>
      </c>
      <c r="X219" s="40">
        <v>1000</v>
      </c>
      <c r="Z219" s="40">
        <v>10</v>
      </c>
      <c r="AB219" s="52">
        <v>50</v>
      </c>
      <c r="AD219" s="40">
        <v>10</v>
      </c>
      <c r="AF219" s="40">
        <v>2000</v>
      </c>
      <c r="AG219" s="40">
        <v>2</v>
      </c>
      <c r="AH219" s="40">
        <v>8.5500001910000005</v>
      </c>
      <c r="AI219" s="40">
        <v>16</v>
      </c>
      <c r="AJ219" s="40">
        <v>0</v>
      </c>
      <c r="AK219" s="40">
        <v>0</v>
      </c>
      <c r="AM219" s="40" t="s">
        <v>2</v>
      </c>
      <c r="AO219" s="40">
        <v>50</v>
      </c>
      <c r="AW219" s="40" t="b">
        <v>0</v>
      </c>
      <c r="BE219" s="244"/>
      <c r="BF219" s="40">
        <v>1.6</v>
      </c>
      <c r="BG219" s="40">
        <v>1</v>
      </c>
      <c r="BH219" s="40">
        <v>1</v>
      </c>
      <c r="BI219" s="40">
        <v>0.55000000000000004</v>
      </c>
      <c r="BJ219" s="40">
        <v>0</v>
      </c>
      <c r="BM219" s="33" t="s">
        <v>1</v>
      </c>
      <c r="BN219" s="58">
        <v>13</v>
      </c>
      <c r="BO219" s="35">
        <f t="shared" si="30"/>
        <v>8.25</v>
      </c>
      <c r="BP219" s="58">
        <v>250</v>
      </c>
      <c r="BT219" s="59"/>
      <c r="BU219" s="59"/>
      <c r="BV219" s="59"/>
      <c r="BW219" s="59"/>
      <c r="BX219" s="59"/>
      <c r="BY219" s="59"/>
      <c r="BZ219" s="59"/>
      <c r="CA219" s="59"/>
      <c r="CB219" s="59"/>
      <c r="CC219" s="59"/>
      <c r="CD219" s="59"/>
      <c r="CE219" s="60"/>
      <c r="CF219" s="44" t="s">
        <v>16</v>
      </c>
      <c r="CI219" s="40">
        <v>2.68</v>
      </c>
      <c r="CR219" s="40">
        <v>0</v>
      </c>
      <c r="CS219" s="67">
        <v>0</v>
      </c>
      <c r="CT219" s="67">
        <v>0</v>
      </c>
      <c r="CU219" s="40">
        <v>0</v>
      </c>
      <c r="CV219" s="67">
        <v>0</v>
      </c>
      <c r="CW219" s="67">
        <v>0</v>
      </c>
      <c r="CX219" s="67">
        <v>0</v>
      </c>
      <c r="CY219" s="67">
        <v>0</v>
      </c>
      <c r="CZ219" s="67">
        <v>0</v>
      </c>
      <c r="DA219" s="67">
        <v>0</v>
      </c>
      <c r="DB219" s="67">
        <v>0</v>
      </c>
      <c r="DD219" s="40">
        <v>0</v>
      </c>
      <c r="DI219" s="40" t="s">
        <v>0</v>
      </c>
    </row>
    <row r="220" spans="1:113" s="40" customFormat="1" ht="15.75" thickBot="1" x14ac:dyDescent="0.3">
      <c r="A220" s="40">
        <v>6162</v>
      </c>
      <c r="B220" s="40" t="s">
        <v>437</v>
      </c>
      <c r="C220" s="53" t="s">
        <v>390</v>
      </c>
      <c r="D220" s="40">
        <v>13</v>
      </c>
      <c r="E220" s="40">
        <v>0</v>
      </c>
      <c r="F220" s="40">
        <v>13</v>
      </c>
      <c r="G220" s="40">
        <v>267</v>
      </c>
      <c r="H220" s="40">
        <v>0</v>
      </c>
      <c r="I220" s="40">
        <v>25</v>
      </c>
      <c r="J220" s="54" t="s">
        <v>570</v>
      </c>
      <c r="K220" s="54" t="s">
        <v>571</v>
      </c>
      <c r="L220" s="56">
        <v>45947</v>
      </c>
      <c r="M220" s="40">
        <v>0</v>
      </c>
      <c r="N220" s="40">
        <v>0</v>
      </c>
      <c r="O220" s="40">
        <v>0</v>
      </c>
      <c r="S220" s="40" t="b">
        <v>0</v>
      </c>
      <c r="T220" s="40">
        <v>0.01</v>
      </c>
      <c r="U220" s="52">
        <v>8.25</v>
      </c>
      <c r="V220" s="40">
        <v>0.01</v>
      </c>
      <c r="W220" s="40">
        <v>0</v>
      </c>
      <c r="X220" s="40">
        <v>1000</v>
      </c>
      <c r="Z220" s="40">
        <v>10</v>
      </c>
      <c r="AB220" s="52">
        <v>50</v>
      </c>
      <c r="AD220" s="40">
        <v>10</v>
      </c>
      <c r="AF220" s="40">
        <v>2000</v>
      </c>
      <c r="AG220" s="40">
        <v>2</v>
      </c>
      <c r="AH220" s="40">
        <v>8.5399999619999996</v>
      </c>
      <c r="AI220" s="40">
        <v>16</v>
      </c>
      <c r="AJ220" s="40">
        <v>0</v>
      </c>
      <c r="AK220" s="40">
        <v>0</v>
      </c>
      <c r="AM220" s="40" t="s">
        <v>2</v>
      </c>
      <c r="AO220" s="40">
        <v>50</v>
      </c>
      <c r="AW220" s="40" t="b">
        <v>0</v>
      </c>
      <c r="BE220" s="244"/>
      <c r="BF220" s="40">
        <v>1.6</v>
      </c>
      <c r="BG220" s="40">
        <v>1</v>
      </c>
      <c r="BH220" s="40">
        <v>1</v>
      </c>
      <c r="BI220" s="40">
        <v>0.55000000000000004</v>
      </c>
      <c r="BJ220" s="40">
        <v>0</v>
      </c>
      <c r="BM220" s="33" t="s">
        <v>1</v>
      </c>
      <c r="BN220" s="58">
        <v>13</v>
      </c>
      <c r="BO220" s="35">
        <f t="shared" si="30"/>
        <v>8.25</v>
      </c>
      <c r="BP220" s="58">
        <v>250</v>
      </c>
      <c r="BT220" s="59"/>
      <c r="BU220" s="59"/>
      <c r="BV220" s="59"/>
      <c r="BW220" s="59"/>
      <c r="BX220" s="59"/>
      <c r="BY220" s="59"/>
      <c r="BZ220" s="59"/>
      <c r="CA220" s="59"/>
      <c r="CB220" s="59"/>
      <c r="CC220" s="59"/>
      <c r="CD220" s="59"/>
      <c r="CE220" s="60"/>
      <c r="CF220" s="44" t="s">
        <v>16</v>
      </c>
      <c r="CI220" s="40">
        <v>2.68</v>
      </c>
      <c r="CR220" s="40">
        <v>0</v>
      </c>
      <c r="CS220" s="67">
        <v>0</v>
      </c>
      <c r="CT220" s="67">
        <v>0</v>
      </c>
      <c r="CU220" s="40">
        <v>0</v>
      </c>
      <c r="CV220" s="67">
        <v>0</v>
      </c>
      <c r="CW220" s="67">
        <v>0</v>
      </c>
      <c r="CX220" s="67">
        <v>0</v>
      </c>
      <c r="CY220" s="67">
        <v>0</v>
      </c>
      <c r="CZ220" s="67">
        <v>0</v>
      </c>
      <c r="DA220" s="67">
        <v>0</v>
      </c>
      <c r="DB220" s="67">
        <v>0</v>
      </c>
      <c r="DD220" s="40">
        <v>0</v>
      </c>
      <c r="DI220" s="40" t="s">
        <v>0</v>
      </c>
    </row>
    <row r="221" spans="1:113" s="40" customFormat="1" ht="15.75" thickBot="1" x14ac:dyDescent="0.3">
      <c r="A221" s="40">
        <v>6163</v>
      </c>
      <c r="B221" s="40" t="s">
        <v>437</v>
      </c>
      <c r="C221" s="53" t="s">
        <v>390</v>
      </c>
      <c r="D221" s="40">
        <v>13</v>
      </c>
      <c r="E221" s="40">
        <v>0</v>
      </c>
      <c r="F221" s="40">
        <v>13</v>
      </c>
      <c r="G221" s="40">
        <v>268</v>
      </c>
      <c r="H221" s="40">
        <v>0</v>
      </c>
      <c r="I221" s="40">
        <v>25</v>
      </c>
      <c r="J221" s="54" t="s">
        <v>572</v>
      </c>
      <c r="K221" s="54" t="s">
        <v>573</v>
      </c>
      <c r="L221" s="56">
        <v>45947</v>
      </c>
      <c r="M221" s="40">
        <v>0</v>
      </c>
      <c r="N221" s="40">
        <v>0</v>
      </c>
      <c r="O221" s="40">
        <v>0</v>
      </c>
      <c r="S221" s="40" t="b">
        <v>0</v>
      </c>
      <c r="T221" s="40">
        <v>0.01</v>
      </c>
      <c r="U221" s="52">
        <v>8.25</v>
      </c>
      <c r="V221" s="40">
        <v>0.01</v>
      </c>
      <c r="W221" s="40">
        <v>0</v>
      </c>
      <c r="X221" s="40">
        <v>1000</v>
      </c>
      <c r="Z221" s="40">
        <v>10</v>
      </c>
      <c r="AB221" s="52">
        <v>50</v>
      </c>
      <c r="AD221" s="40">
        <v>10</v>
      </c>
      <c r="AF221" s="40">
        <v>2000</v>
      </c>
      <c r="AG221" s="40">
        <v>2</v>
      </c>
      <c r="AH221" s="40">
        <v>8.5200004580000002</v>
      </c>
      <c r="AI221" s="40">
        <v>16</v>
      </c>
      <c r="AJ221" s="40">
        <v>0</v>
      </c>
      <c r="AK221" s="40">
        <v>0</v>
      </c>
      <c r="AM221" s="40" t="s">
        <v>2</v>
      </c>
      <c r="AO221" s="40">
        <v>50</v>
      </c>
      <c r="AW221" s="40" t="b">
        <v>0</v>
      </c>
      <c r="BE221" s="244"/>
      <c r="BF221" s="40">
        <v>1.6</v>
      </c>
      <c r="BG221" s="40">
        <v>1</v>
      </c>
      <c r="BH221" s="40">
        <v>1</v>
      </c>
      <c r="BI221" s="40">
        <v>0.55000000000000004</v>
      </c>
      <c r="BJ221" s="40">
        <v>0</v>
      </c>
      <c r="BM221" s="33" t="s">
        <v>1</v>
      </c>
      <c r="BN221" s="58">
        <v>13</v>
      </c>
      <c r="BO221" s="35">
        <f t="shared" si="30"/>
        <v>8.25</v>
      </c>
      <c r="BP221" s="58">
        <v>250</v>
      </c>
      <c r="BT221" s="59"/>
      <c r="BU221" s="59"/>
      <c r="BV221" s="59"/>
      <c r="BW221" s="59"/>
      <c r="BX221" s="59"/>
      <c r="BY221" s="59"/>
      <c r="BZ221" s="59"/>
      <c r="CA221" s="59"/>
      <c r="CB221" s="59"/>
      <c r="CC221" s="59"/>
      <c r="CD221" s="59"/>
      <c r="CE221" s="60"/>
      <c r="CF221" s="44" t="s">
        <v>16</v>
      </c>
      <c r="CI221" s="40">
        <v>2.68</v>
      </c>
      <c r="CR221" s="40">
        <v>0</v>
      </c>
      <c r="CS221" s="67">
        <v>0</v>
      </c>
      <c r="CT221" s="67">
        <v>0</v>
      </c>
      <c r="CU221" s="40">
        <v>0</v>
      </c>
      <c r="CV221" s="67">
        <v>0</v>
      </c>
      <c r="CW221" s="67">
        <v>0</v>
      </c>
      <c r="CX221" s="67">
        <v>0</v>
      </c>
      <c r="CY221" s="67">
        <v>0</v>
      </c>
      <c r="CZ221" s="67">
        <v>0</v>
      </c>
      <c r="DA221" s="67">
        <v>0</v>
      </c>
      <c r="DB221" s="67">
        <v>0</v>
      </c>
      <c r="DD221" s="40">
        <v>0</v>
      </c>
      <c r="DI221" s="40" t="s">
        <v>0</v>
      </c>
    </row>
    <row r="222" spans="1:113" s="40" customFormat="1" ht="15.75" thickBot="1" x14ac:dyDescent="0.3">
      <c r="A222" s="40">
        <v>6219</v>
      </c>
      <c r="B222" s="40" t="s">
        <v>437</v>
      </c>
      <c r="C222" s="53" t="s">
        <v>390</v>
      </c>
      <c r="D222" s="40">
        <v>13</v>
      </c>
      <c r="E222" s="40">
        <v>0</v>
      </c>
      <c r="F222" s="40">
        <v>13</v>
      </c>
      <c r="G222" s="40">
        <v>324</v>
      </c>
      <c r="H222" s="40">
        <v>0</v>
      </c>
      <c r="I222" s="40">
        <v>25</v>
      </c>
      <c r="J222" s="54" t="s">
        <v>574</v>
      </c>
      <c r="K222" s="54" t="s">
        <v>575</v>
      </c>
      <c r="L222" s="56">
        <v>45947</v>
      </c>
      <c r="M222" s="40">
        <v>0</v>
      </c>
      <c r="N222" s="40">
        <v>0</v>
      </c>
      <c r="O222" s="40">
        <v>0</v>
      </c>
      <c r="S222" s="40" t="b">
        <v>0</v>
      </c>
      <c r="T222" s="40">
        <v>0.01</v>
      </c>
      <c r="U222" s="52">
        <v>8.25</v>
      </c>
      <c r="V222" s="40">
        <v>0.01</v>
      </c>
      <c r="W222" s="40">
        <v>0</v>
      </c>
      <c r="X222" s="40">
        <v>1000</v>
      </c>
      <c r="Z222" s="40">
        <v>10</v>
      </c>
      <c r="AB222" s="52">
        <v>50</v>
      </c>
      <c r="AD222" s="40">
        <v>10</v>
      </c>
      <c r="AF222" s="40">
        <v>2000</v>
      </c>
      <c r="AG222" s="40">
        <v>2</v>
      </c>
      <c r="AH222" s="40">
        <v>8.5600004199999997</v>
      </c>
      <c r="AI222" s="40">
        <v>16</v>
      </c>
      <c r="AJ222" s="40">
        <v>0</v>
      </c>
      <c r="AK222" s="40">
        <v>0</v>
      </c>
      <c r="AM222" s="40" t="s">
        <v>2</v>
      </c>
      <c r="AO222" s="40">
        <v>50</v>
      </c>
      <c r="AW222" s="40" t="b">
        <v>0</v>
      </c>
      <c r="BE222" s="244"/>
      <c r="BF222" s="40">
        <v>1.6</v>
      </c>
      <c r="BG222" s="40">
        <v>1</v>
      </c>
      <c r="BH222" s="40">
        <v>1</v>
      </c>
      <c r="BI222" s="40">
        <v>0.55000000000000004</v>
      </c>
      <c r="BJ222" s="40">
        <v>0</v>
      </c>
      <c r="BM222" s="33" t="s">
        <v>1</v>
      </c>
      <c r="BN222" s="58">
        <v>13</v>
      </c>
      <c r="BO222" s="35">
        <f t="shared" si="30"/>
        <v>8.25</v>
      </c>
      <c r="BP222" s="58">
        <v>250</v>
      </c>
      <c r="BT222" s="59"/>
      <c r="BU222" s="59"/>
      <c r="BV222" s="59"/>
      <c r="BW222" s="59"/>
      <c r="BX222" s="59"/>
      <c r="BY222" s="59"/>
      <c r="BZ222" s="59"/>
      <c r="CA222" s="59"/>
      <c r="CB222" s="59"/>
      <c r="CC222" s="59"/>
      <c r="CD222" s="59"/>
      <c r="CE222" s="60"/>
      <c r="CF222" s="44" t="s">
        <v>16</v>
      </c>
      <c r="CI222" s="40">
        <v>2.68</v>
      </c>
      <c r="CR222" s="40">
        <v>0</v>
      </c>
      <c r="CS222" s="67">
        <v>0</v>
      </c>
      <c r="CT222" s="67">
        <v>0</v>
      </c>
      <c r="CU222" s="40">
        <v>0</v>
      </c>
      <c r="CV222" s="67">
        <v>0</v>
      </c>
      <c r="CW222" s="67">
        <v>0</v>
      </c>
      <c r="CX222" s="67">
        <v>0</v>
      </c>
      <c r="CY222" s="67">
        <v>0</v>
      </c>
      <c r="CZ222" s="67">
        <v>0</v>
      </c>
      <c r="DA222" s="67">
        <v>0</v>
      </c>
      <c r="DB222" s="67">
        <v>0</v>
      </c>
      <c r="DD222" s="40">
        <v>0</v>
      </c>
      <c r="DI222" s="40" t="s">
        <v>0</v>
      </c>
    </row>
    <row r="223" spans="1:113" s="40" customFormat="1" ht="15.75" thickBot="1" x14ac:dyDescent="0.3">
      <c r="A223" s="40">
        <v>6220</v>
      </c>
      <c r="B223" s="40" t="s">
        <v>437</v>
      </c>
      <c r="C223" s="53" t="s">
        <v>390</v>
      </c>
      <c r="D223" s="40">
        <v>13</v>
      </c>
      <c r="E223" s="40">
        <v>0</v>
      </c>
      <c r="F223" s="40">
        <v>13</v>
      </c>
      <c r="G223" s="40">
        <v>325</v>
      </c>
      <c r="H223" s="40">
        <v>0</v>
      </c>
      <c r="I223" s="40">
        <v>25</v>
      </c>
      <c r="J223" s="54" t="s">
        <v>576</v>
      </c>
      <c r="K223" s="54" t="s">
        <v>577</v>
      </c>
      <c r="L223" s="56">
        <v>45947</v>
      </c>
      <c r="M223" s="40">
        <v>0</v>
      </c>
      <c r="N223" s="40">
        <v>0</v>
      </c>
      <c r="O223" s="40">
        <v>0</v>
      </c>
      <c r="S223" s="40" t="b">
        <v>0</v>
      </c>
      <c r="T223" s="40">
        <v>0.01</v>
      </c>
      <c r="U223" s="52">
        <v>8.25</v>
      </c>
      <c r="V223" s="40">
        <v>0.01</v>
      </c>
      <c r="W223" s="40">
        <v>0</v>
      </c>
      <c r="X223" s="40">
        <v>1000</v>
      </c>
      <c r="Z223" s="40">
        <v>10</v>
      </c>
      <c r="AB223" s="52">
        <v>50</v>
      </c>
      <c r="AD223" s="40">
        <v>10</v>
      </c>
      <c r="AF223" s="40">
        <v>2000</v>
      </c>
      <c r="AG223" s="40">
        <v>2</v>
      </c>
      <c r="AH223" s="40">
        <v>8.5399999619999996</v>
      </c>
      <c r="AI223" s="40">
        <v>16</v>
      </c>
      <c r="AJ223" s="40">
        <v>0</v>
      </c>
      <c r="AK223" s="40">
        <v>0</v>
      </c>
      <c r="AM223" s="40" t="s">
        <v>2</v>
      </c>
      <c r="AO223" s="40">
        <v>50</v>
      </c>
      <c r="AW223" s="40" t="b">
        <v>0</v>
      </c>
      <c r="BE223" s="244"/>
      <c r="BF223" s="40">
        <v>1.6</v>
      </c>
      <c r="BG223" s="40">
        <v>1</v>
      </c>
      <c r="BH223" s="40">
        <v>1</v>
      </c>
      <c r="BI223" s="40">
        <v>0.55000000000000004</v>
      </c>
      <c r="BJ223" s="40">
        <v>0</v>
      </c>
      <c r="BM223" s="33" t="s">
        <v>1</v>
      </c>
      <c r="BN223" s="58">
        <v>13</v>
      </c>
      <c r="BO223" s="35">
        <f t="shared" si="30"/>
        <v>8.25</v>
      </c>
      <c r="BP223" s="58">
        <v>250</v>
      </c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60"/>
      <c r="CF223" s="44" t="s">
        <v>16</v>
      </c>
      <c r="CI223" s="40">
        <v>2.68</v>
      </c>
      <c r="CR223" s="40">
        <v>0</v>
      </c>
      <c r="CS223" s="67">
        <v>0</v>
      </c>
      <c r="CT223" s="67">
        <v>0</v>
      </c>
      <c r="CU223" s="40">
        <v>0</v>
      </c>
      <c r="CV223" s="67">
        <v>0</v>
      </c>
      <c r="CW223" s="67">
        <v>0</v>
      </c>
      <c r="CX223" s="67">
        <v>0</v>
      </c>
      <c r="CY223" s="67">
        <v>0</v>
      </c>
      <c r="CZ223" s="67">
        <v>0</v>
      </c>
      <c r="DA223" s="67">
        <v>0</v>
      </c>
      <c r="DB223" s="67">
        <v>0</v>
      </c>
      <c r="DD223" s="40">
        <v>0</v>
      </c>
      <c r="DI223" s="40" t="s">
        <v>0</v>
      </c>
    </row>
    <row r="224" spans="1:113" s="40" customFormat="1" ht="15.75" thickBot="1" x14ac:dyDescent="0.3">
      <c r="A224" s="40">
        <v>6221</v>
      </c>
      <c r="B224" s="40" t="s">
        <v>437</v>
      </c>
      <c r="C224" s="53" t="s">
        <v>390</v>
      </c>
      <c r="D224" s="40">
        <v>13</v>
      </c>
      <c r="E224" s="40">
        <v>0</v>
      </c>
      <c r="F224" s="40">
        <v>13</v>
      </c>
      <c r="G224" s="40">
        <v>326</v>
      </c>
      <c r="H224" s="40">
        <v>0</v>
      </c>
      <c r="I224" s="40">
        <v>25</v>
      </c>
      <c r="J224" s="54" t="s">
        <v>578</v>
      </c>
      <c r="K224" s="54" t="s">
        <v>579</v>
      </c>
      <c r="L224" s="56">
        <v>45947</v>
      </c>
      <c r="M224" s="40">
        <v>0</v>
      </c>
      <c r="N224" s="40">
        <v>0</v>
      </c>
      <c r="O224" s="40">
        <v>0</v>
      </c>
      <c r="S224" s="40" t="b">
        <v>0</v>
      </c>
      <c r="T224" s="40">
        <v>0.01</v>
      </c>
      <c r="U224" s="52">
        <v>8.25</v>
      </c>
      <c r="V224" s="40">
        <v>0.01</v>
      </c>
      <c r="W224" s="40">
        <v>0</v>
      </c>
      <c r="X224" s="40">
        <v>1000</v>
      </c>
      <c r="Z224" s="40">
        <v>10</v>
      </c>
      <c r="AB224" s="52">
        <v>50</v>
      </c>
      <c r="AD224" s="40">
        <v>10</v>
      </c>
      <c r="AF224" s="40">
        <v>2000</v>
      </c>
      <c r="AG224" s="40">
        <v>2</v>
      </c>
      <c r="AH224" s="40">
        <v>8.5100002289999992</v>
      </c>
      <c r="AI224" s="40">
        <v>16</v>
      </c>
      <c r="AJ224" s="40">
        <v>0</v>
      </c>
      <c r="AK224" s="40">
        <v>0</v>
      </c>
      <c r="AM224" s="40" t="s">
        <v>2</v>
      </c>
      <c r="AO224" s="40">
        <v>50</v>
      </c>
      <c r="AW224" s="40" t="b">
        <v>0</v>
      </c>
      <c r="BE224" s="244"/>
      <c r="BF224" s="40">
        <v>1.6</v>
      </c>
      <c r="BG224" s="40">
        <v>1</v>
      </c>
      <c r="BH224" s="40">
        <v>1</v>
      </c>
      <c r="BI224" s="40">
        <v>0.55000000000000004</v>
      </c>
      <c r="BJ224" s="40">
        <v>0</v>
      </c>
      <c r="BM224" s="33" t="s">
        <v>1</v>
      </c>
      <c r="BN224" s="58">
        <v>13</v>
      </c>
      <c r="BO224" s="35">
        <f t="shared" si="30"/>
        <v>8.25</v>
      </c>
      <c r="BP224" s="58">
        <v>250</v>
      </c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60"/>
      <c r="CF224" s="44" t="s">
        <v>16</v>
      </c>
      <c r="CI224" s="40">
        <v>2.68</v>
      </c>
      <c r="CR224" s="40">
        <v>0</v>
      </c>
      <c r="CS224" s="67">
        <v>0</v>
      </c>
      <c r="CT224" s="67">
        <v>0</v>
      </c>
      <c r="CU224" s="40">
        <v>0</v>
      </c>
      <c r="CV224" s="67">
        <v>0</v>
      </c>
      <c r="CW224" s="67">
        <v>0</v>
      </c>
      <c r="CX224" s="67">
        <v>0</v>
      </c>
      <c r="CY224" s="67">
        <v>0</v>
      </c>
      <c r="CZ224" s="67">
        <v>0</v>
      </c>
      <c r="DA224" s="67">
        <v>0</v>
      </c>
      <c r="DB224" s="67">
        <v>0</v>
      </c>
      <c r="DD224" s="40">
        <v>0</v>
      </c>
      <c r="DI224" s="40" t="s">
        <v>0</v>
      </c>
    </row>
    <row r="225" spans="1:113" s="40" customFormat="1" ht="15.75" thickBot="1" x14ac:dyDescent="0.3">
      <c r="A225" s="40">
        <v>6222</v>
      </c>
      <c r="B225" s="40" t="s">
        <v>437</v>
      </c>
      <c r="C225" s="53" t="s">
        <v>390</v>
      </c>
      <c r="D225" s="40">
        <v>13</v>
      </c>
      <c r="E225" s="40">
        <v>0</v>
      </c>
      <c r="F225" s="40">
        <v>13</v>
      </c>
      <c r="G225" s="40">
        <v>327</v>
      </c>
      <c r="H225" s="40">
        <v>0</v>
      </c>
      <c r="I225" s="40">
        <v>25</v>
      </c>
      <c r="J225" s="54" t="s">
        <v>580</v>
      </c>
      <c r="K225" s="54" t="s">
        <v>581</v>
      </c>
      <c r="L225" s="56">
        <v>45947</v>
      </c>
      <c r="M225" s="40">
        <v>0</v>
      </c>
      <c r="N225" s="40">
        <v>0</v>
      </c>
      <c r="O225" s="40">
        <v>0</v>
      </c>
      <c r="S225" s="40" t="b">
        <v>0</v>
      </c>
      <c r="T225" s="40">
        <v>0.01</v>
      </c>
      <c r="U225" s="52">
        <v>8.25</v>
      </c>
      <c r="V225" s="40">
        <v>0.01</v>
      </c>
      <c r="W225" s="40">
        <v>0</v>
      </c>
      <c r="X225" s="40">
        <v>1000</v>
      </c>
      <c r="Z225" s="40">
        <v>10</v>
      </c>
      <c r="AB225" s="52">
        <v>50</v>
      </c>
      <c r="AD225" s="40">
        <v>10</v>
      </c>
      <c r="AF225" s="40">
        <v>2000</v>
      </c>
      <c r="AG225" s="40">
        <v>2</v>
      </c>
      <c r="AH225" s="40">
        <v>8.5299997330000004</v>
      </c>
      <c r="AI225" s="40">
        <v>16</v>
      </c>
      <c r="AJ225" s="40">
        <v>0</v>
      </c>
      <c r="AK225" s="40">
        <v>0</v>
      </c>
      <c r="AM225" s="40" t="s">
        <v>2</v>
      </c>
      <c r="AO225" s="40">
        <v>50</v>
      </c>
      <c r="AW225" s="40" t="b">
        <v>0</v>
      </c>
      <c r="BE225" s="244"/>
      <c r="BF225" s="40">
        <v>1.6</v>
      </c>
      <c r="BG225" s="40">
        <v>1</v>
      </c>
      <c r="BH225" s="40">
        <v>1</v>
      </c>
      <c r="BI225" s="40">
        <v>0.55000000000000004</v>
      </c>
      <c r="BJ225" s="40">
        <v>0</v>
      </c>
      <c r="BM225" s="33" t="s">
        <v>1</v>
      </c>
      <c r="BN225" s="58">
        <v>13</v>
      </c>
      <c r="BO225" s="35">
        <f t="shared" si="30"/>
        <v>8.25</v>
      </c>
      <c r="BP225" s="58">
        <v>250</v>
      </c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60"/>
      <c r="CF225" s="44" t="s">
        <v>16</v>
      </c>
      <c r="CI225" s="40">
        <v>2.68</v>
      </c>
      <c r="CR225" s="40">
        <v>0</v>
      </c>
      <c r="CS225" s="67">
        <v>0</v>
      </c>
      <c r="CT225" s="67">
        <v>0</v>
      </c>
      <c r="CU225" s="40">
        <v>0</v>
      </c>
      <c r="CV225" s="67">
        <v>0</v>
      </c>
      <c r="CW225" s="67">
        <v>0</v>
      </c>
      <c r="CX225" s="67">
        <v>0</v>
      </c>
      <c r="CY225" s="67">
        <v>0</v>
      </c>
      <c r="CZ225" s="67">
        <v>0</v>
      </c>
      <c r="DA225" s="67">
        <v>0</v>
      </c>
      <c r="DB225" s="67">
        <v>0</v>
      </c>
      <c r="DD225" s="40">
        <v>0</v>
      </c>
      <c r="DI225" s="40" t="s">
        <v>0</v>
      </c>
    </row>
    <row r="226" spans="1:113" s="40" customFormat="1" ht="15.75" thickBot="1" x14ac:dyDescent="0.3">
      <c r="A226" s="40">
        <v>6224</v>
      </c>
      <c r="B226" s="40" t="s">
        <v>437</v>
      </c>
      <c r="C226" s="53" t="s">
        <v>390</v>
      </c>
      <c r="D226" s="40">
        <v>13</v>
      </c>
      <c r="E226" s="40">
        <v>0</v>
      </c>
      <c r="F226" s="40">
        <v>13</v>
      </c>
      <c r="G226" s="40">
        <v>329</v>
      </c>
      <c r="H226" s="40">
        <v>0</v>
      </c>
      <c r="I226" s="40">
        <v>25</v>
      </c>
      <c r="J226" s="54" t="s">
        <v>582</v>
      </c>
      <c r="K226" s="54" t="s">
        <v>583</v>
      </c>
      <c r="L226" s="56">
        <v>45947</v>
      </c>
      <c r="M226" s="40">
        <v>0</v>
      </c>
      <c r="N226" s="40">
        <v>0</v>
      </c>
      <c r="O226" s="40">
        <v>0</v>
      </c>
      <c r="S226" s="40" t="b">
        <v>0</v>
      </c>
      <c r="T226" s="40">
        <v>0.01</v>
      </c>
      <c r="U226" s="52">
        <v>8.25</v>
      </c>
      <c r="V226" s="40">
        <v>0.01</v>
      </c>
      <c r="W226" s="40">
        <v>0</v>
      </c>
      <c r="X226" s="40">
        <v>1000</v>
      </c>
      <c r="Z226" s="40">
        <v>10</v>
      </c>
      <c r="AB226" s="52">
        <v>50</v>
      </c>
      <c r="AD226" s="40">
        <v>10</v>
      </c>
      <c r="AF226" s="40">
        <v>2000</v>
      </c>
      <c r="AG226" s="40">
        <v>2</v>
      </c>
      <c r="AH226" s="40">
        <v>8.5500001910000005</v>
      </c>
      <c r="AI226" s="40">
        <v>16</v>
      </c>
      <c r="AJ226" s="40">
        <v>0</v>
      </c>
      <c r="AK226" s="40">
        <v>0</v>
      </c>
      <c r="AM226" s="40" t="s">
        <v>2</v>
      </c>
      <c r="AO226" s="40">
        <v>50</v>
      </c>
      <c r="AW226" s="40" t="b">
        <v>0</v>
      </c>
      <c r="BE226" s="244"/>
      <c r="BF226" s="40">
        <v>1.6</v>
      </c>
      <c r="BG226" s="40">
        <v>1</v>
      </c>
      <c r="BH226" s="40">
        <v>1</v>
      </c>
      <c r="BI226" s="40">
        <v>0.55000000000000004</v>
      </c>
      <c r="BJ226" s="40">
        <v>0</v>
      </c>
      <c r="BM226" s="33" t="s">
        <v>1</v>
      </c>
      <c r="BN226" s="58">
        <v>13</v>
      </c>
      <c r="BO226" s="35">
        <f t="shared" si="30"/>
        <v>8.25</v>
      </c>
      <c r="BP226" s="58">
        <v>250</v>
      </c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60"/>
      <c r="CF226" s="44" t="s">
        <v>16</v>
      </c>
      <c r="CI226" s="40">
        <v>2.68</v>
      </c>
      <c r="CR226" s="40">
        <v>0</v>
      </c>
      <c r="CS226" s="67">
        <v>0</v>
      </c>
      <c r="CT226" s="67">
        <v>0</v>
      </c>
      <c r="CU226" s="40">
        <v>0</v>
      </c>
      <c r="CV226" s="67">
        <v>0</v>
      </c>
      <c r="CW226" s="67">
        <v>0</v>
      </c>
      <c r="CX226" s="67">
        <v>0</v>
      </c>
      <c r="CY226" s="67">
        <v>0</v>
      </c>
      <c r="CZ226" s="67">
        <v>0</v>
      </c>
      <c r="DA226" s="67">
        <v>0</v>
      </c>
      <c r="DB226" s="67">
        <v>0</v>
      </c>
      <c r="DD226" s="40">
        <v>0</v>
      </c>
      <c r="DI226" s="40" t="s">
        <v>0</v>
      </c>
    </row>
    <row r="227" spans="1:113" s="40" customFormat="1" ht="15.75" thickBot="1" x14ac:dyDescent="0.3">
      <c r="A227" s="40">
        <v>6225</v>
      </c>
      <c r="B227" s="40" t="s">
        <v>437</v>
      </c>
      <c r="C227" s="53" t="s">
        <v>390</v>
      </c>
      <c r="D227" s="40">
        <v>13</v>
      </c>
      <c r="E227" s="40">
        <v>0</v>
      </c>
      <c r="F227" s="40">
        <v>13</v>
      </c>
      <c r="G227" s="40">
        <v>330</v>
      </c>
      <c r="H227" s="40">
        <v>0</v>
      </c>
      <c r="I227" s="40">
        <v>25</v>
      </c>
      <c r="J227" s="54" t="s">
        <v>584</v>
      </c>
      <c r="K227" s="54" t="s">
        <v>585</v>
      </c>
      <c r="L227" s="56">
        <v>45947</v>
      </c>
      <c r="M227" s="40">
        <v>0</v>
      </c>
      <c r="N227" s="40">
        <v>0</v>
      </c>
      <c r="O227" s="40">
        <v>0</v>
      </c>
      <c r="S227" s="40" t="b">
        <v>0</v>
      </c>
      <c r="T227" s="40">
        <v>0.01</v>
      </c>
      <c r="U227" s="52">
        <v>8.25</v>
      </c>
      <c r="V227" s="40">
        <v>0.01</v>
      </c>
      <c r="W227" s="40">
        <v>0</v>
      </c>
      <c r="X227" s="40">
        <v>1000</v>
      </c>
      <c r="Z227" s="40">
        <v>10</v>
      </c>
      <c r="AB227" s="52">
        <v>50</v>
      </c>
      <c r="AD227" s="40">
        <v>10</v>
      </c>
      <c r="AF227" s="40">
        <v>2000</v>
      </c>
      <c r="AG227" s="40">
        <v>2</v>
      </c>
      <c r="AH227" s="40">
        <v>8.4799995419999998</v>
      </c>
      <c r="AI227" s="40">
        <v>16</v>
      </c>
      <c r="AJ227" s="40">
        <v>0</v>
      </c>
      <c r="AK227" s="40">
        <v>0</v>
      </c>
      <c r="AM227" s="40" t="s">
        <v>2</v>
      </c>
      <c r="AO227" s="40">
        <v>50</v>
      </c>
      <c r="AW227" s="40" t="b">
        <v>0</v>
      </c>
      <c r="BE227" s="244"/>
      <c r="BF227" s="40">
        <v>1.6</v>
      </c>
      <c r="BG227" s="40">
        <v>1</v>
      </c>
      <c r="BH227" s="40">
        <v>1</v>
      </c>
      <c r="BI227" s="40">
        <v>0.55000000000000004</v>
      </c>
      <c r="BJ227" s="40">
        <v>0</v>
      </c>
      <c r="BM227" s="33" t="s">
        <v>1</v>
      </c>
      <c r="BN227" s="58">
        <v>13</v>
      </c>
      <c r="BO227" s="35">
        <f t="shared" si="30"/>
        <v>8.25</v>
      </c>
      <c r="BP227" s="58">
        <v>250</v>
      </c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60"/>
      <c r="CF227" s="44" t="s">
        <v>16</v>
      </c>
      <c r="CI227" s="40">
        <v>2.68</v>
      </c>
      <c r="CR227" s="40">
        <v>0</v>
      </c>
      <c r="CS227" s="67">
        <v>0</v>
      </c>
      <c r="CT227" s="67">
        <v>0</v>
      </c>
      <c r="CU227" s="40">
        <v>0</v>
      </c>
      <c r="CV227" s="67">
        <v>0</v>
      </c>
      <c r="CW227" s="67">
        <v>0</v>
      </c>
      <c r="CX227" s="67">
        <v>0</v>
      </c>
      <c r="CY227" s="67">
        <v>0</v>
      </c>
      <c r="CZ227" s="67">
        <v>0</v>
      </c>
      <c r="DA227" s="67">
        <v>0</v>
      </c>
      <c r="DB227" s="67">
        <v>0</v>
      </c>
      <c r="DD227" s="40">
        <v>0</v>
      </c>
      <c r="DI227" s="40" t="s">
        <v>0</v>
      </c>
    </row>
    <row r="228" spans="1:113" s="40" customFormat="1" ht="15.75" thickBot="1" x14ac:dyDescent="0.3">
      <c r="A228" s="40">
        <v>6226</v>
      </c>
      <c r="B228" s="40" t="s">
        <v>437</v>
      </c>
      <c r="C228" s="53" t="s">
        <v>390</v>
      </c>
      <c r="D228" s="40">
        <v>13</v>
      </c>
      <c r="E228" s="40">
        <v>0</v>
      </c>
      <c r="F228" s="40">
        <v>13</v>
      </c>
      <c r="G228" s="40">
        <v>331</v>
      </c>
      <c r="H228" s="40">
        <v>0</v>
      </c>
      <c r="I228" s="40">
        <v>25</v>
      </c>
      <c r="J228" s="54" t="s">
        <v>586</v>
      </c>
      <c r="K228" s="54" t="s">
        <v>587</v>
      </c>
      <c r="L228" s="56">
        <v>45947</v>
      </c>
      <c r="M228" s="40">
        <v>0</v>
      </c>
      <c r="N228" s="40">
        <v>0</v>
      </c>
      <c r="O228" s="40">
        <v>0</v>
      </c>
      <c r="S228" s="40" t="b">
        <v>0</v>
      </c>
      <c r="T228" s="40">
        <v>0.01</v>
      </c>
      <c r="U228" s="52">
        <v>8.25</v>
      </c>
      <c r="V228" s="40">
        <v>0.01</v>
      </c>
      <c r="W228" s="40">
        <v>0</v>
      </c>
      <c r="X228" s="40">
        <v>1000</v>
      </c>
      <c r="Z228" s="40">
        <v>10</v>
      </c>
      <c r="AB228" s="52">
        <v>50</v>
      </c>
      <c r="AD228" s="40">
        <v>10</v>
      </c>
      <c r="AF228" s="40">
        <v>2000</v>
      </c>
      <c r="AG228" s="40">
        <v>2</v>
      </c>
      <c r="AH228" s="40">
        <v>8.5</v>
      </c>
      <c r="AI228" s="40">
        <v>16</v>
      </c>
      <c r="AJ228" s="40">
        <v>0</v>
      </c>
      <c r="AK228" s="40">
        <v>0</v>
      </c>
      <c r="AM228" s="40" t="s">
        <v>2</v>
      </c>
      <c r="AO228" s="40">
        <v>50</v>
      </c>
      <c r="AW228" s="40" t="b">
        <v>0</v>
      </c>
      <c r="BE228" s="244"/>
      <c r="BF228" s="40">
        <v>1.6</v>
      </c>
      <c r="BG228" s="40">
        <v>1</v>
      </c>
      <c r="BH228" s="40">
        <v>1</v>
      </c>
      <c r="BI228" s="40">
        <v>0.55000000000000004</v>
      </c>
      <c r="BJ228" s="40">
        <v>0</v>
      </c>
      <c r="BM228" s="33" t="s">
        <v>1</v>
      </c>
      <c r="BN228" s="58">
        <v>13</v>
      </c>
      <c r="BO228" s="35">
        <f t="shared" si="30"/>
        <v>8.25</v>
      </c>
      <c r="BP228" s="58">
        <v>250</v>
      </c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60"/>
      <c r="CF228" s="44" t="s">
        <v>16</v>
      </c>
      <c r="CI228" s="40">
        <v>2.68</v>
      </c>
      <c r="CR228" s="40">
        <v>0</v>
      </c>
      <c r="CS228" s="67">
        <v>0</v>
      </c>
      <c r="CT228" s="67">
        <v>0</v>
      </c>
      <c r="CU228" s="40">
        <v>0</v>
      </c>
      <c r="CV228" s="67">
        <v>0</v>
      </c>
      <c r="CW228" s="67">
        <v>0</v>
      </c>
      <c r="CX228" s="67">
        <v>0</v>
      </c>
      <c r="CY228" s="67">
        <v>0</v>
      </c>
      <c r="CZ228" s="67">
        <v>0</v>
      </c>
      <c r="DA228" s="67">
        <v>0</v>
      </c>
      <c r="DB228" s="67">
        <v>0</v>
      </c>
      <c r="DD228" s="40">
        <v>0</v>
      </c>
      <c r="DI228" s="40" t="s">
        <v>0</v>
      </c>
    </row>
    <row r="229" spans="1:113" s="40" customFormat="1" ht="15.75" thickBot="1" x14ac:dyDescent="0.3">
      <c r="A229" s="40">
        <v>6227</v>
      </c>
      <c r="B229" s="40" t="s">
        <v>437</v>
      </c>
      <c r="C229" s="53" t="s">
        <v>390</v>
      </c>
      <c r="D229" s="40">
        <v>13</v>
      </c>
      <c r="E229" s="40">
        <v>0</v>
      </c>
      <c r="F229" s="40">
        <v>13</v>
      </c>
      <c r="G229" s="40">
        <v>332</v>
      </c>
      <c r="H229" s="40">
        <v>0</v>
      </c>
      <c r="I229" s="40">
        <v>25</v>
      </c>
      <c r="J229" s="54" t="s">
        <v>588</v>
      </c>
      <c r="K229" s="54" t="s">
        <v>589</v>
      </c>
      <c r="L229" s="56">
        <v>45947</v>
      </c>
      <c r="M229" s="40">
        <v>0</v>
      </c>
      <c r="N229" s="40">
        <v>0</v>
      </c>
      <c r="O229" s="40">
        <v>0</v>
      </c>
      <c r="S229" s="40" t="b">
        <v>0</v>
      </c>
      <c r="T229" s="40">
        <v>0.01</v>
      </c>
      <c r="U229" s="52">
        <v>8.25</v>
      </c>
      <c r="V229" s="40">
        <v>0.01</v>
      </c>
      <c r="W229" s="40">
        <v>0</v>
      </c>
      <c r="X229" s="40">
        <v>1000</v>
      </c>
      <c r="Z229" s="40">
        <v>10</v>
      </c>
      <c r="AB229" s="52">
        <v>50</v>
      </c>
      <c r="AD229" s="40">
        <v>10</v>
      </c>
      <c r="AF229" s="40">
        <v>2000</v>
      </c>
      <c r="AG229" s="40">
        <v>2</v>
      </c>
      <c r="AH229" s="40">
        <v>8.5399999619999996</v>
      </c>
      <c r="AI229" s="40">
        <v>16</v>
      </c>
      <c r="AJ229" s="40">
        <v>0</v>
      </c>
      <c r="AK229" s="40">
        <v>0</v>
      </c>
      <c r="AM229" s="40" t="s">
        <v>2</v>
      </c>
      <c r="AO229" s="40">
        <v>50</v>
      </c>
      <c r="AW229" s="40" t="b">
        <v>0</v>
      </c>
      <c r="BE229" s="244"/>
      <c r="BF229" s="40">
        <v>1.6</v>
      </c>
      <c r="BG229" s="40">
        <v>1</v>
      </c>
      <c r="BH229" s="40">
        <v>1</v>
      </c>
      <c r="BI229" s="40">
        <v>0.55000000000000004</v>
      </c>
      <c r="BJ229" s="40">
        <v>0</v>
      </c>
      <c r="BM229" s="33" t="s">
        <v>1</v>
      </c>
      <c r="BN229" s="58">
        <v>13</v>
      </c>
      <c r="BO229" s="35">
        <f t="shared" si="30"/>
        <v>8.25</v>
      </c>
      <c r="BP229" s="58">
        <v>250</v>
      </c>
      <c r="BT229" s="59"/>
      <c r="BU229" s="59"/>
      <c r="BV229" s="59"/>
      <c r="BW229" s="59"/>
      <c r="BX229" s="59"/>
      <c r="BY229" s="59"/>
      <c r="BZ229" s="59"/>
      <c r="CA229" s="59"/>
      <c r="CB229" s="59"/>
      <c r="CC229" s="59"/>
      <c r="CD229" s="59"/>
      <c r="CE229" s="60"/>
      <c r="CF229" s="44" t="s">
        <v>16</v>
      </c>
      <c r="CI229" s="40">
        <v>2.68</v>
      </c>
      <c r="CR229" s="40">
        <v>0</v>
      </c>
      <c r="CS229" s="67">
        <v>0</v>
      </c>
      <c r="CT229" s="67">
        <v>0</v>
      </c>
      <c r="CU229" s="40">
        <v>0</v>
      </c>
      <c r="CV229" s="67">
        <v>0</v>
      </c>
      <c r="CW229" s="67">
        <v>0</v>
      </c>
      <c r="CX229" s="67">
        <v>0</v>
      </c>
      <c r="CY229" s="67">
        <v>0</v>
      </c>
      <c r="CZ229" s="67">
        <v>0</v>
      </c>
      <c r="DA229" s="67">
        <v>0</v>
      </c>
      <c r="DB229" s="67">
        <v>0</v>
      </c>
      <c r="DD229" s="40">
        <v>0</v>
      </c>
      <c r="DI229" s="40" t="s">
        <v>0</v>
      </c>
    </row>
    <row r="230" spans="1:113" s="40" customFormat="1" ht="15.75" thickBot="1" x14ac:dyDescent="0.3">
      <c r="A230" s="40">
        <v>6283</v>
      </c>
      <c r="B230" s="40" t="s">
        <v>437</v>
      </c>
      <c r="C230" s="53" t="s">
        <v>390</v>
      </c>
      <c r="D230" s="40">
        <v>13</v>
      </c>
      <c r="E230" s="40">
        <v>0</v>
      </c>
      <c r="F230" s="40">
        <v>13</v>
      </c>
      <c r="G230" s="40">
        <v>388</v>
      </c>
      <c r="H230" s="40">
        <v>0</v>
      </c>
      <c r="I230" s="40">
        <v>25</v>
      </c>
      <c r="J230" s="54" t="s">
        <v>590</v>
      </c>
      <c r="K230" s="54" t="s">
        <v>591</v>
      </c>
      <c r="L230" s="56">
        <v>45947</v>
      </c>
      <c r="M230" s="40">
        <v>0</v>
      </c>
      <c r="N230" s="40">
        <v>0</v>
      </c>
      <c r="O230" s="40">
        <v>0</v>
      </c>
      <c r="S230" s="40" t="b">
        <v>0</v>
      </c>
      <c r="T230" s="40">
        <v>0.01</v>
      </c>
      <c r="U230" s="52">
        <v>8.25</v>
      </c>
      <c r="V230" s="40">
        <v>0.01</v>
      </c>
      <c r="W230" s="40">
        <v>0</v>
      </c>
      <c r="X230" s="40">
        <v>1000</v>
      </c>
      <c r="Z230" s="40">
        <v>10</v>
      </c>
      <c r="AB230" s="52">
        <v>50</v>
      </c>
      <c r="AD230" s="40">
        <v>10</v>
      </c>
      <c r="AF230" s="40">
        <v>2000</v>
      </c>
      <c r="AG230" s="40">
        <v>2</v>
      </c>
      <c r="AH230" s="40">
        <v>8.5500001910000005</v>
      </c>
      <c r="AI230" s="40">
        <v>16</v>
      </c>
      <c r="AJ230" s="40">
        <v>0</v>
      </c>
      <c r="AK230" s="40">
        <v>0</v>
      </c>
      <c r="AM230" s="40" t="s">
        <v>2</v>
      </c>
      <c r="AO230" s="40">
        <v>50</v>
      </c>
      <c r="AW230" s="40" t="b">
        <v>0</v>
      </c>
      <c r="BE230" s="244"/>
      <c r="BF230" s="40">
        <v>1.6</v>
      </c>
      <c r="BG230" s="40">
        <v>1</v>
      </c>
      <c r="BH230" s="40">
        <v>1</v>
      </c>
      <c r="BI230" s="40">
        <v>0.55000000000000004</v>
      </c>
      <c r="BJ230" s="40">
        <v>0</v>
      </c>
      <c r="BM230" s="33" t="s">
        <v>1</v>
      </c>
      <c r="BN230" s="58">
        <v>13</v>
      </c>
      <c r="BO230" s="35">
        <f t="shared" si="30"/>
        <v>8.25</v>
      </c>
      <c r="BP230" s="58">
        <v>250</v>
      </c>
      <c r="BT230" s="59"/>
      <c r="BU230" s="59"/>
      <c r="BV230" s="59"/>
      <c r="BW230" s="59"/>
      <c r="BX230" s="59"/>
      <c r="BY230" s="59"/>
      <c r="BZ230" s="59"/>
      <c r="CA230" s="59"/>
      <c r="CB230" s="59"/>
      <c r="CC230" s="59"/>
      <c r="CD230" s="59"/>
      <c r="CE230" s="60"/>
      <c r="CF230" s="44" t="s">
        <v>16</v>
      </c>
      <c r="CI230" s="40">
        <v>2.68</v>
      </c>
      <c r="CR230" s="40">
        <v>0</v>
      </c>
      <c r="CS230" s="67">
        <v>0</v>
      </c>
      <c r="CT230" s="67">
        <v>0</v>
      </c>
      <c r="CU230" s="40">
        <v>0</v>
      </c>
      <c r="CV230" s="67">
        <v>0</v>
      </c>
      <c r="CW230" s="67">
        <v>0</v>
      </c>
      <c r="CX230" s="67">
        <v>0</v>
      </c>
      <c r="CY230" s="67">
        <v>0</v>
      </c>
      <c r="CZ230" s="67">
        <v>0</v>
      </c>
      <c r="DA230" s="67">
        <v>0</v>
      </c>
      <c r="DB230" s="67">
        <v>0</v>
      </c>
      <c r="DD230" s="40">
        <v>0</v>
      </c>
      <c r="DI230" s="40" t="s">
        <v>0</v>
      </c>
    </row>
    <row r="231" spans="1:113" s="40" customFormat="1" ht="15.75" thickBot="1" x14ac:dyDescent="0.3">
      <c r="A231" s="40">
        <v>6284</v>
      </c>
      <c r="B231" s="40" t="s">
        <v>437</v>
      </c>
      <c r="C231" s="53" t="s">
        <v>390</v>
      </c>
      <c r="D231" s="40">
        <v>13</v>
      </c>
      <c r="E231" s="40">
        <v>0</v>
      </c>
      <c r="F231" s="40">
        <v>13</v>
      </c>
      <c r="G231" s="40">
        <v>389</v>
      </c>
      <c r="H231" s="40">
        <v>0</v>
      </c>
      <c r="I231" s="40">
        <v>25</v>
      </c>
      <c r="J231" s="54" t="s">
        <v>592</v>
      </c>
      <c r="K231" s="54" t="s">
        <v>593</v>
      </c>
      <c r="L231" s="56">
        <v>45947</v>
      </c>
      <c r="M231" s="40">
        <v>0</v>
      </c>
      <c r="N231" s="40">
        <v>0</v>
      </c>
      <c r="O231" s="40">
        <v>0</v>
      </c>
      <c r="S231" s="40" t="b">
        <v>0</v>
      </c>
      <c r="T231" s="40">
        <v>0.01</v>
      </c>
      <c r="U231" s="52">
        <v>8.25</v>
      </c>
      <c r="V231" s="40">
        <v>0.01</v>
      </c>
      <c r="W231" s="40">
        <v>0</v>
      </c>
      <c r="X231" s="40">
        <v>1000</v>
      </c>
      <c r="Z231" s="40">
        <v>10</v>
      </c>
      <c r="AB231" s="52">
        <v>50</v>
      </c>
      <c r="AD231" s="40">
        <v>10</v>
      </c>
      <c r="AF231" s="40">
        <v>2000</v>
      </c>
      <c r="AG231" s="40">
        <v>2</v>
      </c>
      <c r="AH231" s="40">
        <v>8.5200004580000002</v>
      </c>
      <c r="AI231" s="40">
        <v>16</v>
      </c>
      <c r="AJ231" s="40">
        <v>0</v>
      </c>
      <c r="AK231" s="40">
        <v>0</v>
      </c>
      <c r="AM231" s="40" t="s">
        <v>2</v>
      </c>
      <c r="AO231" s="40">
        <v>50</v>
      </c>
      <c r="AW231" s="40" t="b">
        <v>0</v>
      </c>
      <c r="BE231" s="244"/>
      <c r="BF231" s="40">
        <v>1.6</v>
      </c>
      <c r="BG231" s="40">
        <v>1</v>
      </c>
      <c r="BH231" s="40">
        <v>1</v>
      </c>
      <c r="BI231" s="40">
        <v>0.55000000000000004</v>
      </c>
      <c r="BJ231" s="40">
        <v>0</v>
      </c>
      <c r="BM231" s="33" t="s">
        <v>1</v>
      </c>
      <c r="BN231" s="58">
        <v>13</v>
      </c>
      <c r="BO231" s="35">
        <f t="shared" si="30"/>
        <v>8.25</v>
      </c>
      <c r="BP231" s="58">
        <v>250</v>
      </c>
      <c r="BT231" s="59"/>
      <c r="BU231" s="59"/>
      <c r="BV231" s="59"/>
      <c r="BW231" s="59"/>
      <c r="BX231" s="59"/>
      <c r="BY231" s="59"/>
      <c r="BZ231" s="59"/>
      <c r="CA231" s="59"/>
      <c r="CB231" s="59"/>
      <c r="CC231" s="59"/>
      <c r="CD231" s="59"/>
      <c r="CE231" s="60"/>
      <c r="CF231" s="44" t="s">
        <v>16</v>
      </c>
      <c r="CI231" s="40">
        <v>2.68</v>
      </c>
      <c r="CR231" s="40">
        <v>0</v>
      </c>
      <c r="CS231" s="67">
        <v>0</v>
      </c>
      <c r="CT231" s="67">
        <v>0</v>
      </c>
      <c r="CU231" s="40">
        <v>0</v>
      </c>
      <c r="CV231" s="67">
        <v>0</v>
      </c>
      <c r="CW231" s="67">
        <v>0</v>
      </c>
      <c r="CX231" s="67">
        <v>0</v>
      </c>
      <c r="CY231" s="67">
        <v>0</v>
      </c>
      <c r="CZ231" s="67">
        <v>0</v>
      </c>
      <c r="DA231" s="67">
        <v>0</v>
      </c>
      <c r="DB231" s="67">
        <v>0</v>
      </c>
      <c r="DD231" s="40">
        <v>0</v>
      </c>
      <c r="DI231" s="40" t="s">
        <v>0</v>
      </c>
    </row>
    <row r="232" spans="1:113" s="40" customFormat="1" ht="15.75" thickBot="1" x14ac:dyDescent="0.3">
      <c r="A232" s="40">
        <v>6285</v>
      </c>
      <c r="B232" s="40" t="s">
        <v>437</v>
      </c>
      <c r="C232" s="53" t="s">
        <v>390</v>
      </c>
      <c r="D232" s="40">
        <v>13</v>
      </c>
      <c r="E232" s="40">
        <v>0</v>
      </c>
      <c r="F232" s="40">
        <v>13</v>
      </c>
      <c r="G232" s="40">
        <v>390</v>
      </c>
      <c r="H232" s="40">
        <v>0</v>
      </c>
      <c r="I232" s="40">
        <v>25</v>
      </c>
      <c r="J232" s="54" t="s">
        <v>594</v>
      </c>
      <c r="K232" s="54" t="s">
        <v>595</v>
      </c>
      <c r="L232" s="56">
        <v>45947</v>
      </c>
      <c r="M232" s="40">
        <v>0</v>
      </c>
      <c r="N232" s="40">
        <v>0</v>
      </c>
      <c r="O232" s="40">
        <v>0</v>
      </c>
      <c r="S232" s="40" t="b">
        <v>0</v>
      </c>
      <c r="T232" s="40">
        <v>0.01</v>
      </c>
      <c r="U232" s="52">
        <v>8.25</v>
      </c>
      <c r="V232" s="40">
        <v>0.01</v>
      </c>
      <c r="W232" s="40">
        <v>0</v>
      </c>
      <c r="X232" s="40">
        <v>1000</v>
      </c>
      <c r="Z232" s="40">
        <v>10</v>
      </c>
      <c r="AB232" s="52">
        <v>50</v>
      </c>
      <c r="AD232" s="40">
        <v>10</v>
      </c>
      <c r="AF232" s="40">
        <v>2000</v>
      </c>
      <c r="AG232" s="40">
        <v>2</v>
      </c>
      <c r="AH232" s="40">
        <v>8.5500001910000005</v>
      </c>
      <c r="AI232" s="40">
        <v>16</v>
      </c>
      <c r="AJ232" s="40">
        <v>0</v>
      </c>
      <c r="AK232" s="40">
        <v>0</v>
      </c>
      <c r="AM232" s="40" t="s">
        <v>2</v>
      </c>
      <c r="AO232" s="40">
        <v>50</v>
      </c>
      <c r="AW232" s="40" t="b">
        <v>0</v>
      </c>
      <c r="BE232" s="244"/>
      <c r="BF232" s="40">
        <v>1.6</v>
      </c>
      <c r="BG232" s="40">
        <v>1</v>
      </c>
      <c r="BH232" s="40">
        <v>1</v>
      </c>
      <c r="BI232" s="40">
        <v>0.55000000000000004</v>
      </c>
      <c r="BJ232" s="40">
        <v>0</v>
      </c>
      <c r="BM232" s="33" t="s">
        <v>1</v>
      </c>
      <c r="BN232" s="58">
        <v>13</v>
      </c>
      <c r="BO232" s="35">
        <f t="shared" si="30"/>
        <v>8.25</v>
      </c>
      <c r="BP232" s="58">
        <v>250</v>
      </c>
      <c r="BT232" s="59"/>
      <c r="BU232" s="59"/>
      <c r="BV232" s="59"/>
      <c r="BW232" s="59"/>
      <c r="BX232" s="59"/>
      <c r="BY232" s="59"/>
      <c r="BZ232" s="59"/>
      <c r="CA232" s="59"/>
      <c r="CB232" s="59"/>
      <c r="CC232" s="59"/>
      <c r="CD232" s="59"/>
      <c r="CE232" s="60"/>
      <c r="CF232" s="44" t="s">
        <v>16</v>
      </c>
      <c r="CI232" s="40">
        <v>2.68</v>
      </c>
      <c r="CR232" s="40">
        <v>0</v>
      </c>
      <c r="CS232" s="67">
        <v>0</v>
      </c>
      <c r="CT232" s="67">
        <v>0</v>
      </c>
      <c r="CU232" s="40">
        <v>0</v>
      </c>
      <c r="CV232" s="67">
        <v>0</v>
      </c>
      <c r="CW232" s="67">
        <v>0</v>
      </c>
      <c r="CX232" s="67">
        <v>0</v>
      </c>
      <c r="CY232" s="67">
        <v>0</v>
      </c>
      <c r="CZ232" s="67">
        <v>0</v>
      </c>
      <c r="DA232" s="67">
        <v>0</v>
      </c>
      <c r="DB232" s="67">
        <v>0</v>
      </c>
      <c r="DD232" s="40">
        <v>0</v>
      </c>
      <c r="DI232" s="40" t="s">
        <v>0</v>
      </c>
    </row>
    <row r="233" spans="1:113" s="40" customFormat="1" ht="15.75" thickBot="1" x14ac:dyDescent="0.3">
      <c r="A233" s="40">
        <v>6286</v>
      </c>
      <c r="B233" s="40" t="s">
        <v>437</v>
      </c>
      <c r="C233" s="53" t="s">
        <v>390</v>
      </c>
      <c r="D233" s="40">
        <v>13</v>
      </c>
      <c r="E233" s="40">
        <v>0</v>
      </c>
      <c r="F233" s="40">
        <v>13</v>
      </c>
      <c r="G233" s="40">
        <v>391</v>
      </c>
      <c r="H233" s="40">
        <v>0</v>
      </c>
      <c r="I233" s="40">
        <v>25</v>
      </c>
      <c r="J233" s="54" t="s">
        <v>596</v>
      </c>
      <c r="K233" s="54" t="s">
        <v>597</v>
      </c>
      <c r="L233" s="56">
        <v>45947</v>
      </c>
      <c r="M233" s="40">
        <v>0</v>
      </c>
      <c r="N233" s="40">
        <v>0</v>
      </c>
      <c r="O233" s="40">
        <v>0</v>
      </c>
      <c r="S233" s="40" t="b">
        <v>0</v>
      </c>
      <c r="T233" s="40">
        <v>0.01</v>
      </c>
      <c r="U233" s="52">
        <v>8.25</v>
      </c>
      <c r="V233" s="40">
        <v>0.01</v>
      </c>
      <c r="W233" s="40">
        <v>0</v>
      </c>
      <c r="X233" s="40">
        <v>1000</v>
      </c>
      <c r="Z233" s="40">
        <v>10</v>
      </c>
      <c r="AB233" s="52">
        <v>50</v>
      </c>
      <c r="AD233" s="40">
        <v>10</v>
      </c>
      <c r="AF233" s="40">
        <v>2000</v>
      </c>
      <c r="AG233" s="40">
        <v>2</v>
      </c>
      <c r="AH233" s="40">
        <v>8.5299997330000004</v>
      </c>
      <c r="AI233" s="40">
        <v>16</v>
      </c>
      <c r="AJ233" s="40">
        <v>0</v>
      </c>
      <c r="AK233" s="40">
        <v>0</v>
      </c>
      <c r="AM233" s="40" t="s">
        <v>2</v>
      </c>
      <c r="AO233" s="40">
        <v>50</v>
      </c>
      <c r="AW233" s="40" t="b">
        <v>0</v>
      </c>
      <c r="BE233" s="244"/>
      <c r="BF233" s="40">
        <v>1.6</v>
      </c>
      <c r="BG233" s="40">
        <v>1</v>
      </c>
      <c r="BH233" s="40">
        <v>1</v>
      </c>
      <c r="BI233" s="40">
        <v>0.55000000000000004</v>
      </c>
      <c r="BJ233" s="40">
        <v>0</v>
      </c>
      <c r="BM233" s="33" t="s">
        <v>1</v>
      </c>
      <c r="BN233" s="58">
        <v>13</v>
      </c>
      <c r="BO233" s="35">
        <f t="shared" si="30"/>
        <v>8.25</v>
      </c>
      <c r="BP233" s="58">
        <v>250</v>
      </c>
      <c r="BT233" s="59"/>
      <c r="BU233" s="59"/>
      <c r="BV233" s="59"/>
      <c r="BW233" s="59"/>
      <c r="BX233" s="59"/>
      <c r="BY233" s="59"/>
      <c r="BZ233" s="59"/>
      <c r="CA233" s="59"/>
      <c r="CB233" s="59"/>
      <c r="CC233" s="59"/>
      <c r="CD233" s="59"/>
      <c r="CE233" s="60"/>
      <c r="CF233" s="44" t="s">
        <v>16</v>
      </c>
      <c r="CI233" s="40">
        <v>2.68</v>
      </c>
      <c r="CR233" s="40">
        <v>0</v>
      </c>
      <c r="CS233" s="67">
        <v>0</v>
      </c>
      <c r="CT233" s="67">
        <v>0</v>
      </c>
      <c r="CU233" s="40">
        <v>0</v>
      </c>
      <c r="CV233" s="67">
        <v>0</v>
      </c>
      <c r="CW233" s="67">
        <v>0</v>
      </c>
      <c r="CX233" s="67">
        <v>0</v>
      </c>
      <c r="CY233" s="67">
        <v>0</v>
      </c>
      <c r="CZ233" s="67">
        <v>0</v>
      </c>
      <c r="DA233" s="67">
        <v>0</v>
      </c>
      <c r="DB233" s="67">
        <v>0</v>
      </c>
      <c r="DD233" s="40">
        <v>0</v>
      </c>
      <c r="DI233" s="40" t="s">
        <v>0</v>
      </c>
    </row>
    <row r="234" spans="1:113" s="40" customFormat="1" ht="15.75" thickBot="1" x14ac:dyDescent="0.3">
      <c r="A234" s="40">
        <v>6288</v>
      </c>
      <c r="B234" s="40" t="s">
        <v>437</v>
      </c>
      <c r="C234" s="53" t="s">
        <v>390</v>
      </c>
      <c r="D234" s="40">
        <v>13</v>
      </c>
      <c r="E234" s="40">
        <v>0</v>
      </c>
      <c r="F234" s="40">
        <v>13</v>
      </c>
      <c r="G234" s="40">
        <v>393</v>
      </c>
      <c r="H234" s="40">
        <v>0</v>
      </c>
      <c r="I234" s="40">
        <v>25</v>
      </c>
      <c r="J234" s="54" t="s">
        <v>598</v>
      </c>
      <c r="K234" s="54" t="s">
        <v>599</v>
      </c>
      <c r="L234" s="56">
        <v>45947</v>
      </c>
      <c r="M234" s="40">
        <v>0</v>
      </c>
      <c r="N234" s="40">
        <v>0</v>
      </c>
      <c r="O234" s="40">
        <v>0</v>
      </c>
      <c r="S234" s="40" t="b">
        <v>0</v>
      </c>
      <c r="T234" s="40">
        <v>0.01</v>
      </c>
      <c r="U234" s="52">
        <v>8.25</v>
      </c>
      <c r="V234" s="40">
        <v>0.01</v>
      </c>
      <c r="W234" s="40">
        <v>0</v>
      </c>
      <c r="X234" s="40">
        <v>1000</v>
      </c>
      <c r="Z234" s="40">
        <v>10</v>
      </c>
      <c r="AB234" s="52">
        <v>50</v>
      </c>
      <c r="AD234" s="40">
        <v>10</v>
      </c>
      <c r="AF234" s="40">
        <v>2000</v>
      </c>
      <c r="AG234" s="40">
        <v>2</v>
      </c>
      <c r="AH234" s="40">
        <v>8.5200004580000002</v>
      </c>
      <c r="AI234" s="40">
        <v>16</v>
      </c>
      <c r="AJ234" s="40">
        <v>0</v>
      </c>
      <c r="AK234" s="40">
        <v>0</v>
      </c>
      <c r="AM234" s="40" t="s">
        <v>2</v>
      </c>
      <c r="AO234" s="40">
        <v>50</v>
      </c>
      <c r="AW234" s="40" t="b">
        <v>0</v>
      </c>
      <c r="BE234" s="244"/>
      <c r="BF234" s="40">
        <v>1.6</v>
      </c>
      <c r="BG234" s="40">
        <v>1</v>
      </c>
      <c r="BH234" s="40">
        <v>1</v>
      </c>
      <c r="BI234" s="40">
        <v>0.55000000000000004</v>
      </c>
      <c r="BJ234" s="40">
        <v>0</v>
      </c>
      <c r="BM234" s="33" t="s">
        <v>1</v>
      </c>
      <c r="BN234" s="58">
        <v>13</v>
      </c>
      <c r="BO234" s="35">
        <f t="shared" si="30"/>
        <v>8.25</v>
      </c>
      <c r="BP234" s="58">
        <v>250</v>
      </c>
      <c r="BT234" s="59"/>
      <c r="BU234" s="59"/>
      <c r="BV234" s="59"/>
      <c r="BW234" s="59"/>
      <c r="BX234" s="59"/>
      <c r="BY234" s="59"/>
      <c r="BZ234" s="59"/>
      <c r="CA234" s="59"/>
      <c r="CB234" s="59"/>
      <c r="CC234" s="59"/>
      <c r="CD234" s="59"/>
      <c r="CE234" s="60"/>
      <c r="CF234" s="44" t="s">
        <v>16</v>
      </c>
      <c r="CI234" s="40">
        <v>2.68</v>
      </c>
      <c r="CR234" s="40">
        <v>0</v>
      </c>
      <c r="CS234" s="67">
        <v>0</v>
      </c>
      <c r="CT234" s="67">
        <v>0</v>
      </c>
      <c r="CU234" s="40">
        <v>0</v>
      </c>
      <c r="CV234" s="67">
        <v>0</v>
      </c>
      <c r="CW234" s="67">
        <v>0</v>
      </c>
      <c r="CX234" s="67">
        <v>0</v>
      </c>
      <c r="CY234" s="67">
        <v>0</v>
      </c>
      <c r="CZ234" s="67">
        <v>0</v>
      </c>
      <c r="DA234" s="67">
        <v>0</v>
      </c>
      <c r="DB234" s="67">
        <v>0</v>
      </c>
      <c r="DD234" s="40">
        <v>0</v>
      </c>
      <c r="DI234" s="40" t="s">
        <v>0</v>
      </c>
    </row>
    <row r="235" spans="1:113" s="40" customFormat="1" ht="15.75" thickBot="1" x14ac:dyDescent="0.3">
      <c r="A235" s="40">
        <v>6289</v>
      </c>
      <c r="B235" s="40" t="s">
        <v>437</v>
      </c>
      <c r="C235" s="53" t="s">
        <v>390</v>
      </c>
      <c r="D235" s="40">
        <v>13</v>
      </c>
      <c r="E235" s="40">
        <v>0</v>
      </c>
      <c r="F235" s="40">
        <v>13</v>
      </c>
      <c r="G235" s="40">
        <v>394</v>
      </c>
      <c r="H235" s="40">
        <v>0</v>
      </c>
      <c r="I235" s="40">
        <v>25</v>
      </c>
      <c r="J235" s="54" t="s">
        <v>600</v>
      </c>
      <c r="K235" s="54" t="s">
        <v>601</v>
      </c>
      <c r="L235" s="56">
        <v>45947</v>
      </c>
      <c r="M235" s="40">
        <v>0</v>
      </c>
      <c r="N235" s="40">
        <v>0</v>
      </c>
      <c r="O235" s="40">
        <v>0</v>
      </c>
      <c r="S235" s="40" t="b">
        <v>0</v>
      </c>
      <c r="T235" s="40">
        <v>0.01</v>
      </c>
      <c r="U235" s="52">
        <v>8.25</v>
      </c>
      <c r="V235" s="40">
        <v>0.01</v>
      </c>
      <c r="W235" s="40">
        <v>0</v>
      </c>
      <c r="X235" s="40">
        <v>1000</v>
      </c>
      <c r="Z235" s="40">
        <v>10</v>
      </c>
      <c r="AB235" s="52">
        <v>50</v>
      </c>
      <c r="AD235" s="40">
        <v>10</v>
      </c>
      <c r="AF235" s="40">
        <v>2000</v>
      </c>
      <c r="AG235" s="40">
        <v>2</v>
      </c>
      <c r="AH235" s="40">
        <v>8.5699996949999999</v>
      </c>
      <c r="AI235" s="40">
        <v>16</v>
      </c>
      <c r="AJ235" s="40">
        <v>0</v>
      </c>
      <c r="AK235" s="40">
        <v>0</v>
      </c>
      <c r="AM235" s="40" t="s">
        <v>2</v>
      </c>
      <c r="AO235" s="40">
        <v>50</v>
      </c>
      <c r="AW235" s="40" t="b">
        <v>0</v>
      </c>
      <c r="BE235" s="244"/>
      <c r="BF235" s="40">
        <v>1.6</v>
      </c>
      <c r="BG235" s="40">
        <v>1</v>
      </c>
      <c r="BH235" s="40">
        <v>1</v>
      </c>
      <c r="BI235" s="40">
        <v>0.55000000000000004</v>
      </c>
      <c r="BJ235" s="40">
        <v>0</v>
      </c>
      <c r="BM235" s="33" t="s">
        <v>1</v>
      </c>
      <c r="BN235" s="58">
        <v>13</v>
      </c>
      <c r="BO235" s="35">
        <f t="shared" si="30"/>
        <v>8.25</v>
      </c>
      <c r="BP235" s="58">
        <v>250</v>
      </c>
      <c r="BT235" s="59"/>
      <c r="BU235" s="59"/>
      <c r="BV235" s="59"/>
      <c r="BW235" s="59"/>
      <c r="BX235" s="59"/>
      <c r="BY235" s="59"/>
      <c r="BZ235" s="59"/>
      <c r="CA235" s="59"/>
      <c r="CB235" s="59"/>
      <c r="CC235" s="59"/>
      <c r="CD235" s="59"/>
      <c r="CE235" s="60"/>
      <c r="CF235" s="44" t="s">
        <v>16</v>
      </c>
      <c r="CI235" s="40">
        <v>2.68</v>
      </c>
      <c r="CR235" s="40">
        <v>0</v>
      </c>
      <c r="CS235" s="67">
        <v>0</v>
      </c>
      <c r="CT235" s="67">
        <v>0</v>
      </c>
      <c r="CU235" s="40">
        <v>0</v>
      </c>
      <c r="CV235" s="67">
        <v>0</v>
      </c>
      <c r="CW235" s="67">
        <v>0</v>
      </c>
      <c r="CX235" s="67">
        <v>0</v>
      </c>
      <c r="CY235" s="67">
        <v>0</v>
      </c>
      <c r="CZ235" s="67">
        <v>0</v>
      </c>
      <c r="DA235" s="67">
        <v>0</v>
      </c>
      <c r="DB235" s="67">
        <v>0</v>
      </c>
      <c r="DD235" s="40">
        <v>0</v>
      </c>
      <c r="DI235" s="40" t="s">
        <v>0</v>
      </c>
    </row>
    <row r="236" spans="1:113" s="40" customFormat="1" ht="15.75" thickBot="1" x14ac:dyDescent="0.3">
      <c r="A236" s="40">
        <v>6290</v>
      </c>
      <c r="B236" s="40" t="s">
        <v>437</v>
      </c>
      <c r="C236" s="53" t="s">
        <v>390</v>
      </c>
      <c r="D236" s="40">
        <v>13</v>
      </c>
      <c r="E236" s="40">
        <v>0</v>
      </c>
      <c r="F236" s="40">
        <v>13</v>
      </c>
      <c r="G236" s="40">
        <v>395</v>
      </c>
      <c r="H236" s="40">
        <v>0</v>
      </c>
      <c r="I236" s="40">
        <v>25</v>
      </c>
      <c r="J236" s="54" t="s">
        <v>602</v>
      </c>
      <c r="K236" s="54" t="s">
        <v>603</v>
      </c>
      <c r="L236" s="56">
        <v>45947</v>
      </c>
      <c r="M236" s="40">
        <v>0</v>
      </c>
      <c r="N236" s="40">
        <v>0</v>
      </c>
      <c r="O236" s="40">
        <v>0</v>
      </c>
      <c r="S236" s="40" t="b">
        <v>0</v>
      </c>
      <c r="T236" s="40">
        <v>0.01</v>
      </c>
      <c r="U236" s="52">
        <v>8.25</v>
      </c>
      <c r="V236" s="40">
        <v>0.01</v>
      </c>
      <c r="W236" s="40">
        <v>0</v>
      </c>
      <c r="X236" s="40">
        <v>1000</v>
      </c>
      <c r="Z236" s="40">
        <v>10</v>
      </c>
      <c r="AB236" s="52">
        <v>50</v>
      </c>
      <c r="AD236" s="40">
        <v>10</v>
      </c>
      <c r="AF236" s="40">
        <v>2000</v>
      </c>
      <c r="AG236" s="40">
        <v>2</v>
      </c>
      <c r="AH236" s="40">
        <v>8.5100002289999992</v>
      </c>
      <c r="AI236" s="40">
        <v>16</v>
      </c>
      <c r="AJ236" s="40">
        <v>0</v>
      </c>
      <c r="AK236" s="40">
        <v>0</v>
      </c>
      <c r="AM236" s="40" t="s">
        <v>2</v>
      </c>
      <c r="AO236" s="40">
        <v>50</v>
      </c>
      <c r="AW236" s="40" t="b">
        <v>0</v>
      </c>
      <c r="BE236" s="244"/>
      <c r="BF236" s="40">
        <v>1.6</v>
      </c>
      <c r="BG236" s="40">
        <v>1</v>
      </c>
      <c r="BH236" s="40">
        <v>1</v>
      </c>
      <c r="BI236" s="40">
        <v>0.55000000000000004</v>
      </c>
      <c r="BJ236" s="40">
        <v>0</v>
      </c>
      <c r="BM236" s="33" t="s">
        <v>1</v>
      </c>
      <c r="BN236" s="58">
        <v>13</v>
      </c>
      <c r="BO236" s="35">
        <f t="shared" si="30"/>
        <v>8.25</v>
      </c>
      <c r="BP236" s="58">
        <v>250</v>
      </c>
      <c r="BT236" s="59"/>
      <c r="BU236" s="59"/>
      <c r="BV236" s="59"/>
      <c r="BW236" s="59"/>
      <c r="BX236" s="59"/>
      <c r="BY236" s="59"/>
      <c r="BZ236" s="59"/>
      <c r="CA236" s="59"/>
      <c r="CB236" s="59"/>
      <c r="CC236" s="59"/>
      <c r="CD236" s="59"/>
      <c r="CE236" s="60"/>
      <c r="CF236" s="44" t="s">
        <v>16</v>
      </c>
      <c r="CI236" s="40">
        <v>2.68</v>
      </c>
      <c r="CR236" s="40">
        <v>0</v>
      </c>
      <c r="CS236" s="67">
        <v>0</v>
      </c>
      <c r="CT236" s="67">
        <v>0</v>
      </c>
      <c r="CU236" s="40">
        <v>0</v>
      </c>
      <c r="CV236" s="67">
        <v>0</v>
      </c>
      <c r="CW236" s="67">
        <v>0</v>
      </c>
      <c r="CX236" s="67">
        <v>0</v>
      </c>
      <c r="CY236" s="67">
        <v>0</v>
      </c>
      <c r="CZ236" s="67">
        <v>0</v>
      </c>
      <c r="DA236" s="67">
        <v>0</v>
      </c>
      <c r="DB236" s="67">
        <v>0</v>
      </c>
      <c r="DD236" s="40">
        <v>0</v>
      </c>
      <c r="DI236" s="40" t="s">
        <v>0</v>
      </c>
    </row>
    <row r="237" spans="1:113" s="40" customFormat="1" ht="15.75" thickBot="1" x14ac:dyDescent="0.3">
      <c r="A237" s="40">
        <v>6291</v>
      </c>
      <c r="B237" s="40" t="s">
        <v>437</v>
      </c>
      <c r="C237" s="53" t="s">
        <v>390</v>
      </c>
      <c r="D237" s="40">
        <v>13</v>
      </c>
      <c r="E237" s="40">
        <v>0</v>
      </c>
      <c r="F237" s="40">
        <v>13</v>
      </c>
      <c r="G237" s="40">
        <v>396</v>
      </c>
      <c r="H237" s="40">
        <v>0</v>
      </c>
      <c r="I237" s="40">
        <v>25</v>
      </c>
      <c r="J237" s="54" t="s">
        <v>604</v>
      </c>
      <c r="K237" s="54" t="s">
        <v>605</v>
      </c>
      <c r="L237" s="56">
        <v>45947</v>
      </c>
      <c r="M237" s="40">
        <v>0</v>
      </c>
      <c r="N237" s="40">
        <v>0</v>
      </c>
      <c r="O237" s="40">
        <v>0</v>
      </c>
      <c r="S237" s="40" t="b">
        <v>0</v>
      </c>
      <c r="T237" s="40">
        <v>0.01</v>
      </c>
      <c r="U237" s="52">
        <v>8.25</v>
      </c>
      <c r="V237" s="40">
        <v>0.01</v>
      </c>
      <c r="W237" s="40">
        <v>0</v>
      </c>
      <c r="X237" s="40">
        <v>1000</v>
      </c>
      <c r="Z237" s="40">
        <v>10</v>
      </c>
      <c r="AB237" s="52">
        <v>50</v>
      </c>
      <c r="AD237" s="40">
        <v>10</v>
      </c>
      <c r="AF237" s="40">
        <v>2000</v>
      </c>
      <c r="AG237" s="40">
        <v>2</v>
      </c>
      <c r="AH237" s="40">
        <v>8.5299997330000004</v>
      </c>
      <c r="AI237" s="40">
        <v>16</v>
      </c>
      <c r="AJ237" s="40">
        <v>0</v>
      </c>
      <c r="AK237" s="40">
        <v>0</v>
      </c>
      <c r="AM237" s="40" t="s">
        <v>2</v>
      </c>
      <c r="AO237" s="40">
        <v>50</v>
      </c>
      <c r="AW237" s="40" t="b">
        <v>0</v>
      </c>
      <c r="BE237" s="244"/>
      <c r="BF237" s="40">
        <v>1.6</v>
      </c>
      <c r="BG237" s="40">
        <v>1</v>
      </c>
      <c r="BH237" s="40">
        <v>1</v>
      </c>
      <c r="BI237" s="40">
        <v>0.55000000000000004</v>
      </c>
      <c r="BJ237" s="40">
        <v>0</v>
      </c>
      <c r="BM237" s="33" t="s">
        <v>1</v>
      </c>
      <c r="BN237" s="58">
        <v>13</v>
      </c>
      <c r="BO237" s="35">
        <f t="shared" si="30"/>
        <v>8.25</v>
      </c>
      <c r="BP237" s="58">
        <v>250</v>
      </c>
      <c r="BT237" s="59"/>
      <c r="BU237" s="59"/>
      <c r="BV237" s="59"/>
      <c r="BW237" s="59"/>
      <c r="BX237" s="59"/>
      <c r="BY237" s="59"/>
      <c r="BZ237" s="59"/>
      <c r="CA237" s="59"/>
      <c r="CB237" s="59"/>
      <c r="CC237" s="59"/>
      <c r="CD237" s="59"/>
      <c r="CE237" s="60"/>
      <c r="CF237" s="44" t="s">
        <v>16</v>
      </c>
      <c r="CI237" s="40">
        <v>2.68</v>
      </c>
      <c r="CR237" s="40">
        <v>0</v>
      </c>
      <c r="CS237" s="67">
        <v>0</v>
      </c>
      <c r="CT237" s="67">
        <v>0</v>
      </c>
      <c r="CU237" s="40">
        <v>0</v>
      </c>
      <c r="CV237" s="67">
        <v>0</v>
      </c>
      <c r="CW237" s="67">
        <v>0</v>
      </c>
      <c r="CX237" s="67">
        <v>0</v>
      </c>
      <c r="CY237" s="67">
        <v>0</v>
      </c>
      <c r="CZ237" s="67">
        <v>0</v>
      </c>
      <c r="DA237" s="67">
        <v>0</v>
      </c>
      <c r="DB237" s="67">
        <v>0</v>
      </c>
      <c r="DD237" s="40">
        <v>0</v>
      </c>
      <c r="DI237" s="40" t="s">
        <v>0</v>
      </c>
    </row>
    <row r="238" spans="1:113" s="40" customFormat="1" ht="15.75" thickBot="1" x14ac:dyDescent="0.3">
      <c r="A238" s="40">
        <v>6292</v>
      </c>
      <c r="B238" s="40" t="s">
        <v>437</v>
      </c>
      <c r="C238" s="53" t="s">
        <v>390</v>
      </c>
      <c r="D238" s="40">
        <v>13</v>
      </c>
      <c r="E238" s="40">
        <v>0</v>
      </c>
      <c r="F238" s="40">
        <v>13</v>
      </c>
      <c r="G238" s="40">
        <v>397</v>
      </c>
      <c r="H238" s="40">
        <v>0</v>
      </c>
      <c r="I238" s="40">
        <v>25</v>
      </c>
      <c r="J238" s="54" t="s">
        <v>606</v>
      </c>
      <c r="K238" s="54" t="s">
        <v>607</v>
      </c>
      <c r="L238" s="56">
        <v>45947</v>
      </c>
      <c r="M238" s="40">
        <v>0</v>
      </c>
      <c r="N238" s="40">
        <v>0</v>
      </c>
      <c r="O238" s="40">
        <v>0</v>
      </c>
      <c r="S238" s="40" t="b">
        <v>0</v>
      </c>
      <c r="T238" s="40">
        <v>0.01</v>
      </c>
      <c r="U238" s="52">
        <v>8.25</v>
      </c>
      <c r="V238" s="40">
        <v>0.01</v>
      </c>
      <c r="W238" s="40">
        <v>0</v>
      </c>
      <c r="X238" s="40">
        <v>1000</v>
      </c>
      <c r="Z238" s="40">
        <v>10</v>
      </c>
      <c r="AB238" s="52">
        <v>50</v>
      </c>
      <c r="AD238" s="40">
        <v>10</v>
      </c>
      <c r="AF238" s="40">
        <v>2000</v>
      </c>
      <c r="AG238" s="40">
        <v>2</v>
      </c>
      <c r="AH238" s="40">
        <v>8.5</v>
      </c>
      <c r="AI238" s="40">
        <v>16</v>
      </c>
      <c r="AJ238" s="40">
        <v>0</v>
      </c>
      <c r="AK238" s="40">
        <v>0</v>
      </c>
      <c r="AM238" s="40" t="s">
        <v>2</v>
      </c>
      <c r="AO238" s="40">
        <v>50</v>
      </c>
      <c r="AW238" s="40" t="b">
        <v>0</v>
      </c>
      <c r="BE238" s="244"/>
      <c r="BF238" s="40">
        <v>1.6</v>
      </c>
      <c r="BG238" s="40">
        <v>1</v>
      </c>
      <c r="BH238" s="40">
        <v>1</v>
      </c>
      <c r="BI238" s="40">
        <v>0.55000000000000004</v>
      </c>
      <c r="BJ238" s="40">
        <v>0</v>
      </c>
      <c r="BM238" s="33" t="s">
        <v>1</v>
      </c>
      <c r="BN238" s="58">
        <v>13</v>
      </c>
      <c r="BO238" s="35">
        <f t="shared" si="30"/>
        <v>8.25</v>
      </c>
      <c r="BP238" s="58">
        <v>250</v>
      </c>
      <c r="BT238" s="59"/>
      <c r="BU238" s="59"/>
      <c r="BV238" s="59"/>
      <c r="BW238" s="59"/>
      <c r="BX238" s="59"/>
      <c r="BY238" s="59"/>
      <c r="BZ238" s="59"/>
      <c r="CA238" s="59"/>
      <c r="CB238" s="59"/>
      <c r="CC238" s="59"/>
      <c r="CD238" s="59"/>
      <c r="CE238" s="60"/>
      <c r="CF238" s="44" t="s">
        <v>16</v>
      </c>
      <c r="CI238" s="40">
        <v>2.68</v>
      </c>
      <c r="CR238" s="40">
        <v>0</v>
      </c>
      <c r="CS238" s="67">
        <v>0</v>
      </c>
      <c r="CT238" s="67">
        <v>0</v>
      </c>
      <c r="CU238" s="40">
        <v>0</v>
      </c>
      <c r="CV238" s="67">
        <v>0</v>
      </c>
      <c r="CW238" s="67">
        <v>0</v>
      </c>
      <c r="CX238" s="67">
        <v>0</v>
      </c>
      <c r="CY238" s="67">
        <v>0</v>
      </c>
      <c r="CZ238" s="67">
        <v>0</v>
      </c>
      <c r="DA238" s="67">
        <v>0</v>
      </c>
      <c r="DB238" s="67">
        <v>0</v>
      </c>
      <c r="DD238" s="40">
        <v>0</v>
      </c>
      <c r="DI238" s="40" t="s">
        <v>0</v>
      </c>
    </row>
    <row r="239" spans="1:113" s="40" customFormat="1" ht="15.75" thickBot="1" x14ac:dyDescent="0.3">
      <c r="A239" s="40">
        <v>6293</v>
      </c>
      <c r="B239" s="40" t="s">
        <v>437</v>
      </c>
      <c r="C239" s="53" t="s">
        <v>390</v>
      </c>
      <c r="D239" s="40">
        <v>13</v>
      </c>
      <c r="E239" s="40">
        <v>0</v>
      </c>
      <c r="F239" s="40">
        <v>13</v>
      </c>
      <c r="G239" s="40">
        <v>398</v>
      </c>
      <c r="H239" s="40">
        <v>0</v>
      </c>
      <c r="I239" s="40">
        <v>25</v>
      </c>
      <c r="J239" s="54" t="s">
        <v>608</v>
      </c>
      <c r="K239" s="54" t="s">
        <v>609</v>
      </c>
      <c r="L239" s="56">
        <v>45947</v>
      </c>
      <c r="M239" s="40">
        <v>0</v>
      </c>
      <c r="N239" s="40">
        <v>0</v>
      </c>
      <c r="O239" s="40">
        <v>0</v>
      </c>
      <c r="S239" s="40" t="b">
        <v>0</v>
      </c>
      <c r="T239" s="40">
        <v>0.01</v>
      </c>
      <c r="U239" s="52">
        <v>8.25</v>
      </c>
      <c r="V239" s="40">
        <v>0.01</v>
      </c>
      <c r="W239" s="40">
        <v>0</v>
      </c>
      <c r="X239" s="40">
        <v>1000</v>
      </c>
      <c r="Z239" s="40">
        <v>10</v>
      </c>
      <c r="AB239" s="52">
        <v>50</v>
      </c>
      <c r="AD239" s="40">
        <v>10</v>
      </c>
      <c r="AF239" s="40">
        <v>2000</v>
      </c>
      <c r="AG239" s="40">
        <v>2</v>
      </c>
      <c r="AH239" s="40">
        <v>8.4300003050000001</v>
      </c>
      <c r="AI239" s="40">
        <v>16</v>
      </c>
      <c r="AJ239" s="40">
        <v>0</v>
      </c>
      <c r="AK239" s="40">
        <v>0</v>
      </c>
      <c r="AM239" s="40" t="s">
        <v>2</v>
      </c>
      <c r="AO239" s="40">
        <v>50</v>
      </c>
      <c r="AW239" s="40" t="b">
        <v>0</v>
      </c>
      <c r="BE239" s="244"/>
      <c r="BF239" s="40">
        <v>1.6</v>
      </c>
      <c r="BG239" s="40">
        <v>1</v>
      </c>
      <c r="BH239" s="40">
        <v>1</v>
      </c>
      <c r="BI239" s="40">
        <v>0.55000000000000004</v>
      </c>
      <c r="BJ239" s="40">
        <v>0</v>
      </c>
      <c r="BM239" s="33" t="s">
        <v>1</v>
      </c>
      <c r="BN239" s="58">
        <v>13</v>
      </c>
      <c r="BO239" s="35">
        <f t="shared" si="30"/>
        <v>8.25</v>
      </c>
      <c r="BP239" s="58">
        <v>250</v>
      </c>
      <c r="BT239" s="59"/>
      <c r="BU239" s="59"/>
      <c r="BV239" s="59"/>
      <c r="BW239" s="59"/>
      <c r="BX239" s="59"/>
      <c r="BY239" s="59"/>
      <c r="BZ239" s="59"/>
      <c r="CA239" s="59"/>
      <c r="CB239" s="59"/>
      <c r="CC239" s="59"/>
      <c r="CD239" s="59"/>
      <c r="CE239" s="60"/>
      <c r="CF239" s="44" t="s">
        <v>16</v>
      </c>
      <c r="CI239" s="40">
        <v>2.68</v>
      </c>
      <c r="CR239" s="40">
        <v>0</v>
      </c>
      <c r="CS239" s="67">
        <v>0</v>
      </c>
      <c r="CT239" s="67">
        <v>0</v>
      </c>
      <c r="CU239" s="40">
        <v>0</v>
      </c>
      <c r="CV239" s="67">
        <v>0</v>
      </c>
      <c r="CW239" s="67">
        <v>0</v>
      </c>
      <c r="CX239" s="67">
        <v>0</v>
      </c>
      <c r="CY239" s="67">
        <v>0</v>
      </c>
      <c r="CZ239" s="67">
        <v>0</v>
      </c>
      <c r="DA239" s="67">
        <v>0</v>
      </c>
      <c r="DB239" s="67">
        <v>0</v>
      </c>
      <c r="DD239" s="40">
        <v>0</v>
      </c>
      <c r="DI239" s="40" t="s">
        <v>0</v>
      </c>
    </row>
    <row r="240" spans="1:113" s="40" customFormat="1" ht="15.75" thickBot="1" x14ac:dyDescent="0.3">
      <c r="A240" s="40">
        <v>6294</v>
      </c>
      <c r="B240" s="40" t="s">
        <v>437</v>
      </c>
      <c r="C240" s="53" t="s">
        <v>390</v>
      </c>
      <c r="D240" s="40">
        <v>13</v>
      </c>
      <c r="E240" s="40">
        <v>0</v>
      </c>
      <c r="F240" s="40">
        <v>13</v>
      </c>
      <c r="G240" s="40">
        <v>399</v>
      </c>
      <c r="H240" s="40">
        <v>0</v>
      </c>
      <c r="I240" s="40">
        <v>25</v>
      </c>
      <c r="J240" s="54" t="s">
        <v>610</v>
      </c>
      <c r="K240" s="54" t="s">
        <v>611</v>
      </c>
      <c r="L240" s="56">
        <v>45947</v>
      </c>
      <c r="M240" s="40">
        <v>0</v>
      </c>
      <c r="N240" s="40">
        <v>0</v>
      </c>
      <c r="O240" s="40">
        <v>0</v>
      </c>
      <c r="S240" s="40" t="b">
        <v>0</v>
      </c>
      <c r="T240" s="40">
        <v>0.01</v>
      </c>
      <c r="U240" s="52">
        <v>8.25</v>
      </c>
      <c r="V240" s="40">
        <v>0.01</v>
      </c>
      <c r="W240" s="40">
        <v>0</v>
      </c>
      <c r="X240" s="40">
        <v>1000</v>
      </c>
      <c r="Z240" s="40">
        <v>10</v>
      </c>
      <c r="AB240" s="52">
        <v>50</v>
      </c>
      <c r="AD240" s="40">
        <v>10</v>
      </c>
      <c r="AF240" s="40">
        <v>2000</v>
      </c>
      <c r="AG240" s="40">
        <v>2</v>
      </c>
      <c r="AH240" s="40">
        <v>8.4099998469999999</v>
      </c>
      <c r="AI240" s="40">
        <v>16</v>
      </c>
      <c r="AJ240" s="40">
        <v>0</v>
      </c>
      <c r="AK240" s="40">
        <v>0</v>
      </c>
      <c r="AM240" s="40" t="s">
        <v>2</v>
      </c>
      <c r="AO240" s="40">
        <v>50</v>
      </c>
      <c r="AW240" s="40" t="b">
        <v>0</v>
      </c>
      <c r="BE240" s="244"/>
      <c r="BF240" s="40">
        <v>1.6</v>
      </c>
      <c r="BG240" s="40">
        <v>1</v>
      </c>
      <c r="BH240" s="40">
        <v>1</v>
      </c>
      <c r="BI240" s="40">
        <v>0.55000000000000004</v>
      </c>
      <c r="BJ240" s="40">
        <v>0</v>
      </c>
      <c r="BM240" s="33" t="s">
        <v>1</v>
      </c>
      <c r="BN240" s="58">
        <v>13</v>
      </c>
      <c r="BO240" s="35">
        <f t="shared" si="30"/>
        <v>8.25</v>
      </c>
      <c r="BP240" s="58">
        <v>250</v>
      </c>
      <c r="BT240" s="59"/>
      <c r="BU240" s="59"/>
      <c r="BV240" s="59"/>
      <c r="BW240" s="59"/>
      <c r="BX240" s="59"/>
      <c r="BY240" s="59"/>
      <c r="BZ240" s="59"/>
      <c r="CA240" s="59"/>
      <c r="CB240" s="59"/>
      <c r="CC240" s="59"/>
      <c r="CD240" s="59"/>
      <c r="CE240" s="60"/>
      <c r="CF240" s="44" t="s">
        <v>16</v>
      </c>
      <c r="CI240" s="40">
        <v>2.68</v>
      </c>
      <c r="CR240" s="40">
        <v>0</v>
      </c>
      <c r="CS240" s="67">
        <v>0</v>
      </c>
      <c r="CT240" s="67">
        <v>0</v>
      </c>
      <c r="CU240" s="40">
        <v>0</v>
      </c>
      <c r="CV240" s="67">
        <v>0</v>
      </c>
      <c r="CW240" s="67">
        <v>0</v>
      </c>
      <c r="CX240" s="67">
        <v>0</v>
      </c>
      <c r="CY240" s="67">
        <v>0</v>
      </c>
      <c r="CZ240" s="67">
        <v>0</v>
      </c>
      <c r="DA240" s="67">
        <v>0</v>
      </c>
      <c r="DB240" s="67">
        <v>0</v>
      </c>
      <c r="DD240" s="40">
        <v>0</v>
      </c>
      <c r="DI240" s="40" t="s">
        <v>0</v>
      </c>
    </row>
    <row r="241" spans="1:113" s="40" customFormat="1" ht="15.75" thickBot="1" x14ac:dyDescent="0.3">
      <c r="A241" s="40">
        <v>6295</v>
      </c>
      <c r="B241" s="40" t="s">
        <v>437</v>
      </c>
      <c r="C241" s="53" t="s">
        <v>390</v>
      </c>
      <c r="D241" s="40">
        <v>13</v>
      </c>
      <c r="E241" s="40">
        <v>0</v>
      </c>
      <c r="F241" s="40">
        <v>13</v>
      </c>
      <c r="G241" s="40">
        <v>400</v>
      </c>
      <c r="H241" s="40">
        <v>0</v>
      </c>
      <c r="I241" s="40">
        <v>25</v>
      </c>
      <c r="J241" s="54" t="s">
        <v>612</v>
      </c>
      <c r="K241" s="54" t="s">
        <v>613</v>
      </c>
      <c r="L241" s="56">
        <v>45947</v>
      </c>
      <c r="M241" s="40">
        <v>0</v>
      </c>
      <c r="N241" s="40">
        <v>0</v>
      </c>
      <c r="O241" s="40">
        <v>0</v>
      </c>
      <c r="S241" s="40" t="b">
        <v>0</v>
      </c>
      <c r="T241" s="40">
        <v>0.01</v>
      </c>
      <c r="U241" s="52">
        <v>8.25</v>
      </c>
      <c r="V241" s="40">
        <v>0.01</v>
      </c>
      <c r="W241" s="40">
        <v>0</v>
      </c>
      <c r="X241" s="40">
        <v>1000</v>
      </c>
      <c r="Z241" s="40">
        <v>10</v>
      </c>
      <c r="AB241" s="52">
        <v>50</v>
      </c>
      <c r="AD241" s="40">
        <v>10</v>
      </c>
      <c r="AF241" s="40">
        <v>2000</v>
      </c>
      <c r="AG241" s="40">
        <v>2</v>
      </c>
      <c r="AH241" s="40">
        <v>8.4899997710000008</v>
      </c>
      <c r="AI241" s="40">
        <v>16</v>
      </c>
      <c r="AJ241" s="40">
        <v>0</v>
      </c>
      <c r="AK241" s="40">
        <v>0</v>
      </c>
      <c r="AM241" s="40" t="s">
        <v>2</v>
      </c>
      <c r="AO241" s="40">
        <v>50</v>
      </c>
      <c r="AW241" s="40" t="b">
        <v>0</v>
      </c>
      <c r="BE241" s="244"/>
      <c r="BF241" s="40">
        <v>1.6</v>
      </c>
      <c r="BG241" s="40">
        <v>1</v>
      </c>
      <c r="BH241" s="40">
        <v>1</v>
      </c>
      <c r="BI241" s="40">
        <v>0.55000000000000004</v>
      </c>
      <c r="BJ241" s="40">
        <v>0</v>
      </c>
      <c r="BM241" s="33" t="s">
        <v>1</v>
      </c>
      <c r="BN241" s="58">
        <v>13</v>
      </c>
      <c r="BO241" s="35">
        <f t="shared" si="30"/>
        <v>8.25</v>
      </c>
      <c r="BP241" s="58">
        <v>250</v>
      </c>
      <c r="BT241" s="59"/>
      <c r="BU241" s="59"/>
      <c r="BV241" s="59"/>
      <c r="BW241" s="59"/>
      <c r="BX241" s="59"/>
      <c r="BY241" s="59"/>
      <c r="BZ241" s="59"/>
      <c r="CA241" s="59"/>
      <c r="CB241" s="59"/>
      <c r="CC241" s="59"/>
      <c r="CD241" s="59"/>
      <c r="CE241" s="60"/>
      <c r="CF241" s="44" t="s">
        <v>16</v>
      </c>
      <c r="CI241" s="40">
        <v>2.68</v>
      </c>
      <c r="CR241" s="40">
        <v>0</v>
      </c>
      <c r="CS241" s="67">
        <v>0</v>
      </c>
      <c r="CT241" s="67">
        <v>0</v>
      </c>
      <c r="CU241" s="40">
        <v>0</v>
      </c>
      <c r="CV241" s="67">
        <v>0</v>
      </c>
      <c r="CW241" s="67">
        <v>0</v>
      </c>
      <c r="CX241" s="67">
        <v>0</v>
      </c>
      <c r="CY241" s="67">
        <v>0</v>
      </c>
      <c r="CZ241" s="67">
        <v>0</v>
      </c>
      <c r="DA241" s="67">
        <v>0</v>
      </c>
      <c r="DB241" s="67">
        <v>0</v>
      </c>
      <c r="DD241" s="40">
        <v>0</v>
      </c>
      <c r="DI241" s="40" t="s">
        <v>0</v>
      </c>
    </row>
    <row r="242" spans="1:113" s="40" customFormat="1" ht="15.75" thickBot="1" x14ac:dyDescent="0.3">
      <c r="A242" s="40">
        <v>31289</v>
      </c>
      <c r="B242" s="40" t="s">
        <v>437</v>
      </c>
      <c r="C242" s="53" t="s">
        <v>15</v>
      </c>
      <c r="D242" s="40">
        <v>60</v>
      </c>
      <c r="E242" s="40">
        <v>0</v>
      </c>
      <c r="F242" s="40">
        <v>60</v>
      </c>
      <c r="G242" s="40">
        <v>15</v>
      </c>
      <c r="H242" s="40">
        <v>0</v>
      </c>
      <c r="I242" s="40">
        <v>15</v>
      </c>
      <c r="J242" s="54" t="s">
        <v>616</v>
      </c>
      <c r="K242" s="54" t="s">
        <v>617</v>
      </c>
      <c r="L242" s="56">
        <v>46000.437905092593</v>
      </c>
      <c r="M242" s="40">
        <v>0</v>
      </c>
      <c r="N242" s="40">
        <v>0</v>
      </c>
      <c r="O242" s="40">
        <v>0</v>
      </c>
      <c r="S242" s="40" t="b">
        <v>0</v>
      </c>
      <c r="T242" s="40">
        <v>9.9999997764825821E-3</v>
      </c>
      <c r="U242" s="52">
        <v>4.5999999046325684</v>
      </c>
      <c r="V242" s="40">
        <v>9.9999997764825821E-3</v>
      </c>
      <c r="W242" s="40">
        <v>0</v>
      </c>
      <c r="X242" s="40">
        <v>1000</v>
      </c>
      <c r="Z242" s="40">
        <v>10</v>
      </c>
      <c r="AB242" s="52">
        <v>30</v>
      </c>
      <c r="AD242" s="40">
        <v>10</v>
      </c>
      <c r="AF242" s="40">
        <v>2000</v>
      </c>
      <c r="AG242" s="40">
        <v>2</v>
      </c>
      <c r="AH242" s="40">
        <v>5</v>
      </c>
      <c r="AI242" s="40">
        <v>571</v>
      </c>
      <c r="AJ242" s="40">
        <v>0</v>
      </c>
      <c r="AK242" s="40">
        <v>62</v>
      </c>
      <c r="AM242" s="40" t="s">
        <v>2</v>
      </c>
      <c r="AO242" s="40">
        <v>30</v>
      </c>
      <c r="AW242" s="40" t="b">
        <v>0</v>
      </c>
      <c r="AX242" s="40">
        <v>59</v>
      </c>
      <c r="BC242" s="40">
        <v>0</v>
      </c>
      <c r="BD242" s="40">
        <v>0</v>
      </c>
      <c r="BE242" s="244">
        <v>0</v>
      </c>
      <c r="BF242" s="40" t="s">
        <v>669</v>
      </c>
      <c r="BG242" s="40" t="s">
        <v>669</v>
      </c>
      <c r="BH242" s="40">
        <v>0</v>
      </c>
      <c r="BI242" s="40">
        <v>0</v>
      </c>
      <c r="BJ242" s="40">
        <v>0</v>
      </c>
      <c r="BM242" s="33" t="s">
        <v>1</v>
      </c>
      <c r="BN242" s="58">
        <v>60</v>
      </c>
      <c r="BO242" s="58">
        <v>4.5999999046325684</v>
      </c>
      <c r="BP242" s="58">
        <v>225</v>
      </c>
      <c r="BT242" s="59"/>
      <c r="BU242" s="59"/>
      <c r="BV242" s="59"/>
      <c r="BW242" s="59"/>
      <c r="BX242" s="59"/>
      <c r="BY242" s="59"/>
      <c r="BZ242" s="59"/>
      <c r="CA242" s="59"/>
      <c r="CB242" s="59"/>
      <c r="CC242" s="59"/>
      <c r="CD242" s="59"/>
      <c r="CE242" s="60"/>
      <c r="CF242" s="44" t="s">
        <v>16</v>
      </c>
      <c r="CR242" s="40">
        <v>0</v>
      </c>
      <c r="CS242" s="67">
        <v>0</v>
      </c>
      <c r="CT242" s="67">
        <v>0</v>
      </c>
      <c r="CU242" s="40">
        <v>0</v>
      </c>
      <c r="CV242" s="67">
        <v>0</v>
      </c>
      <c r="CW242" s="67">
        <v>0</v>
      </c>
      <c r="CX242" s="67">
        <v>0</v>
      </c>
      <c r="CY242" s="67">
        <v>0</v>
      </c>
      <c r="CZ242" s="67">
        <v>0</v>
      </c>
      <c r="DA242" s="67">
        <v>0</v>
      </c>
      <c r="DB242" s="67">
        <v>0</v>
      </c>
      <c r="DD242" s="40">
        <v>0</v>
      </c>
      <c r="DI242" s="40" t="s">
        <v>0</v>
      </c>
    </row>
    <row r="243" spans="1:113" s="40" customFormat="1" ht="15.75" thickBot="1" x14ac:dyDescent="0.3">
      <c r="A243" s="40">
        <v>31294</v>
      </c>
      <c r="B243" s="40" t="s">
        <v>437</v>
      </c>
      <c r="C243" s="53" t="s">
        <v>15</v>
      </c>
      <c r="D243" s="40">
        <v>60</v>
      </c>
      <c r="E243" s="40">
        <v>0</v>
      </c>
      <c r="F243" s="40">
        <v>60</v>
      </c>
      <c r="G243" s="40">
        <v>20</v>
      </c>
      <c r="H243" s="40">
        <v>0</v>
      </c>
      <c r="I243" s="40">
        <v>37</v>
      </c>
      <c r="J243" s="54" t="s">
        <v>618</v>
      </c>
      <c r="K243" s="54" t="s">
        <v>619</v>
      </c>
      <c r="L243" s="56">
        <v>46000.444027777776</v>
      </c>
      <c r="M243" s="40">
        <v>0</v>
      </c>
      <c r="N243" s="40">
        <v>0</v>
      </c>
      <c r="O243" s="40">
        <v>0</v>
      </c>
      <c r="S243" s="40" t="b">
        <v>0</v>
      </c>
      <c r="T243" s="40">
        <v>9.9999997764825821E-3</v>
      </c>
      <c r="U243" s="52">
        <v>6.6999998092651367</v>
      </c>
      <c r="V243" s="40">
        <v>9.9999997764825821E-3</v>
      </c>
      <c r="W243" s="40">
        <v>0</v>
      </c>
      <c r="X243" s="40">
        <v>1000</v>
      </c>
      <c r="Z243" s="40">
        <v>10</v>
      </c>
      <c r="AB243" s="52">
        <v>75</v>
      </c>
      <c r="AD243" s="40">
        <v>10</v>
      </c>
      <c r="AF243" s="40">
        <v>2000</v>
      </c>
      <c r="AG243" s="40">
        <v>2</v>
      </c>
      <c r="AH243" s="40">
        <v>6.7699999809265137</v>
      </c>
      <c r="AI243" s="40">
        <v>783</v>
      </c>
      <c r="AJ243" s="40">
        <v>0</v>
      </c>
      <c r="AK243" s="40">
        <v>369</v>
      </c>
      <c r="AM243" s="40" t="s">
        <v>2</v>
      </c>
      <c r="AO243" s="40">
        <v>74</v>
      </c>
      <c r="AW243" s="40" t="b">
        <v>0</v>
      </c>
      <c r="BC243" s="40">
        <v>0</v>
      </c>
      <c r="BD243" s="40">
        <v>0</v>
      </c>
      <c r="BE243" s="244">
        <v>0</v>
      </c>
      <c r="BF243" s="40" t="s">
        <v>668</v>
      </c>
      <c r="BG243" s="40">
        <v>2</v>
      </c>
      <c r="BH243" s="40">
        <v>0</v>
      </c>
      <c r="BI243" s="40">
        <v>0</v>
      </c>
      <c r="BJ243" s="40">
        <v>0</v>
      </c>
      <c r="BM243" s="33" t="s">
        <v>1</v>
      </c>
      <c r="BN243" s="58">
        <v>60</v>
      </c>
      <c r="BO243" s="58">
        <v>6.6999998092651367</v>
      </c>
      <c r="BP243" s="58">
        <v>350</v>
      </c>
      <c r="BT243" s="59"/>
      <c r="BU243" s="59"/>
      <c r="BV243" s="59"/>
      <c r="BW243" s="59"/>
      <c r="BX243" s="59"/>
      <c r="BY243" s="59"/>
      <c r="BZ243" s="59"/>
      <c r="CA243" s="59"/>
      <c r="CB243" s="59"/>
      <c r="CC243" s="59"/>
      <c r="CD243" s="59"/>
      <c r="CE243" s="60"/>
      <c r="CF243" s="44" t="s">
        <v>12</v>
      </c>
      <c r="CR243" s="40">
        <v>0</v>
      </c>
      <c r="CS243" s="67">
        <v>0</v>
      </c>
      <c r="CT243" s="67">
        <v>0</v>
      </c>
      <c r="CU243" s="40">
        <v>1</v>
      </c>
      <c r="CV243" s="67">
        <v>0</v>
      </c>
      <c r="CW243" s="67">
        <v>0</v>
      </c>
      <c r="CX243" s="67">
        <v>0</v>
      </c>
      <c r="CY243" s="67">
        <v>0</v>
      </c>
      <c r="CZ243" s="67">
        <v>0</v>
      </c>
      <c r="DA243" s="67">
        <v>0</v>
      </c>
      <c r="DB243" s="67">
        <v>0</v>
      </c>
      <c r="DD243" s="40">
        <v>2</v>
      </c>
      <c r="DI243" s="40" t="s">
        <v>0</v>
      </c>
    </row>
    <row r="244" spans="1:113" s="40" customFormat="1" ht="15.75" thickBot="1" x14ac:dyDescent="0.3">
      <c r="A244" s="40">
        <v>31297</v>
      </c>
      <c r="B244" s="40" t="s">
        <v>437</v>
      </c>
      <c r="C244" s="53" t="s">
        <v>15</v>
      </c>
      <c r="D244" s="40">
        <v>60</v>
      </c>
      <c r="E244" s="40">
        <v>0</v>
      </c>
      <c r="F244" s="40">
        <v>60</v>
      </c>
      <c r="G244" s="40">
        <v>23</v>
      </c>
      <c r="H244" s="40">
        <v>0</v>
      </c>
      <c r="I244" s="40">
        <v>15</v>
      </c>
      <c r="J244" s="54" t="s">
        <v>620</v>
      </c>
      <c r="K244" s="54" t="s">
        <v>621</v>
      </c>
      <c r="L244" s="56">
        <v>46000.445798611108</v>
      </c>
      <c r="M244" s="40">
        <v>0</v>
      </c>
      <c r="N244" s="40">
        <v>0</v>
      </c>
      <c r="O244" s="40">
        <v>0</v>
      </c>
      <c r="S244" s="40" t="b">
        <v>0</v>
      </c>
      <c r="T244" s="40">
        <v>9.9999997764825821E-3</v>
      </c>
      <c r="U244" s="52">
        <v>8.5</v>
      </c>
      <c r="V244" s="40">
        <v>9.9999997764825821E-3</v>
      </c>
      <c r="W244" s="40">
        <v>0</v>
      </c>
      <c r="X244" s="40">
        <v>1000</v>
      </c>
      <c r="Z244" s="40">
        <v>10</v>
      </c>
      <c r="AB244" s="52">
        <v>30</v>
      </c>
      <c r="AD244" s="40">
        <v>10</v>
      </c>
      <c r="AF244" s="40">
        <v>2000</v>
      </c>
      <c r="AG244" s="40">
        <v>2</v>
      </c>
      <c r="AH244" s="40">
        <v>8.8400001525878906</v>
      </c>
      <c r="AI244" s="40">
        <v>864</v>
      </c>
      <c r="AJ244" s="40">
        <v>0</v>
      </c>
      <c r="AK244" s="40">
        <v>172</v>
      </c>
      <c r="AM244" s="40" t="s">
        <v>2</v>
      </c>
      <c r="AO244" s="40">
        <v>30</v>
      </c>
      <c r="AW244" s="40" t="b">
        <v>0</v>
      </c>
      <c r="BC244" s="40">
        <v>0</v>
      </c>
      <c r="BD244" s="40">
        <v>0</v>
      </c>
      <c r="BE244" s="244">
        <v>0</v>
      </c>
      <c r="BF244" s="40" t="s">
        <v>670</v>
      </c>
      <c r="BG244" s="40" t="s">
        <v>670</v>
      </c>
      <c r="BH244" s="40">
        <v>0</v>
      </c>
      <c r="BI244" s="40">
        <v>0</v>
      </c>
      <c r="BJ244" s="40">
        <v>0</v>
      </c>
      <c r="BM244" s="33" t="s">
        <v>1</v>
      </c>
      <c r="BN244" s="58">
        <v>60</v>
      </c>
      <c r="BO244" s="58">
        <v>8.5</v>
      </c>
      <c r="BP244" s="58">
        <v>350</v>
      </c>
      <c r="BT244" s="59"/>
      <c r="BU244" s="59"/>
      <c r="BV244" s="59"/>
      <c r="BW244" s="59"/>
      <c r="BX244" s="59"/>
      <c r="BY244" s="59"/>
      <c r="BZ244" s="59"/>
      <c r="CA244" s="59"/>
      <c r="CB244" s="59"/>
      <c r="CC244" s="59"/>
      <c r="CD244" s="59"/>
      <c r="CE244" s="60"/>
      <c r="CF244" s="44" t="s">
        <v>12</v>
      </c>
      <c r="CR244" s="40">
        <v>0</v>
      </c>
      <c r="CS244" s="67">
        <v>0</v>
      </c>
      <c r="CT244" s="67">
        <v>0</v>
      </c>
      <c r="CU244" s="40">
        <v>1</v>
      </c>
      <c r="CV244" s="67">
        <v>0</v>
      </c>
      <c r="CW244" s="67">
        <v>0</v>
      </c>
      <c r="CX244" s="67">
        <v>0</v>
      </c>
      <c r="CY244" s="67">
        <v>0</v>
      </c>
      <c r="CZ244" s="67">
        <v>0</v>
      </c>
      <c r="DA244" s="67">
        <v>0</v>
      </c>
      <c r="DB244" s="67">
        <v>0</v>
      </c>
      <c r="DD244" s="40">
        <v>2</v>
      </c>
      <c r="DI244" s="40" t="s">
        <v>0</v>
      </c>
    </row>
    <row r="245" spans="1:113" s="40" customFormat="1" ht="15.75" thickBot="1" x14ac:dyDescent="0.3">
      <c r="A245" s="40">
        <v>31298</v>
      </c>
      <c r="B245" s="40" t="s">
        <v>437</v>
      </c>
      <c r="C245" s="53" t="s">
        <v>15</v>
      </c>
      <c r="D245" s="40">
        <v>60</v>
      </c>
      <c r="E245" s="40">
        <v>0</v>
      </c>
      <c r="F245" s="40">
        <v>60</v>
      </c>
      <c r="G245" s="40">
        <v>24</v>
      </c>
      <c r="H245" s="40">
        <v>0</v>
      </c>
      <c r="I245" s="40">
        <v>15</v>
      </c>
      <c r="J245" s="54" t="s">
        <v>622</v>
      </c>
      <c r="K245" s="54" t="s">
        <v>623</v>
      </c>
      <c r="L245" s="56">
        <v>46000.445891203701</v>
      </c>
      <c r="M245" s="40">
        <v>0</v>
      </c>
      <c r="N245" s="40">
        <v>0</v>
      </c>
      <c r="O245" s="40">
        <v>0</v>
      </c>
      <c r="S245" s="40" t="b">
        <v>0</v>
      </c>
      <c r="T245" s="40">
        <v>9.9999997764825821E-3</v>
      </c>
      <c r="U245" s="52">
        <v>8</v>
      </c>
      <c r="V245" s="40">
        <v>9.9999997764825821E-3</v>
      </c>
      <c r="W245" s="40">
        <v>0</v>
      </c>
      <c r="X245" s="40">
        <v>1000</v>
      </c>
      <c r="Z245" s="40">
        <v>10</v>
      </c>
      <c r="AB245" s="52">
        <v>30</v>
      </c>
      <c r="AD245" s="40">
        <v>10</v>
      </c>
      <c r="AF245" s="40">
        <v>2000</v>
      </c>
      <c r="AG245" s="40">
        <v>2</v>
      </c>
      <c r="AH245" s="40">
        <v>8.2299995422363281</v>
      </c>
      <c r="AI245" s="40">
        <v>813</v>
      </c>
      <c r="AJ245" s="40">
        <v>0</v>
      </c>
      <c r="AK245" s="40">
        <v>158</v>
      </c>
      <c r="AM245" s="40" t="s">
        <v>2</v>
      </c>
      <c r="AO245" s="40">
        <v>30</v>
      </c>
      <c r="AW245" s="40" t="b">
        <v>0</v>
      </c>
      <c r="BC245" s="40">
        <v>0</v>
      </c>
      <c r="BD245" s="40">
        <v>0</v>
      </c>
      <c r="BE245" s="244">
        <v>0</v>
      </c>
      <c r="BF245" s="40" t="s">
        <v>670</v>
      </c>
      <c r="BG245" s="40" t="s">
        <v>670</v>
      </c>
      <c r="BH245" s="40">
        <v>0</v>
      </c>
      <c r="BI245" s="40">
        <v>0</v>
      </c>
      <c r="BJ245" s="40">
        <v>0</v>
      </c>
      <c r="BM245" s="33" t="s">
        <v>1</v>
      </c>
      <c r="BN245" s="58">
        <v>60</v>
      </c>
      <c r="BO245" s="58">
        <v>8</v>
      </c>
      <c r="BP245" s="58">
        <v>350</v>
      </c>
      <c r="BT245" s="59"/>
      <c r="BU245" s="59"/>
      <c r="BV245" s="59"/>
      <c r="BW245" s="59"/>
      <c r="BX245" s="59"/>
      <c r="BY245" s="59"/>
      <c r="BZ245" s="59"/>
      <c r="CA245" s="59"/>
      <c r="CB245" s="59"/>
      <c r="CC245" s="59"/>
      <c r="CD245" s="59"/>
      <c r="CE245" s="60"/>
      <c r="CF245" s="44" t="s">
        <v>12</v>
      </c>
      <c r="CR245" s="40">
        <v>0</v>
      </c>
      <c r="CS245" s="67">
        <v>0</v>
      </c>
      <c r="CT245" s="67">
        <v>0</v>
      </c>
      <c r="CU245" s="40">
        <v>1</v>
      </c>
      <c r="CV245" s="67">
        <v>0</v>
      </c>
      <c r="CW245" s="67">
        <v>0</v>
      </c>
      <c r="CX245" s="67">
        <v>0</v>
      </c>
      <c r="CY245" s="67">
        <v>0</v>
      </c>
      <c r="CZ245" s="67">
        <v>0</v>
      </c>
      <c r="DA245" s="67">
        <v>0</v>
      </c>
      <c r="DB245" s="67">
        <v>0</v>
      </c>
      <c r="DD245" s="40">
        <v>2</v>
      </c>
      <c r="DI245" s="40" t="s">
        <v>0</v>
      </c>
    </row>
    <row r="246" spans="1:113" s="40" customFormat="1" ht="15.75" thickBot="1" x14ac:dyDescent="0.3">
      <c r="A246" s="40">
        <v>31299</v>
      </c>
      <c r="B246" s="40" t="s">
        <v>437</v>
      </c>
      <c r="C246" s="53" t="s">
        <v>15</v>
      </c>
      <c r="D246" s="40">
        <v>60</v>
      </c>
      <c r="E246" s="40">
        <v>0</v>
      </c>
      <c r="F246" s="40">
        <v>60</v>
      </c>
      <c r="G246" s="40">
        <v>25</v>
      </c>
      <c r="H246" s="40">
        <v>0</v>
      </c>
      <c r="I246" s="40">
        <v>12</v>
      </c>
      <c r="J246" s="54" t="s">
        <v>624</v>
      </c>
      <c r="K246" s="54" t="s">
        <v>625</v>
      </c>
      <c r="L246" s="56">
        <v>46000.446018518516</v>
      </c>
      <c r="M246" s="40">
        <v>0</v>
      </c>
      <c r="N246" s="40">
        <v>0</v>
      </c>
      <c r="O246" s="40">
        <v>0</v>
      </c>
      <c r="S246" s="40" t="b">
        <v>0</v>
      </c>
      <c r="T246" s="40">
        <v>9.9999997764825821E-3</v>
      </c>
      <c r="U246" s="52">
        <v>9</v>
      </c>
      <c r="V246" s="40">
        <v>9.9999997764825821E-3</v>
      </c>
      <c r="W246" s="40">
        <v>0</v>
      </c>
      <c r="X246" s="40">
        <v>1000</v>
      </c>
      <c r="Z246" s="40">
        <v>10</v>
      </c>
      <c r="AB246" s="52">
        <v>25</v>
      </c>
      <c r="AD246" s="40">
        <v>10</v>
      </c>
      <c r="AF246" s="40">
        <v>2000</v>
      </c>
      <c r="AG246" s="40">
        <v>2</v>
      </c>
      <c r="AH246" s="40">
        <v>9.4799995422363281</v>
      </c>
      <c r="AI246" s="40">
        <v>881</v>
      </c>
      <c r="AJ246" s="40">
        <v>0</v>
      </c>
      <c r="AK246" s="40">
        <v>150</v>
      </c>
      <c r="AM246" s="40" t="s">
        <v>2</v>
      </c>
      <c r="AO246" s="40">
        <v>24</v>
      </c>
      <c r="AW246" s="40" t="b">
        <v>0</v>
      </c>
      <c r="BC246" s="40">
        <v>0</v>
      </c>
      <c r="BD246" s="40">
        <v>0</v>
      </c>
      <c r="BE246" s="244">
        <v>0</v>
      </c>
      <c r="BF246" s="40" t="s">
        <v>670</v>
      </c>
      <c r="BG246" s="40" t="s">
        <v>670</v>
      </c>
      <c r="BH246" s="40">
        <v>0</v>
      </c>
      <c r="BI246" s="40">
        <v>0</v>
      </c>
      <c r="BJ246" s="40">
        <v>0</v>
      </c>
      <c r="BM246" s="33" t="s">
        <v>1</v>
      </c>
      <c r="BN246" s="58">
        <v>60</v>
      </c>
      <c r="BO246" s="58">
        <v>9</v>
      </c>
      <c r="BP246" s="58">
        <v>350</v>
      </c>
      <c r="BT246" s="59"/>
      <c r="BU246" s="59"/>
      <c r="BV246" s="59"/>
      <c r="BW246" s="59"/>
      <c r="BX246" s="59"/>
      <c r="BY246" s="59"/>
      <c r="BZ246" s="59"/>
      <c r="CA246" s="59"/>
      <c r="CB246" s="59"/>
      <c r="CC246" s="59"/>
      <c r="CD246" s="59"/>
      <c r="CE246" s="60"/>
      <c r="CF246" s="44" t="s">
        <v>12</v>
      </c>
      <c r="CR246" s="40">
        <v>0</v>
      </c>
      <c r="CS246" s="67">
        <v>0</v>
      </c>
      <c r="CT246" s="67">
        <v>0</v>
      </c>
      <c r="CU246" s="40">
        <v>1</v>
      </c>
      <c r="CV246" s="67">
        <v>0</v>
      </c>
      <c r="CW246" s="67">
        <v>0</v>
      </c>
      <c r="CX246" s="67">
        <v>0</v>
      </c>
      <c r="CY246" s="67">
        <v>0</v>
      </c>
      <c r="CZ246" s="67">
        <v>0</v>
      </c>
      <c r="DA246" s="67">
        <v>0</v>
      </c>
      <c r="DB246" s="67">
        <v>0</v>
      </c>
      <c r="DD246" s="40">
        <v>2</v>
      </c>
      <c r="DI246" s="40" t="s">
        <v>0</v>
      </c>
    </row>
    <row r="247" spans="1:113" s="40" customFormat="1" ht="15.75" thickBot="1" x14ac:dyDescent="0.3">
      <c r="A247" s="40">
        <v>31300</v>
      </c>
      <c r="B247" s="40" t="s">
        <v>437</v>
      </c>
      <c r="C247" s="53" t="s">
        <v>15</v>
      </c>
      <c r="D247" s="40">
        <v>60</v>
      </c>
      <c r="E247" s="40">
        <v>0</v>
      </c>
      <c r="F247" s="40">
        <v>60</v>
      </c>
      <c r="G247" s="40">
        <v>26</v>
      </c>
      <c r="H247" s="40">
        <v>0</v>
      </c>
      <c r="I247" s="40">
        <v>11</v>
      </c>
      <c r="J247" s="54" t="s">
        <v>626</v>
      </c>
      <c r="K247" s="54" t="s">
        <v>627</v>
      </c>
      <c r="L247" s="56">
        <v>46000.446111111109</v>
      </c>
      <c r="M247" s="40">
        <v>0</v>
      </c>
      <c r="N247" s="40">
        <v>0</v>
      </c>
      <c r="O247" s="40">
        <v>0</v>
      </c>
      <c r="S247" s="40" t="b">
        <v>0</v>
      </c>
      <c r="T247" s="40">
        <v>9.9999997764825821E-3</v>
      </c>
      <c r="U247" s="52">
        <v>9</v>
      </c>
      <c r="V247" s="40">
        <v>9.9999997764825821E-3</v>
      </c>
      <c r="W247" s="40">
        <v>0</v>
      </c>
      <c r="X247" s="40">
        <v>1000</v>
      </c>
      <c r="Z247" s="40">
        <v>10</v>
      </c>
      <c r="AB247" s="52">
        <v>22</v>
      </c>
      <c r="AD247" s="40">
        <v>10</v>
      </c>
      <c r="AF247" s="40">
        <v>2000</v>
      </c>
      <c r="AG247" s="40">
        <v>2</v>
      </c>
      <c r="AH247" s="40">
        <v>6.9200000762939453</v>
      </c>
      <c r="AI247" s="40">
        <v>847</v>
      </c>
      <c r="AJ247" s="40">
        <v>0</v>
      </c>
      <c r="AK247" s="40">
        <v>109</v>
      </c>
      <c r="AM247" s="40" t="s">
        <v>2</v>
      </c>
      <c r="AO247" s="40">
        <v>22</v>
      </c>
      <c r="AW247" s="40" t="b">
        <v>0</v>
      </c>
      <c r="AX247" s="40">
        <v>56</v>
      </c>
      <c r="BC247" s="40">
        <v>0</v>
      </c>
      <c r="BD247" s="40">
        <v>0</v>
      </c>
      <c r="BE247" s="244">
        <v>0</v>
      </c>
      <c r="BF247" s="40" t="s">
        <v>670</v>
      </c>
      <c r="BG247" s="40" t="s">
        <v>670</v>
      </c>
      <c r="BH247" s="40">
        <v>0</v>
      </c>
      <c r="BI247" s="40">
        <v>0</v>
      </c>
      <c r="BJ247" s="40">
        <v>0</v>
      </c>
      <c r="BM247" s="33" t="s">
        <v>1</v>
      </c>
      <c r="BN247" s="58">
        <v>60</v>
      </c>
      <c r="BO247" s="58">
        <v>9</v>
      </c>
      <c r="BP247" s="58">
        <v>350</v>
      </c>
      <c r="BT247" s="59"/>
      <c r="BU247" s="59"/>
      <c r="BV247" s="59"/>
      <c r="BW247" s="59"/>
      <c r="BX247" s="59"/>
      <c r="BY247" s="59"/>
      <c r="BZ247" s="59"/>
      <c r="CA247" s="59"/>
      <c r="CB247" s="59"/>
      <c r="CC247" s="59"/>
      <c r="CD247" s="59"/>
      <c r="CE247" s="60"/>
      <c r="CF247" s="44" t="s">
        <v>12</v>
      </c>
      <c r="CR247" s="40">
        <v>0</v>
      </c>
      <c r="CS247" s="67">
        <v>0</v>
      </c>
      <c r="CT247" s="67">
        <v>0</v>
      </c>
      <c r="CU247" s="40">
        <v>1</v>
      </c>
      <c r="CV247" s="67">
        <v>0</v>
      </c>
      <c r="CW247" s="67">
        <v>0</v>
      </c>
      <c r="CX247" s="67">
        <v>0</v>
      </c>
      <c r="CY247" s="67">
        <v>0</v>
      </c>
      <c r="CZ247" s="67">
        <v>0</v>
      </c>
      <c r="DA247" s="67">
        <v>0</v>
      </c>
      <c r="DB247" s="67">
        <v>0</v>
      </c>
      <c r="DD247" s="40">
        <v>2</v>
      </c>
      <c r="DI247" s="40" t="s">
        <v>0</v>
      </c>
    </row>
    <row r="248" spans="1:113" s="40" customFormat="1" ht="15.75" thickBot="1" x14ac:dyDescent="0.3">
      <c r="A248" s="40">
        <v>34706</v>
      </c>
      <c r="B248" s="40" t="s">
        <v>437</v>
      </c>
      <c r="C248" s="53" t="s">
        <v>15</v>
      </c>
      <c r="D248" s="40">
        <v>60</v>
      </c>
      <c r="E248" s="40">
        <v>0</v>
      </c>
      <c r="F248" s="40">
        <v>60</v>
      </c>
      <c r="G248" s="40">
        <v>1</v>
      </c>
      <c r="H248" s="40">
        <v>0</v>
      </c>
      <c r="I248" s="40">
        <v>42</v>
      </c>
      <c r="J248" s="54" t="s">
        <v>628</v>
      </c>
      <c r="K248" s="54" t="s">
        <v>629</v>
      </c>
      <c r="L248" s="56">
        <v>46010.437789351854</v>
      </c>
      <c r="M248" s="40">
        <v>0</v>
      </c>
      <c r="N248" s="40">
        <v>0</v>
      </c>
      <c r="O248" s="40">
        <v>0</v>
      </c>
      <c r="S248" s="40" t="b">
        <v>0</v>
      </c>
      <c r="T248" s="40">
        <v>9.9999997764825821E-3</v>
      </c>
      <c r="U248" s="52">
        <v>6.5</v>
      </c>
      <c r="V248" s="40">
        <v>9.9999997764825821E-3</v>
      </c>
      <c r="W248" s="40">
        <v>0</v>
      </c>
      <c r="X248" s="40">
        <v>1000</v>
      </c>
      <c r="Z248" s="40">
        <v>10</v>
      </c>
      <c r="AB248" s="52">
        <v>85</v>
      </c>
      <c r="AD248" s="40">
        <v>10</v>
      </c>
      <c r="AF248" s="40">
        <v>2000</v>
      </c>
      <c r="AG248" s="40">
        <v>2</v>
      </c>
      <c r="AH248" s="40">
        <v>6.559999942779541</v>
      </c>
      <c r="AI248" s="40">
        <v>915</v>
      </c>
      <c r="AJ248" s="40">
        <v>0</v>
      </c>
      <c r="AK248" s="40">
        <v>478</v>
      </c>
      <c r="AM248" s="40" t="s">
        <v>2</v>
      </c>
      <c r="AO248" s="40">
        <v>84</v>
      </c>
      <c r="AW248" s="40" t="b">
        <v>0</v>
      </c>
      <c r="BC248" s="40">
        <v>0</v>
      </c>
      <c r="BD248" s="40">
        <v>0</v>
      </c>
      <c r="BE248" s="244">
        <v>0</v>
      </c>
      <c r="BF248" s="40" t="s">
        <v>670</v>
      </c>
      <c r="BG248" s="40" t="s">
        <v>668</v>
      </c>
      <c r="BH248" s="40" t="s">
        <v>668</v>
      </c>
      <c r="BI248" s="40">
        <v>0</v>
      </c>
      <c r="BJ248" s="40">
        <v>0</v>
      </c>
      <c r="BM248" s="33" t="s">
        <v>1</v>
      </c>
      <c r="BN248" s="58">
        <v>60</v>
      </c>
      <c r="BO248" s="58">
        <v>6.5</v>
      </c>
      <c r="BP248" s="58">
        <v>300</v>
      </c>
      <c r="BT248" s="59"/>
      <c r="BU248" s="59"/>
      <c r="BV248" s="59"/>
      <c r="BW248" s="59"/>
      <c r="BX248" s="59"/>
      <c r="BY248" s="59"/>
      <c r="BZ248" s="59"/>
      <c r="CA248" s="59"/>
      <c r="CB248" s="59"/>
      <c r="CC248" s="59"/>
      <c r="CD248" s="59"/>
      <c r="CE248" s="60"/>
      <c r="CF248" s="44" t="s">
        <v>12</v>
      </c>
      <c r="CR248" s="40">
        <v>0</v>
      </c>
      <c r="CS248" s="67">
        <v>0</v>
      </c>
      <c r="CT248" s="67">
        <v>0</v>
      </c>
      <c r="CU248" s="40">
        <v>1</v>
      </c>
      <c r="CV248" s="67">
        <v>0</v>
      </c>
      <c r="CW248" s="67">
        <v>0</v>
      </c>
      <c r="CX248" s="67">
        <v>0</v>
      </c>
      <c r="CY248" s="67">
        <v>0</v>
      </c>
      <c r="CZ248" s="67">
        <v>0</v>
      </c>
      <c r="DA248" s="67">
        <v>0</v>
      </c>
      <c r="DB248" s="67">
        <v>0</v>
      </c>
      <c r="DD248" s="40">
        <v>2</v>
      </c>
      <c r="DI248" s="40" t="s">
        <v>0</v>
      </c>
    </row>
    <row r="249" spans="1:113" s="40" customFormat="1" ht="15.75" thickBot="1" x14ac:dyDescent="0.3">
      <c r="A249" s="40">
        <v>34707</v>
      </c>
      <c r="B249" s="40" t="s">
        <v>437</v>
      </c>
      <c r="C249" s="53" t="s">
        <v>15</v>
      </c>
      <c r="D249" s="40">
        <v>60</v>
      </c>
      <c r="E249" s="40">
        <v>0</v>
      </c>
      <c r="F249" s="40">
        <v>60</v>
      </c>
      <c r="G249" s="40">
        <v>2</v>
      </c>
      <c r="H249" s="40">
        <v>0</v>
      </c>
      <c r="I249" s="40">
        <v>42</v>
      </c>
      <c r="J249" s="54" t="s">
        <v>630</v>
      </c>
      <c r="K249" s="54" t="s">
        <v>631</v>
      </c>
      <c r="L249" s="56">
        <v>46010.437939814816</v>
      </c>
      <c r="M249" s="40">
        <v>0</v>
      </c>
      <c r="N249" s="40">
        <v>0</v>
      </c>
      <c r="O249" s="40">
        <v>0</v>
      </c>
      <c r="S249" s="40" t="b">
        <v>0</v>
      </c>
      <c r="T249" s="40">
        <v>9.9999997764825821E-3</v>
      </c>
      <c r="U249" s="52">
        <v>6</v>
      </c>
      <c r="V249" s="40">
        <v>9.9999997764825821E-3</v>
      </c>
      <c r="W249" s="40">
        <v>0</v>
      </c>
      <c r="X249" s="40">
        <v>1000</v>
      </c>
      <c r="Z249" s="40">
        <v>10</v>
      </c>
      <c r="AB249" s="52">
        <v>85</v>
      </c>
      <c r="AD249" s="40">
        <v>10</v>
      </c>
      <c r="AF249" s="40">
        <v>2000</v>
      </c>
      <c r="AG249" s="40">
        <v>2</v>
      </c>
      <c r="AH249" s="40">
        <v>6.059999942779541</v>
      </c>
      <c r="AI249" s="40">
        <v>834</v>
      </c>
      <c r="AJ249" s="40">
        <v>0</v>
      </c>
      <c r="AK249" s="40">
        <v>401</v>
      </c>
      <c r="AM249" s="40" t="s">
        <v>2</v>
      </c>
      <c r="AO249" s="40">
        <v>84</v>
      </c>
      <c r="AW249" s="40" t="b">
        <v>0</v>
      </c>
      <c r="BC249" s="40">
        <v>0</v>
      </c>
      <c r="BD249" s="40">
        <v>0</v>
      </c>
      <c r="BE249" s="244">
        <v>0</v>
      </c>
      <c r="BF249" s="40" t="s">
        <v>670</v>
      </c>
      <c r="BG249" s="40" t="s">
        <v>668</v>
      </c>
      <c r="BH249" s="40" t="s">
        <v>668</v>
      </c>
      <c r="BI249" s="40">
        <v>0</v>
      </c>
      <c r="BJ249" s="40">
        <v>0</v>
      </c>
      <c r="BM249" s="33" t="s">
        <v>1</v>
      </c>
      <c r="BN249" s="58">
        <v>60</v>
      </c>
      <c r="BO249" s="58">
        <v>6</v>
      </c>
      <c r="BP249" s="58">
        <v>300</v>
      </c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60"/>
      <c r="CF249" s="44" t="s">
        <v>12</v>
      </c>
      <c r="CR249" s="40">
        <v>0</v>
      </c>
      <c r="CS249" s="67">
        <v>0</v>
      </c>
      <c r="CT249" s="67">
        <v>0</v>
      </c>
      <c r="CU249" s="40">
        <v>1</v>
      </c>
      <c r="CV249" s="67">
        <v>0</v>
      </c>
      <c r="CW249" s="67">
        <v>0</v>
      </c>
      <c r="CX249" s="67">
        <v>0</v>
      </c>
      <c r="CY249" s="67">
        <v>0</v>
      </c>
      <c r="CZ249" s="67">
        <v>0</v>
      </c>
      <c r="DA249" s="67">
        <v>0</v>
      </c>
      <c r="DB249" s="67">
        <v>0</v>
      </c>
      <c r="DD249" s="40">
        <v>2</v>
      </c>
      <c r="DI249" s="40" t="s">
        <v>0</v>
      </c>
    </row>
    <row r="250" spans="1:113" s="40" customFormat="1" ht="15.75" thickBot="1" x14ac:dyDescent="0.3">
      <c r="A250" s="40">
        <v>34708</v>
      </c>
      <c r="B250" s="40" t="s">
        <v>437</v>
      </c>
      <c r="C250" s="53" t="s">
        <v>15</v>
      </c>
      <c r="D250" s="40">
        <v>60</v>
      </c>
      <c r="E250" s="40">
        <v>0</v>
      </c>
      <c r="F250" s="40">
        <v>60</v>
      </c>
      <c r="G250" s="40">
        <v>3</v>
      </c>
      <c r="H250" s="40">
        <v>0</v>
      </c>
      <c r="I250" s="40">
        <v>15</v>
      </c>
      <c r="J250" s="54" t="s">
        <v>632</v>
      </c>
      <c r="K250" s="54" t="s">
        <v>633</v>
      </c>
      <c r="L250" s="56">
        <v>46010.438078703701</v>
      </c>
      <c r="M250" s="40">
        <v>0</v>
      </c>
      <c r="N250" s="40">
        <v>0</v>
      </c>
      <c r="O250" s="40">
        <v>0</v>
      </c>
      <c r="S250" s="40" t="b">
        <v>0</v>
      </c>
      <c r="T250" s="40">
        <v>9.9999997764825821E-3</v>
      </c>
      <c r="U250" s="52">
        <v>8.5</v>
      </c>
      <c r="V250" s="40">
        <v>9.9999997764825821E-3</v>
      </c>
      <c r="W250" s="40">
        <v>0</v>
      </c>
      <c r="X250" s="40">
        <v>1000</v>
      </c>
      <c r="Z250" s="40">
        <v>10</v>
      </c>
      <c r="AB250" s="52">
        <v>30</v>
      </c>
      <c r="AD250" s="40">
        <v>10</v>
      </c>
      <c r="AF250" s="40">
        <v>2000</v>
      </c>
      <c r="AG250" s="40">
        <v>2</v>
      </c>
      <c r="AH250" s="40">
        <v>8.7899999618530273</v>
      </c>
      <c r="AI250" s="40">
        <v>931</v>
      </c>
      <c r="AJ250" s="40">
        <v>0</v>
      </c>
      <c r="AK250" s="40">
        <v>185</v>
      </c>
      <c r="AM250" s="40" t="s">
        <v>2</v>
      </c>
      <c r="AO250" s="40">
        <v>30</v>
      </c>
      <c r="AW250" s="40" t="b">
        <v>0</v>
      </c>
      <c r="BC250" s="40">
        <v>0</v>
      </c>
      <c r="BD250" s="40">
        <v>0</v>
      </c>
      <c r="BE250" s="244">
        <v>0</v>
      </c>
      <c r="BF250" s="40" t="s">
        <v>670</v>
      </c>
      <c r="BG250" s="40" t="s">
        <v>668</v>
      </c>
      <c r="BH250" s="40" t="s">
        <v>668</v>
      </c>
      <c r="BI250" s="40">
        <v>0</v>
      </c>
      <c r="BJ250" s="40">
        <v>0</v>
      </c>
      <c r="BM250" s="33" t="s">
        <v>1</v>
      </c>
      <c r="BN250" s="58">
        <v>60</v>
      </c>
      <c r="BO250" s="58">
        <v>8.5</v>
      </c>
      <c r="BP250" s="58">
        <v>300</v>
      </c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60"/>
      <c r="CF250" s="44" t="s">
        <v>12</v>
      </c>
      <c r="CR250" s="40">
        <v>0</v>
      </c>
      <c r="CS250" s="67">
        <v>0</v>
      </c>
      <c r="CT250" s="67">
        <v>0</v>
      </c>
      <c r="CU250" s="40">
        <v>1</v>
      </c>
      <c r="CV250" s="67">
        <v>0</v>
      </c>
      <c r="CW250" s="67">
        <v>0</v>
      </c>
      <c r="CX250" s="67">
        <v>0</v>
      </c>
      <c r="CY250" s="67">
        <v>0</v>
      </c>
      <c r="CZ250" s="67">
        <v>0</v>
      </c>
      <c r="DA250" s="67">
        <v>0</v>
      </c>
      <c r="DB250" s="67">
        <v>0</v>
      </c>
      <c r="DD250" s="40">
        <v>2</v>
      </c>
      <c r="DI250" s="40" t="s">
        <v>0</v>
      </c>
    </row>
    <row r="251" spans="1:113" s="40" customFormat="1" ht="15.75" thickBot="1" x14ac:dyDescent="0.3">
      <c r="A251" s="40">
        <v>34709</v>
      </c>
      <c r="B251" s="40" t="s">
        <v>437</v>
      </c>
      <c r="C251" s="53" t="s">
        <v>15</v>
      </c>
      <c r="D251" s="40">
        <v>60</v>
      </c>
      <c r="E251" s="40">
        <v>0</v>
      </c>
      <c r="F251" s="40">
        <v>60</v>
      </c>
      <c r="G251" s="40">
        <v>4</v>
      </c>
      <c r="H251" s="40">
        <v>0</v>
      </c>
      <c r="I251" s="40">
        <v>12</v>
      </c>
      <c r="J251" s="54" t="s">
        <v>634</v>
      </c>
      <c r="K251" s="54" t="s">
        <v>635</v>
      </c>
      <c r="L251" s="56">
        <v>46010.438206018516</v>
      </c>
      <c r="M251" s="40">
        <v>0</v>
      </c>
      <c r="N251" s="40">
        <v>0</v>
      </c>
      <c r="O251" s="40">
        <v>0</v>
      </c>
      <c r="S251" s="40" t="b">
        <v>0</v>
      </c>
      <c r="T251" s="40">
        <v>9.9999997764825821E-3</v>
      </c>
      <c r="U251" s="52">
        <v>8.5</v>
      </c>
      <c r="V251" s="40">
        <v>9.9999997764825821E-3</v>
      </c>
      <c r="W251" s="40">
        <v>0</v>
      </c>
      <c r="X251" s="40">
        <v>1000</v>
      </c>
      <c r="Z251" s="40">
        <v>10</v>
      </c>
      <c r="AB251" s="52">
        <v>25</v>
      </c>
      <c r="AD251" s="40">
        <v>10</v>
      </c>
      <c r="AF251" s="40">
        <v>2000</v>
      </c>
      <c r="AG251" s="40">
        <v>2</v>
      </c>
      <c r="AH251" s="40">
        <v>9.0799999237060547</v>
      </c>
      <c r="AI251" s="40">
        <v>881</v>
      </c>
      <c r="AJ251" s="40">
        <v>0</v>
      </c>
      <c r="AK251" s="40">
        <v>132</v>
      </c>
      <c r="AM251" s="40" t="s">
        <v>2</v>
      </c>
      <c r="AO251" s="40">
        <v>24</v>
      </c>
      <c r="AW251" s="40" t="b">
        <v>0</v>
      </c>
      <c r="BC251" s="40">
        <v>0</v>
      </c>
      <c r="BD251" s="40">
        <v>0</v>
      </c>
      <c r="BE251" s="244">
        <v>0</v>
      </c>
      <c r="BF251" s="40" t="s">
        <v>670</v>
      </c>
      <c r="BG251" s="40" t="s">
        <v>668</v>
      </c>
      <c r="BH251" s="40" t="s">
        <v>668</v>
      </c>
      <c r="BI251" s="40">
        <v>0</v>
      </c>
      <c r="BJ251" s="40">
        <v>0</v>
      </c>
      <c r="BM251" s="33" t="s">
        <v>1</v>
      </c>
      <c r="BN251" s="58">
        <v>60</v>
      </c>
      <c r="BO251" s="58">
        <v>8.5</v>
      </c>
      <c r="BP251" s="58">
        <v>300</v>
      </c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60"/>
      <c r="CF251" s="44" t="s">
        <v>12</v>
      </c>
      <c r="CR251" s="40">
        <v>0</v>
      </c>
      <c r="CS251" s="67">
        <v>0</v>
      </c>
      <c r="CT251" s="67">
        <v>0</v>
      </c>
      <c r="CU251" s="40">
        <v>1</v>
      </c>
      <c r="CV251" s="67">
        <v>0</v>
      </c>
      <c r="CW251" s="67">
        <v>0</v>
      </c>
      <c r="CX251" s="67">
        <v>0</v>
      </c>
      <c r="CY251" s="67">
        <v>0</v>
      </c>
      <c r="CZ251" s="67">
        <v>0</v>
      </c>
      <c r="DA251" s="67">
        <v>0</v>
      </c>
      <c r="DB251" s="67">
        <v>0</v>
      </c>
      <c r="DD251" s="40">
        <v>2</v>
      </c>
      <c r="DI251" s="40" t="s">
        <v>0</v>
      </c>
    </row>
    <row r="252" spans="1:113" s="40" customFormat="1" ht="15.75" thickBot="1" x14ac:dyDescent="0.3">
      <c r="A252" s="40">
        <v>34710</v>
      </c>
      <c r="B252" s="40" t="s">
        <v>437</v>
      </c>
      <c r="C252" s="53" t="s">
        <v>15</v>
      </c>
      <c r="D252" s="40">
        <v>60</v>
      </c>
      <c r="E252" s="40">
        <v>0</v>
      </c>
      <c r="F252" s="40">
        <v>60</v>
      </c>
      <c r="G252" s="40">
        <v>5</v>
      </c>
      <c r="H252" s="40">
        <v>0</v>
      </c>
      <c r="I252" s="40">
        <v>25</v>
      </c>
      <c r="J252" s="54" t="s">
        <v>636</v>
      </c>
      <c r="K252" s="54" t="s">
        <v>637</v>
      </c>
      <c r="L252" s="56">
        <v>46010.439432870371</v>
      </c>
      <c r="M252" s="40">
        <v>0</v>
      </c>
      <c r="N252" s="40">
        <v>0</v>
      </c>
      <c r="O252" s="40">
        <v>0</v>
      </c>
      <c r="S252" s="40" t="b">
        <v>0</v>
      </c>
      <c r="T252" s="40">
        <v>9.9999997764825821E-3</v>
      </c>
      <c r="U252" s="52">
        <v>6</v>
      </c>
      <c r="V252" s="40">
        <v>9.9999997764825821E-3</v>
      </c>
      <c r="W252" s="40">
        <v>0</v>
      </c>
      <c r="X252" s="40">
        <v>1000</v>
      </c>
      <c r="Z252" s="40">
        <v>10</v>
      </c>
      <c r="AB252" s="52">
        <v>50</v>
      </c>
      <c r="AD252" s="40">
        <v>10</v>
      </c>
      <c r="AF252" s="40">
        <v>2000</v>
      </c>
      <c r="AG252" s="40">
        <v>2</v>
      </c>
      <c r="AH252" s="40">
        <v>6.1700000762939453</v>
      </c>
      <c r="AI252" s="40">
        <v>864</v>
      </c>
      <c r="AJ252" s="40">
        <v>0</v>
      </c>
      <c r="AK252" s="40">
        <v>229</v>
      </c>
      <c r="AM252" s="40" t="s">
        <v>2</v>
      </c>
      <c r="AO252" s="40">
        <v>50</v>
      </c>
      <c r="AW252" s="40" t="b">
        <v>0</v>
      </c>
      <c r="BC252" s="40">
        <v>0</v>
      </c>
      <c r="BD252" s="40">
        <v>0</v>
      </c>
      <c r="BE252" s="244">
        <v>0</v>
      </c>
      <c r="BF252" s="40" t="s">
        <v>668</v>
      </c>
      <c r="BG252" s="40">
        <v>1</v>
      </c>
      <c r="BH252" s="40" t="s">
        <v>669</v>
      </c>
      <c r="BI252" s="40">
        <v>0</v>
      </c>
      <c r="BJ252" s="40">
        <v>0</v>
      </c>
      <c r="BM252" s="33" t="s">
        <v>1</v>
      </c>
      <c r="BN252" s="58">
        <v>60</v>
      </c>
      <c r="BO252" s="58">
        <v>6</v>
      </c>
      <c r="BP252" s="58">
        <v>250</v>
      </c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60"/>
      <c r="CF252" s="44" t="s">
        <v>12</v>
      </c>
      <c r="CR252" s="40">
        <v>0</v>
      </c>
      <c r="CS252" s="67">
        <v>0</v>
      </c>
      <c r="CT252" s="67">
        <v>0</v>
      </c>
      <c r="CU252" s="40">
        <v>1</v>
      </c>
      <c r="CV252" s="67">
        <v>0</v>
      </c>
      <c r="CW252" s="67">
        <v>0</v>
      </c>
      <c r="CX252" s="67">
        <v>0</v>
      </c>
      <c r="CY252" s="67">
        <v>0</v>
      </c>
      <c r="CZ252" s="67">
        <v>0</v>
      </c>
      <c r="DA252" s="67">
        <v>0</v>
      </c>
      <c r="DB252" s="67">
        <v>0</v>
      </c>
      <c r="DD252" s="40">
        <v>2</v>
      </c>
      <c r="DI252" s="40" t="s">
        <v>0</v>
      </c>
    </row>
    <row r="253" spans="1:113" s="40" customFormat="1" ht="15.75" thickBot="1" x14ac:dyDescent="0.3">
      <c r="A253" s="40">
        <v>34711</v>
      </c>
      <c r="B253" s="40" t="s">
        <v>437</v>
      </c>
      <c r="C253" s="53" t="s">
        <v>15</v>
      </c>
      <c r="D253" s="40">
        <v>60</v>
      </c>
      <c r="E253" s="40">
        <v>0</v>
      </c>
      <c r="F253" s="40">
        <v>60</v>
      </c>
      <c r="G253" s="40">
        <v>6</v>
      </c>
      <c r="H253" s="40">
        <v>0</v>
      </c>
      <c r="I253" s="40">
        <v>25</v>
      </c>
      <c r="J253" s="54" t="s">
        <v>638</v>
      </c>
      <c r="K253" s="54" t="s">
        <v>639</v>
      </c>
      <c r="L253" s="56">
        <v>46010.43954861111</v>
      </c>
      <c r="M253" s="40">
        <v>0</v>
      </c>
      <c r="N253" s="40">
        <v>0</v>
      </c>
      <c r="O253" s="40">
        <v>0</v>
      </c>
      <c r="S253" s="40" t="b">
        <v>0</v>
      </c>
      <c r="T253" s="40">
        <v>9.9999997764825821E-3</v>
      </c>
      <c r="U253" s="52">
        <v>5.8000001907348633</v>
      </c>
      <c r="V253" s="40">
        <v>9.9999997764825821E-3</v>
      </c>
      <c r="W253" s="40">
        <v>0</v>
      </c>
      <c r="X253" s="40">
        <v>1000</v>
      </c>
      <c r="Z253" s="40">
        <v>10</v>
      </c>
      <c r="AB253" s="52">
        <v>50</v>
      </c>
      <c r="AD253" s="40">
        <v>10</v>
      </c>
      <c r="AF253" s="40">
        <v>2000</v>
      </c>
      <c r="AG253" s="40">
        <v>2</v>
      </c>
      <c r="AH253" s="40">
        <v>5.940000057220459</v>
      </c>
      <c r="AI253" s="40">
        <v>813</v>
      </c>
      <c r="AJ253" s="40">
        <v>0</v>
      </c>
      <c r="AK253" s="40">
        <v>208</v>
      </c>
      <c r="AM253" s="40" t="s">
        <v>2</v>
      </c>
      <c r="AO253" s="40">
        <v>50</v>
      </c>
      <c r="AW253" s="40" t="b">
        <v>0</v>
      </c>
      <c r="BC253" s="40">
        <v>0</v>
      </c>
      <c r="BD253" s="40">
        <v>0</v>
      </c>
      <c r="BE253" s="244">
        <v>0</v>
      </c>
      <c r="BF253" s="40" t="s">
        <v>668</v>
      </c>
      <c r="BG253" s="40">
        <v>1</v>
      </c>
      <c r="BH253" s="40" t="s">
        <v>669</v>
      </c>
      <c r="BI253" s="40">
        <v>0</v>
      </c>
      <c r="BJ253" s="40">
        <v>0</v>
      </c>
      <c r="BM253" s="33" t="s">
        <v>1</v>
      </c>
      <c r="BN253" s="58">
        <v>60</v>
      </c>
      <c r="BO253" s="58">
        <v>5.8000001907348633</v>
      </c>
      <c r="BP253" s="58">
        <v>250</v>
      </c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60"/>
      <c r="CF253" s="44" t="s">
        <v>12</v>
      </c>
      <c r="CR253" s="40">
        <v>0</v>
      </c>
      <c r="CS253" s="67">
        <v>0</v>
      </c>
      <c r="CT253" s="67">
        <v>0</v>
      </c>
      <c r="CU253" s="40">
        <v>1</v>
      </c>
      <c r="CV253" s="67">
        <v>0</v>
      </c>
      <c r="CW253" s="67">
        <v>0</v>
      </c>
      <c r="CX253" s="67">
        <v>0</v>
      </c>
      <c r="CY253" s="67">
        <v>0</v>
      </c>
      <c r="CZ253" s="67">
        <v>0</v>
      </c>
      <c r="DA253" s="67">
        <v>0</v>
      </c>
      <c r="DB253" s="67">
        <v>0</v>
      </c>
      <c r="DD253" s="40">
        <v>2</v>
      </c>
      <c r="DI253" s="40" t="s">
        <v>0</v>
      </c>
    </row>
    <row r="254" spans="1:113" s="40" customFormat="1" ht="15.75" thickBot="1" x14ac:dyDescent="0.3">
      <c r="A254" s="40">
        <v>34712</v>
      </c>
      <c r="B254" s="40" t="s">
        <v>437</v>
      </c>
      <c r="C254" s="53" t="s">
        <v>15</v>
      </c>
      <c r="D254" s="40">
        <v>60</v>
      </c>
      <c r="E254" s="40">
        <v>0</v>
      </c>
      <c r="F254" s="40">
        <v>60</v>
      </c>
      <c r="G254" s="40">
        <v>7</v>
      </c>
      <c r="H254" s="40">
        <v>0</v>
      </c>
      <c r="I254" s="40">
        <v>20</v>
      </c>
      <c r="J254" s="54" t="s">
        <v>640</v>
      </c>
      <c r="K254" s="54" t="s">
        <v>641</v>
      </c>
      <c r="L254" s="56">
        <v>46010.439699074072</v>
      </c>
      <c r="M254" s="40">
        <v>0</v>
      </c>
      <c r="N254" s="40">
        <v>0</v>
      </c>
      <c r="O254" s="40">
        <v>0</v>
      </c>
      <c r="S254" s="40" t="b">
        <v>0</v>
      </c>
      <c r="T254" s="40">
        <v>9.9999997764825821E-3</v>
      </c>
      <c r="U254" s="52">
        <v>6.5</v>
      </c>
      <c r="V254" s="40">
        <v>9.9999997764825821E-3</v>
      </c>
      <c r="W254" s="40">
        <v>0</v>
      </c>
      <c r="X254" s="40">
        <v>1000</v>
      </c>
      <c r="Z254" s="40">
        <v>10</v>
      </c>
      <c r="AB254" s="52">
        <v>40</v>
      </c>
      <c r="AD254" s="40">
        <v>10</v>
      </c>
      <c r="AF254" s="40">
        <v>2000</v>
      </c>
      <c r="AG254" s="40">
        <v>2</v>
      </c>
      <c r="AH254" s="40">
        <v>6.7100000381469727</v>
      </c>
      <c r="AI254" s="40">
        <v>855</v>
      </c>
      <c r="AJ254" s="40">
        <v>0</v>
      </c>
      <c r="AK254" s="40">
        <v>190</v>
      </c>
      <c r="AM254" s="40" t="s">
        <v>2</v>
      </c>
      <c r="AO254" s="40">
        <v>40</v>
      </c>
      <c r="AW254" s="40" t="b">
        <v>0</v>
      </c>
      <c r="BC254" s="40">
        <v>0</v>
      </c>
      <c r="BD254" s="40">
        <v>0</v>
      </c>
      <c r="BE254" s="244">
        <v>0</v>
      </c>
      <c r="BF254" s="40" t="s">
        <v>668</v>
      </c>
      <c r="BG254" s="40">
        <v>1</v>
      </c>
      <c r="BH254" s="40" t="s">
        <v>669</v>
      </c>
      <c r="BI254" s="40">
        <v>0</v>
      </c>
      <c r="BJ254" s="40">
        <v>0</v>
      </c>
      <c r="BM254" s="33" t="s">
        <v>1</v>
      </c>
      <c r="BN254" s="58">
        <v>60</v>
      </c>
      <c r="BO254" s="58">
        <v>6.5</v>
      </c>
      <c r="BP254" s="58">
        <v>250</v>
      </c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60"/>
      <c r="CF254" s="44" t="s">
        <v>12</v>
      </c>
      <c r="CR254" s="40">
        <v>0</v>
      </c>
      <c r="CS254" s="67">
        <v>0</v>
      </c>
      <c r="CT254" s="67">
        <v>0</v>
      </c>
      <c r="CU254" s="40">
        <v>1</v>
      </c>
      <c r="CV254" s="67">
        <v>0</v>
      </c>
      <c r="CW254" s="67">
        <v>0</v>
      </c>
      <c r="CX254" s="67">
        <v>0</v>
      </c>
      <c r="CY254" s="67">
        <v>0</v>
      </c>
      <c r="CZ254" s="67">
        <v>0</v>
      </c>
      <c r="DA254" s="67">
        <v>0</v>
      </c>
      <c r="DB254" s="67">
        <v>0</v>
      </c>
      <c r="DD254" s="40">
        <v>2</v>
      </c>
      <c r="DI254" s="40" t="s">
        <v>0</v>
      </c>
    </row>
    <row r="255" spans="1:113" s="40" customFormat="1" ht="15.75" thickBot="1" x14ac:dyDescent="0.3">
      <c r="A255" s="40">
        <v>34713</v>
      </c>
      <c r="B255" s="40" t="s">
        <v>437</v>
      </c>
      <c r="C255" s="53" t="s">
        <v>15</v>
      </c>
      <c r="D255" s="40">
        <v>60</v>
      </c>
      <c r="E255" s="40">
        <v>0</v>
      </c>
      <c r="F255" s="40">
        <v>60</v>
      </c>
      <c r="G255" s="40">
        <v>8</v>
      </c>
      <c r="H255" s="40">
        <v>0</v>
      </c>
      <c r="I255" s="40">
        <v>17</v>
      </c>
      <c r="J255" s="54" t="s">
        <v>660</v>
      </c>
      <c r="K255" s="54" t="s">
        <v>661</v>
      </c>
      <c r="L255" s="56">
        <v>46010.439791666664</v>
      </c>
      <c r="M255" s="40">
        <v>0</v>
      </c>
      <c r="N255" s="40">
        <v>0</v>
      </c>
      <c r="O255" s="40">
        <v>0</v>
      </c>
      <c r="S255" s="40" t="b">
        <v>0</v>
      </c>
      <c r="T255" s="40">
        <v>9.9999997764825821E-3</v>
      </c>
      <c r="U255" s="52">
        <v>6.5</v>
      </c>
      <c r="V255" s="40">
        <v>9.9999997764825821E-3</v>
      </c>
      <c r="W255" s="40">
        <v>0</v>
      </c>
      <c r="X255" s="40">
        <v>1000</v>
      </c>
      <c r="Z255" s="40">
        <v>10</v>
      </c>
      <c r="AB255" s="52">
        <v>35</v>
      </c>
      <c r="AD255" s="40">
        <v>10</v>
      </c>
      <c r="AF255" s="40">
        <v>2000</v>
      </c>
      <c r="AG255" s="40">
        <v>2</v>
      </c>
      <c r="AH255" s="40">
        <v>6.7600002288818359</v>
      </c>
      <c r="AI255" s="40">
        <v>838</v>
      </c>
      <c r="AJ255" s="40">
        <v>0</v>
      </c>
      <c r="AK255" s="40">
        <v>158</v>
      </c>
      <c r="AM255" s="40" t="s">
        <v>2</v>
      </c>
      <c r="AO255" s="40">
        <v>34</v>
      </c>
      <c r="AW255" s="40" t="b">
        <v>0</v>
      </c>
      <c r="BC255" s="40">
        <v>0</v>
      </c>
      <c r="BD255" s="40">
        <v>0</v>
      </c>
      <c r="BE255" s="244">
        <v>0</v>
      </c>
      <c r="BF255" s="40" t="s">
        <v>668</v>
      </c>
      <c r="BG255" s="40">
        <v>1</v>
      </c>
      <c r="BH255" s="40" t="s">
        <v>669</v>
      </c>
      <c r="BI255" s="40">
        <v>0</v>
      </c>
      <c r="BJ255" s="40">
        <v>0</v>
      </c>
      <c r="BM255" s="33" t="s">
        <v>1</v>
      </c>
      <c r="BN255" s="58">
        <v>60</v>
      </c>
      <c r="BO255" s="58">
        <v>6.5</v>
      </c>
      <c r="BP255" s="58">
        <v>250</v>
      </c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60"/>
      <c r="CF255" s="44" t="s">
        <v>12</v>
      </c>
      <c r="CR255" s="40">
        <v>0</v>
      </c>
      <c r="CS255" s="67">
        <v>0</v>
      </c>
      <c r="CT255" s="67">
        <v>0</v>
      </c>
      <c r="CU255" s="40">
        <v>1</v>
      </c>
      <c r="CV255" s="67">
        <v>0</v>
      </c>
      <c r="CW255" s="67">
        <v>0</v>
      </c>
      <c r="CX255" s="67">
        <v>0</v>
      </c>
      <c r="CY255" s="67">
        <v>0</v>
      </c>
      <c r="CZ255" s="67">
        <v>0</v>
      </c>
      <c r="DA255" s="67">
        <v>0</v>
      </c>
      <c r="DB255" s="67">
        <v>0</v>
      </c>
      <c r="DD255" s="40">
        <v>2</v>
      </c>
      <c r="DI255" s="40" t="s">
        <v>0</v>
      </c>
    </row>
    <row r="256" spans="1:113" s="40" customFormat="1" ht="15.75" thickBot="1" x14ac:dyDescent="0.3">
      <c r="A256" s="40">
        <v>34714</v>
      </c>
      <c r="B256" s="40" t="s">
        <v>437</v>
      </c>
      <c r="C256" s="53" t="s">
        <v>15</v>
      </c>
      <c r="D256" s="40">
        <v>60</v>
      </c>
      <c r="E256" s="40">
        <v>0</v>
      </c>
      <c r="F256" s="40">
        <v>60</v>
      </c>
      <c r="G256" s="40">
        <v>9</v>
      </c>
      <c r="H256" s="40">
        <v>0</v>
      </c>
      <c r="I256" s="40">
        <v>25</v>
      </c>
      <c r="J256" s="54" t="s">
        <v>662</v>
      </c>
      <c r="K256" s="54" t="s">
        <v>663</v>
      </c>
      <c r="L256" s="56">
        <v>46010.440844907411</v>
      </c>
      <c r="M256" s="40">
        <v>0</v>
      </c>
      <c r="N256" s="40">
        <v>0</v>
      </c>
      <c r="O256" s="40">
        <v>0</v>
      </c>
      <c r="S256" s="40" t="b">
        <v>0</v>
      </c>
      <c r="T256" s="40">
        <v>9.9999997764825821E-3</v>
      </c>
      <c r="U256" s="52">
        <v>3.5</v>
      </c>
      <c r="V256" s="40">
        <v>9.9999997764825821E-3</v>
      </c>
      <c r="W256" s="40">
        <v>0</v>
      </c>
      <c r="X256" s="40">
        <v>1000</v>
      </c>
      <c r="Z256" s="40">
        <v>10</v>
      </c>
      <c r="AB256" s="52">
        <v>50</v>
      </c>
      <c r="AD256" s="40">
        <v>10</v>
      </c>
      <c r="AF256" s="40">
        <v>2000</v>
      </c>
      <c r="AG256" s="40">
        <v>2</v>
      </c>
      <c r="AH256" s="40">
        <v>3.630000114440918</v>
      </c>
      <c r="AI256" s="40">
        <v>635</v>
      </c>
      <c r="AJ256" s="40">
        <v>0</v>
      </c>
      <c r="AK256" s="40">
        <v>97</v>
      </c>
      <c r="AM256" s="40" t="s">
        <v>2</v>
      </c>
      <c r="AO256" s="40">
        <v>50</v>
      </c>
      <c r="AW256" s="40" t="b">
        <v>0</v>
      </c>
      <c r="BC256" s="40">
        <v>0</v>
      </c>
      <c r="BD256" s="40">
        <v>0</v>
      </c>
      <c r="BE256" s="244">
        <v>0</v>
      </c>
      <c r="BF256" s="40" t="s">
        <v>669</v>
      </c>
      <c r="BG256" s="40" t="s">
        <v>671</v>
      </c>
      <c r="BH256" s="40" t="s">
        <v>669</v>
      </c>
      <c r="BI256" s="40">
        <v>0</v>
      </c>
      <c r="BJ256" s="40">
        <v>0</v>
      </c>
      <c r="BM256" s="33" t="s">
        <v>1</v>
      </c>
      <c r="BN256" s="58">
        <v>60</v>
      </c>
      <c r="BO256" s="58">
        <v>3.5</v>
      </c>
      <c r="BP256" s="58">
        <v>250</v>
      </c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60"/>
      <c r="CF256" s="44" t="s">
        <v>16</v>
      </c>
      <c r="CR256" s="40">
        <v>0</v>
      </c>
      <c r="CS256" s="67">
        <v>0</v>
      </c>
      <c r="CT256" s="67">
        <v>0</v>
      </c>
      <c r="CU256" s="40">
        <v>0</v>
      </c>
      <c r="CV256" s="67">
        <v>0</v>
      </c>
      <c r="CW256" s="67">
        <v>0</v>
      </c>
      <c r="CX256" s="67">
        <v>0</v>
      </c>
      <c r="CY256" s="67">
        <v>0</v>
      </c>
      <c r="CZ256" s="67">
        <v>0</v>
      </c>
      <c r="DA256" s="67">
        <v>0</v>
      </c>
      <c r="DB256" s="67">
        <v>0</v>
      </c>
      <c r="DD256" s="40">
        <v>0</v>
      </c>
      <c r="DI256" s="40" t="s">
        <v>0</v>
      </c>
    </row>
    <row r="257" spans="1:113" s="40" customFormat="1" ht="15.75" thickBot="1" x14ac:dyDescent="0.3">
      <c r="A257" s="40">
        <v>34720</v>
      </c>
      <c r="B257" s="40" t="s">
        <v>437</v>
      </c>
      <c r="C257" s="53" t="s">
        <v>15</v>
      </c>
      <c r="D257" s="40">
        <v>60</v>
      </c>
      <c r="E257" s="40">
        <v>0</v>
      </c>
      <c r="F257" s="40">
        <v>60</v>
      </c>
      <c r="G257" s="40">
        <v>15</v>
      </c>
      <c r="H257" s="40">
        <v>0</v>
      </c>
      <c r="I257" s="40">
        <v>42</v>
      </c>
      <c r="J257" s="54" t="s">
        <v>642</v>
      </c>
      <c r="K257" s="54" t="s">
        <v>643</v>
      </c>
      <c r="L257" s="56">
        <v>46010.442673611113</v>
      </c>
      <c r="M257" s="40">
        <v>0</v>
      </c>
      <c r="N257" s="40">
        <v>0</v>
      </c>
      <c r="O257" s="40">
        <v>0</v>
      </c>
      <c r="S257" s="40" t="b">
        <v>0</v>
      </c>
      <c r="T257" s="40">
        <v>9.9999997764825821E-3</v>
      </c>
      <c r="U257" s="52">
        <v>7</v>
      </c>
      <c r="V257" s="40">
        <v>9.9999997764825821E-3</v>
      </c>
      <c r="W257" s="40">
        <v>0</v>
      </c>
      <c r="X257" s="40">
        <v>1000</v>
      </c>
      <c r="Z257" s="40">
        <v>10</v>
      </c>
      <c r="AB257" s="52">
        <v>85</v>
      </c>
      <c r="AD257" s="40">
        <v>10</v>
      </c>
      <c r="AF257" s="40">
        <v>2000</v>
      </c>
      <c r="AG257" s="40">
        <v>2</v>
      </c>
      <c r="AH257" s="40">
        <v>7.070000171661377</v>
      </c>
      <c r="AI257" s="40">
        <v>902</v>
      </c>
      <c r="AJ257" s="40">
        <v>0</v>
      </c>
      <c r="AK257" s="40">
        <v>507</v>
      </c>
      <c r="AM257" s="40" t="s">
        <v>2</v>
      </c>
      <c r="AO257" s="40">
        <v>84</v>
      </c>
      <c r="AW257" s="40" t="b">
        <v>0</v>
      </c>
      <c r="BC257" s="40">
        <v>0</v>
      </c>
      <c r="BD257" s="40">
        <v>0</v>
      </c>
      <c r="BE257" s="244">
        <v>0</v>
      </c>
      <c r="BF257" s="40" t="s">
        <v>670</v>
      </c>
      <c r="BG257" s="40" t="s">
        <v>668</v>
      </c>
      <c r="BH257" s="40" t="s">
        <v>668</v>
      </c>
      <c r="BI257" s="40">
        <v>0</v>
      </c>
      <c r="BJ257" s="40">
        <v>0</v>
      </c>
      <c r="BM257" s="33" t="s">
        <v>1</v>
      </c>
      <c r="BN257" s="58">
        <v>60</v>
      </c>
      <c r="BO257" s="58">
        <v>7</v>
      </c>
      <c r="BP257" s="58">
        <v>350</v>
      </c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60"/>
      <c r="CF257" s="44" t="s">
        <v>12</v>
      </c>
      <c r="CR257" s="40">
        <v>0</v>
      </c>
      <c r="CS257" s="67">
        <v>0</v>
      </c>
      <c r="CT257" s="67">
        <v>0</v>
      </c>
      <c r="CU257" s="40">
        <v>1</v>
      </c>
      <c r="CV257" s="67">
        <v>0</v>
      </c>
      <c r="CW257" s="67">
        <v>0</v>
      </c>
      <c r="CX257" s="67">
        <v>0</v>
      </c>
      <c r="CY257" s="67">
        <v>0</v>
      </c>
      <c r="CZ257" s="67">
        <v>0</v>
      </c>
      <c r="DA257" s="67">
        <v>0</v>
      </c>
      <c r="DB257" s="67">
        <v>0</v>
      </c>
      <c r="DD257" s="40">
        <v>2</v>
      </c>
      <c r="DI257" s="40" t="s">
        <v>0</v>
      </c>
    </row>
    <row r="258" spans="1:113" s="40" customFormat="1" ht="15.75" thickBot="1" x14ac:dyDescent="0.3">
      <c r="A258" s="40">
        <v>34721</v>
      </c>
      <c r="B258" s="40" t="s">
        <v>437</v>
      </c>
      <c r="C258" s="53" t="s">
        <v>15</v>
      </c>
      <c r="D258" s="40">
        <v>60</v>
      </c>
      <c r="E258" s="40">
        <v>0</v>
      </c>
      <c r="F258" s="40">
        <v>60</v>
      </c>
      <c r="G258" s="40">
        <v>16</v>
      </c>
      <c r="H258" s="40">
        <v>0</v>
      </c>
      <c r="I258" s="40">
        <v>30</v>
      </c>
      <c r="J258" s="54" t="s">
        <v>644</v>
      </c>
      <c r="K258" s="54" t="s">
        <v>645</v>
      </c>
      <c r="L258" s="56">
        <v>46010.444803240738</v>
      </c>
      <c r="M258" s="40">
        <v>0</v>
      </c>
      <c r="N258" s="40">
        <v>0</v>
      </c>
      <c r="O258" s="40">
        <v>0</v>
      </c>
      <c r="S258" s="40" t="b">
        <v>0</v>
      </c>
      <c r="T258" s="40">
        <v>9.9999997764825821E-3</v>
      </c>
      <c r="U258" s="52">
        <v>8.5</v>
      </c>
      <c r="V258" s="40">
        <v>9.9999997764825821E-3</v>
      </c>
      <c r="W258" s="40">
        <v>0</v>
      </c>
      <c r="X258" s="40">
        <v>1000</v>
      </c>
      <c r="Z258" s="40">
        <v>10</v>
      </c>
      <c r="AB258" s="52">
        <v>60</v>
      </c>
      <c r="AD258" s="40">
        <v>10</v>
      </c>
      <c r="AF258" s="40">
        <v>2000</v>
      </c>
      <c r="AG258" s="40">
        <v>2</v>
      </c>
      <c r="AH258" s="40">
        <v>8.619999885559082</v>
      </c>
      <c r="AI258" s="40">
        <v>974</v>
      </c>
      <c r="AJ258" s="40">
        <v>0</v>
      </c>
      <c r="AK258" s="40">
        <v>451</v>
      </c>
      <c r="AM258" s="40" t="s">
        <v>2</v>
      </c>
      <c r="AO258" s="40">
        <v>60</v>
      </c>
      <c r="AW258" s="40" t="b">
        <v>0</v>
      </c>
      <c r="BC258" s="40">
        <v>0</v>
      </c>
      <c r="BD258" s="40">
        <v>0</v>
      </c>
      <c r="BE258" s="244">
        <v>0</v>
      </c>
      <c r="BF258" s="40" t="s">
        <v>670</v>
      </c>
      <c r="BG258" s="40" t="s">
        <v>668</v>
      </c>
      <c r="BH258" s="40" t="s">
        <v>668</v>
      </c>
      <c r="BI258" s="40">
        <v>0</v>
      </c>
      <c r="BJ258" s="40">
        <v>0</v>
      </c>
      <c r="BM258" s="33" t="s">
        <v>1</v>
      </c>
      <c r="BN258" s="58">
        <v>60</v>
      </c>
      <c r="BO258" s="58">
        <v>8.5</v>
      </c>
      <c r="BP258" s="58">
        <v>350</v>
      </c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60"/>
      <c r="CF258" s="44" t="s">
        <v>12</v>
      </c>
      <c r="CR258" s="40">
        <v>0</v>
      </c>
      <c r="CS258" s="67">
        <v>0</v>
      </c>
      <c r="CT258" s="67">
        <v>0</v>
      </c>
      <c r="CU258" s="40">
        <v>1</v>
      </c>
      <c r="CV258" s="67">
        <v>0</v>
      </c>
      <c r="CW258" s="67">
        <v>0</v>
      </c>
      <c r="CX258" s="67">
        <v>0</v>
      </c>
      <c r="CY258" s="67">
        <v>0</v>
      </c>
      <c r="CZ258" s="67">
        <v>0</v>
      </c>
      <c r="DA258" s="67">
        <v>0</v>
      </c>
      <c r="DB258" s="67">
        <v>0</v>
      </c>
      <c r="DD258" s="40">
        <v>2</v>
      </c>
      <c r="DI258" s="40" t="s">
        <v>0</v>
      </c>
    </row>
    <row r="259" spans="1:113" s="40" customFormat="1" ht="15.75" thickBot="1" x14ac:dyDescent="0.3">
      <c r="A259" s="40">
        <v>34722</v>
      </c>
      <c r="B259" s="40" t="s">
        <v>437</v>
      </c>
      <c r="C259" s="53" t="s">
        <v>15</v>
      </c>
      <c r="D259" s="40">
        <v>60</v>
      </c>
      <c r="E259" s="40">
        <v>0</v>
      </c>
      <c r="F259" s="40">
        <v>60</v>
      </c>
      <c r="G259" s="40">
        <v>17</v>
      </c>
      <c r="H259" s="40">
        <v>0</v>
      </c>
      <c r="I259" s="40">
        <v>25</v>
      </c>
      <c r="J259" s="54" t="s">
        <v>646</v>
      </c>
      <c r="K259" s="54" t="s">
        <v>647</v>
      </c>
      <c r="L259" s="56">
        <v>46010.444930555554</v>
      </c>
      <c r="M259" s="40">
        <v>0</v>
      </c>
      <c r="N259" s="40">
        <v>0</v>
      </c>
      <c r="O259" s="40">
        <v>0</v>
      </c>
      <c r="S259" s="40" t="b">
        <v>0</v>
      </c>
      <c r="T259" s="40">
        <v>9.9999997764825821E-3</v>
      </c>
      <c r="U259" s="52">
        <v>8.5</v>
      </c>
      <c r="V259" s="40">
        <v>9.9999997764825821E-3</v>
      </c>
      <c r="W259" s="40">
        <v>0</v>
      </c>
      <c r="X259" s="40">
        <v>1000</v>
      </c>
      <c r="Z259" s="40">
        <v>10</v>
      </c>
      <c r="AB259" s="52">
        <v>50</v>
      </c>
      <c r="AD259" s="40">
        <v>10</v>
      </c>
      <c r="AF259" s="40">
        <v>2000</v>
      </c>
      <c r="AG259" s="40">
        <v>2</v>
      </c>
      <c r="AH259" s="40">
        <v>8.6800003051757813</v>
      </c>
      <c r="AI259" s="40">
        <v>978</v>
      </c>
      <c r="AJ259" s="40">
        <v>0</v>
      </c>
      <c r="AK259" s="40">
        <v>371</v>
      </c>
      <c r="AM259" s="40" t="s">
        <v>2</v>
      </c>
      <c r="AO259" s="40">
        <v>50</v>
      </c>
      <c r="AW259" s="40" t="b">
        <v>0</v>
      </c>
      <c r="BC259" s="40">
        <v>0</v>
      </c>
      <c r="BD259" s="40">
        <v>0</v>
      </c>
      <c r="BE259" s="244">
        <v>0</v>
      </c>
      <c r="BF259" s="40" t="s">
        <v>670</v>
      </c>
      <c r="BG259" s="40" t="s">
        <v>668</v>
      </c>
      <c r="BH259" s="40" t="s">
        <v>668</v>
      </c>
      <c r="BI259" s="40">
        <v>0</v>
      </c>
      <c r="BJ259" s="40">
        <v>0</v>
      </c>
      <c r="BM259" s="33" t="s">
        <v>1</v>
      </c>
      <c r="BN259" s="58">
        <v>60</v>
      </c>
      <c r="BO259" s="58">
        <v>8.5</v>
      </c>
      <c r="BP259" s="58">
        <v>350</v>
      </c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60"/>
      <c r="CF259" s="44" t="s">
        <v>12</v>
      </c>
      <c r="CR259" s="40">
        <v>0</v>
      </c>
      <c r="CS259" s="67">
        <v>0</v>
      </c>
      <c r="CT259" s="67">
        <v>0</v>
      </c>
      <c r="CU259" s="40">
        <v>1</v>
      </c>
      <c r="CV259" s="67">
        <v>0</v>
      </c>
      <c r="CW259" s="67">
        <v>0</v>
      </c>
      <c r="CX259" s="67">
        <v>0</v>
      </c>
      <c r="CY259" s="67">
        <v>0</v>
      </c>
      <c r="CZ259" s="67">
        <v>0</v>
      </c>
      <c r="DA259" s="67">
        <v>0</v>
      </c>
      <c r="DB259" s="67">
        <v>0</v>
      </c>
      <c r="DD259" s="40">
        <v>2</v>
      </c>
      <c r="DI259" s="40" t="s">
        <v>0</v>
      </c>
    </row>
    <row r="260" spans="1:113" s="40" customFormat="1" ht="15.75" thickBot="1" x14ac:dyDescent="0.3">
      <c r="A260" s="40">
        <v>34723</v>
      </c>
      <c r="B260" s="40" t="s">
        <v>437</v>
      </c>
      <c r="C260" s="53" t="s">
        <v>15</v>
      </c>
      <c r="D260" s="40">
        <v>60</v>
      </c>
      <c r="E260" s="40">
        <v>0</v>
      </c>
      <c r="F260" s="40">
        <v>60</v>
      </c>
      <c r="G260" s="40">
        <v>18</v>
      </c>
      <c r="H260" s="40">
        <v>0</v>
      </c>
      <c r="I260" s="40">
        <v>25</v>
      </c>
      <c r="J260" s="54" t="s">
        <v>648</v>
      </c>
      <c r="K260" s="54" t="s">
        <v>649</v>
      </c>
      <c r="L260" s="56">
        <v>46010.446122685185</v>
      </c>
      <c r="M260" s="40">
        <v>0</v>
      </c>
      <c r="N260" s="40">
        <v>0</v>
      </c>
      <c r="O260" s="40">
        <v>0</v>
      </c>
      <c r="S260" s="40" t="b">
        <v>0</v>
      </c>
      <c r="T260" s="40">
        <v>9.9999997764825821E-3</v>
      </c>
      <c r="U260" s="52">
        <v>6</v>
      </c>
      <c r="V260" s="40">
        <v>9.9999997764825821E-3</v>
      </c>
      <c r="W260" s="40">
        <v>0</v>
      </c>
      <c r="X260" s="40">
        <v>1000</v>
      </c>
      <c r="Z260" s="40">
        <v>10</v>
      </c>
      <c r="AB260" s="52">
        <v>50</v>
      </c>
      <c r="AD260" s="40">
        <v>10</v>
      </c>
      <c r="AF260" s="40">
        <v>2000</v>
      </c>
      <c r="AG260" s="40">
        <v>2</v>
      </c>
      <c r="AH260" s="40">
        <v>6.1399998664855957</v>
      </c>
      <c r="AI260" s="40">
        <v>817</v>
      </c>
      <c r="AJ260" s="40">
        <v>0</v>
      </c>
      <c r="AK260" s="40">
        <v>217</v>
      </c>
      <c r="AM260" s="40" t="s">
        <v>2</v>
      </c>
      <c r="AO260" s="40">
        <v>50</v>
      </c>
      <c r="AW260" s="40" t="b">
        <v>0</v>
      </c>
      <c r="BC260" s="40">
        <v>0</v>
      </c>
      <c r="BD260" s="40">
        <v>0</v>
      </c>
      <c r="BE260" s="244">
        <v>0</v>
      </c>
      <c r="BF260" s="40" t="s">
        <v>668</v>
      </c>
      <c r="BG260" s="40">
        <v>1</v>
      </c>
      <c r="BH260" s="40" t="s">
        <v>669</v>
      </c>
      <c r="BI260" s="40">
        <v>0</v>
      </c>
      <c r="BJ260" s="40">
        <v>0</v>
      </c>
      <c r="BM260" s="33" t="s">
        <v>1</v>
      </c>
      <c r="BN260" s="58">
        <v>60</v>
      </c>
      <c r="BO260" s="58">
        <v>6</v>
      </c>
      <c r="BP260" s="58">
        <v>350</v>
      </c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60"/>
      <c r="CF260" s="44" t="s">
        <v>12</v>
      </c>
      <c r="CR260" s="40">
        <v>0</v>
      </c>
      <c r="CS260" s="67">
        <v>0</v>
      </c>
      <c r="CT260" s="67">
        <v>0</v>
      </c>
      <c r="CU260" s="40">
        <v>1</v>
      </c>
      <c r="CV260" s="67">
        <v>0</v>
      </c>
      <c r="CW260" s="67">
        <v>0</v>
      </c>
      <c r="CX260" s="67">
        <v>0</v>
      </c>
      <c r="CY260" s="67">
        <v>0</v>
      </c>
      <c r="CZ260" s="67">
        <v>0</v>
      </c>
      <c r="DA260" s="67">
        <v>0</v>
      </c>
      <c r="DB260" s="67">
        <v>0</v>
      </c>
      <c r="DD260" s="40">
        <v>2</v>
      </c>
      <c r="DI260" s="40" t="s">
        <v>0</v>
      </c>
    </row>
    <row r="261" spans="1:113" s="40" customFormat="1" ht="15.75" thickBot="1" x14ac:dyDescent="0.3">
      <c r="A261" s="40">
        <v>34724</v>
      </c>
      <c r="B261" s="40" t="s">
        <v>437</v>
      </c>
      <c r="C261" s="53" t="s">
        <v>15</v>
      </c>
      <c r="D261" s="40">
        <v>60</v>
      </c>
      <c r="E261" s="40">
        <v>0</v>
      </c>
      <c r="F261" s="40">
        <v>60</v>
      </c>
      <c r="G261" s="40">
        <v>19</v>
      </c>
      <c r="H261" s="40">
        <v>0</v>
      </c>
      <c r="I261" s="40">
        <v>25</v>
      </c>
      <c r="J261" s="54" t="s">
        <v>650</v>
      </c>
      <c r="K261" s="54" t="s">
        <v>651</v>
      </c>
      <c r="L261" s="56">
        <v>46010.446238425924</v>
      </c>
      <c r="M261" s="40">
        <v>0</v>
      </c>
      <c r="N261" s="40">
        <v>0</v>
      </c>
      <c r="O261" s="40">
        <v>0</v>
      </c>
      <c r="S261" s="40" t="b">
        <v>0</v>
      </c>
      <c r="T261" s="40">
        <v>9.9999997764825821E-3</v>
      </c>
      <c r="U261" s="52">
        <v>6.5</v>
      </c>
      <c r="V261" s="40">
        <v>9.9999997764825821E-3</v>
      </c>
      <c r="W261" s="40">
        <v>0</v>
      </c>
      <c r="X261" s="40">
        <v>1000</v>
      </c>
      <c r="Z261" s="40">
        <v>10</v>
      </c>
      <c r="AB261" s="52">
        <v>50</v>
      </c>
      <c r="AD261" s="40">
        <v>10</v>
      </c>
      <c r="AF261" s="40">
        <v>2000</v>
      </c>
      <c r="AG261" s="40">
        <v>2</v>
      </c>
      <c r="AH261" s="40">
        <v>6.6599998474121094</v>
      </c>
      <c r="AI261" s="40">
        <v>838</v>
      </c>
      <c r="AJ261" s="40">
        <v>0</v>
      </c>
      <c r="AK261" s="40">
        <v>242</v>
      </c>
      <c r="AM261" s="40" t="s">
        <v>2</v>
      </c>
      <c r="AO261" s="40">
        <v>50</v>
      </c>
      <c r="AW261" s="40" t="b">
        <v>0</v>
      </c>
      <c r="BC261" s="40">
        <v>0</v>
      </c>
      <c r="BD261" s="40">
        <v>0</v>
      </c>
      <c r="BE261" s="244">
        <v>0</v>
      </c>
      <c r="BF261" s="40" t="s">
        <v>668</v>
      </c>
      <c r="BG261" s="40">
        <v>1</v>
      </c>
      <c r="BH261" s="40" t="s">
        <v>669</v>
      </c>
      <c r="BI261" s="40">
        <v>0</v>
      </c>
      <c r="BJ261" s="40">
        <v>0</v>
      </c>
      <c r="BM261" s="33" t="s">
        <v>1</v>
      </c>
      <c r="BN261" s="58">
        <v>60</v>
      </c>
      <c r="BO261" s="58">
        <v>6.5</v>
      </c>
      <c r="BP261" s="58">
        <v>350</v>
      </c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60"/>
      <c r="CF261" s="44" t="s">
        <v>16</v>
      </c>
      <c r="CR261" s="40">
        <v>0</v>
      </c>
      <c r="CS261" s="67">
        <v>0</v>
      </c>
      <c r="CT261" s="67">
        <v>0</v>
      </c>
      <c r="CU261" s="40">
        <v>0</v>
      </c>
      <c r="CV261" s="67">
        <v>0</v>
      </c>
      <c r="CW261" s="67">
        <v>0</v>
      </c>
      <c r="CX261" s="67">
        <v>0</v>
      </c>
      <c r="CY261" s="67">
        <v>0</v>
      </c>
      <c r="CZ261" s="67">
        <v>0</v>
      </c>
      <c r="DA261" s="67">
        <v>0</v>
      </c>
      <c r="DB261" s="67">
        <v>0</v>
      </c>
      <c r="DD261" s="40">
        <v>0</v>
      </c>
      <c r="DI261" s="40" t="s">
        <v>0</v>
      </c>
    </row>
    <row r="262" spans="1:113" s="40" customFormat="1" ht="15.75" thickBot="1" x14ac:dyDescent="0.3">
      <c r="A262" s="40">
        <v>34725</v>
      </c>
      <c r="B262" s="40" t="s">
        <v>437</v>
      </c>
      <c r="C262" s="53" t="s">
        <v>15</v>
      </c>
      <c r="D262" s="40">
        <v>60</v>
      </c>
      <c r="E262" s="40">
        <v>0</v>
      </c>
      <c r="F262" s="40">
        <v>60</v>
      </c>
      <c r="G262" s="40">
        <v>20</v>
      </c>
      <c r="H262" s="40">
        <v>0</v>
      </c>
      <c r="I262" s="40">
        <v>15</v>
      </c>
      <c r="J262" s="54" t="s">
        <v>664</v>
      </c>
      <c r="K262" s="54" t="s">
        <v>665</v>
      </c>
      <c r="L262" s="56">
        <v>46010.446331018517</v>
      </c>
      <c r="M262" s="40">
        <v>0</v>
      </c>
      <c r="N262" s="40">
        <v>0</v>
      </c>
      <c r="O262" s="40">
        <v>0</v>
      </c>
      <c r="S262" s="40" t="b">
        <v>0</v>
      </c>
      <c r="T262" s="40">
        <v>9.9999997764825821E-3</v>
      </c>
      <c r="U262" s="52">
        <v>6.5</v>
      </c>
      <c r="V262" s="40">
        <v>9.9999997764825821E-3</v>
      </c>
      <c r="W262" s="40">
        <v>0</v>
      </c>
      <c r="X262" s="40">
        <v>1000</v>
      </c>
      <c r="Z262" s="40">
        <v>10</v>
      </c>
      <c r="AB262" s="52">
        <v>30</v>
      </c>
      <c r="AD262" s="40">
        <v>10</v>
      </c>
      <c r="AF262" s="40">
        <v>2000</v>
      </c>
      <c r="AG262" s="40">
        <v>2</v>
      </c>
      <c r="AH262" s="40">
        <v>6.75</v>
      </c>
      <c r="AI262" s="40">
        <v>792</v>
      </c>
      <c r="AJ262" s="40">
        <v>0</v>
      </c>
      <c r="AK262" s="40">
        <v>122</v>
      </c>
      <c r="AM262" s="40" t="s">
        <v>2</v>
      </c>
      <c r="AO262" s="40">
        <v>30</v>
      </c>
      <c r="AW262" s="40" t="b">
        <v>0</v>
      </c>
      <c r="BC262" s="40">
        <v>0</v>
      </c>
      <c r="BD262" s="40">
        <v>0</v>
      </c>
      <c r="BE262" s="244">
        <v>0</v>
      </c>
      <c r="BF262" s="40" t="s">
        <v>668</v>
      </c>
      <c r="BG262" s="40">
        <v>1</v>
      </c>
      <c r="BH262" s="40" t="s">
        <v>669</v>
      </c>
      <c r="BI262" s="40">
        <v>0</v>
      </c>
      <c r="BJ262" s="40">
        <v>0</v>
      </c>
      <c r="BM262" s="33" t="s">
        <v>1</v>
      </c>
      <c r="BN262" s="58">
        <v>60</v>
      </c>
      <c r="BO262" s="58">
        <v>6.5</v>
      </c>
      <c r="BP262" s="58">
        <v>350</v>
      </c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60"/>
      <c r="CF262" s="44" t="s">
        <v>12</v>
      </c>
      <c r="CR262" s="40">
        <v>0</v>
      </c>
      <c r="CS262" s="67">
        <v>0</v>
      </c>
      <c r="CT262" s="67">
        <v>0</v>
      </c>
      <c r="CU262" s="40">
        <v>1</v>
      </c>
      <c r="CV262" s="67">
        <v>0</v>
      </c>
      <c r="CW262" s="67">
        <v>0</v>
      </c>
      <c r="CX262" s="67">
        <v>0</v>
      </c>
      <c r="CY262" s="67">
        <v>0</v>
      </c>
      <c r="CZ262" s="67">
        <v>0</v>
      </c>
      <c r="DA262" s="67">
        <v>0</v>
      </c>
      <c r="DB262" s="67">
        <v>0</v>
      </c>
      <c r="DD262" s="40">
        <v>2</v>
      </c>
      <c r="DI262" s="40" t="s">
        <v>0</v>
      </c>
    </row>
    <row r="263" spans="1:113" s="40" customFormat="1" ht="15.75" thickBot="1" x14ac:dyDescent="0.3">
      <c r="A263" s="40">
        <v>34726</v>
      </c>
      <c r="B263" s="40" t="s">
        <v>437</v>
      </c>
      <c r="C263" s="53" t="s">
        <v>15</v>
      </c>
      <c r="D263" s="40">
        <v>60</v>
      </c>
      <c r="E263" s="40">
        <v>0</v>
      </c>
      <c r="F263" s="40">
        <v>60</v>
      </c>
      <c r="G263" s="40">
        <v>21</v>
      </c>
      <c r="H263" s="40">
        <v>0</v>
      </c>
      <c r="I263" s="40">
        <v>12</v>
      </c>
      <c r="J263" s="54" t="s">
        <v>666</v>
      </c>
      <c r="K263" s="54" t="s">
        <v>667</v>
      </c>
      <c r="L263" s="56">
        <v>46010.446446759262</v>
      </c>
      <c r="M263" s="40">
        <v>0</v>
      </c>
      <c r="N263" s="40">
        <v>0</v>
      </c>
      <c r="O263" s="40">
        <v>0</v>
      </c>
      <c r="S263" s="40" t="b">
        <v>0</v>
      </c>
      <c r="T263" s="40">
        <v>9.9999997764825821E-3</v>
      </c>
      <c r="U263" s="52">
        <v>6.5</v>
      </c>
      <c r="V263" s="40">
        <v>9.9999997764825821E-3</v>
      </c>
      <c r="W263" s="40">
        <v>0</v>
      </c>
      <c r="X263" s="40">
        <v>1000</v>
      </c>
      <c r="Z263" s="40">
        <v>10</v>
      </c>
      <c r="AB263" s="52">
        <v>25</v>
      </c>
      <c r="AD263" s="40">
        <v>10</v>
      </c>
      <c r="AF263" s="40">
        <v>2000</v>
      </c>
      <c r="AG263" s="40">
        <v>2</v>
      </c>
      <c r="AH263" s="40">
        <v>6.869999885559082</v>
      </c>
      <c r="AI263" s="40">
        <v>741</v>
      </c>
      <c r="AJ263" s="40">
        <v>0</v>
      </c>
      <c r="AK263" s="40">
        <v>88</v>
      </c>
      <c r="AM263" s="40" t="s">
        <v>2</v>
      </c>
      <c r="AO263" s="40">
        <v>24</v>
      </c>
      <c r="AW263" s="40" t="b">
        <v>0</v>
      </c>
      <c r="BC263" s="40">
        <v>0</v>
      </c>
      <c r="BD263" s="40">
        <v>0</v>
      </c>
      <c r="BE263" s="244">
        <v>0</v>
      </c>
      <c r="BF263" s="40" t="s">
        <v>668</v>
      </c>
      <c r="BG263" s="40">
        <v>1</v>
      </c>
      <c r="BH263" s="40" t="s">
        <v>669</v>
      </c>
      <c r="BI263" s="40">
        <v>0</v>
      </c>
      <c r="BJ263" s="40">
        <v>0</v>
      </c>
      <c r="BM263" s="33" t="s">
        <v>1</v>
      </c>
      <c r="BN263" s="58">
        <v>60</v>
      </c>
      <c r="BO263" s="58">
        <v>6.5</v>
      </c>
      <c r="BP263" s="58">
        <v>350</v>
      </c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60"/>
      <c r="CF263" s="44" t="s">
        <v>12</v>
      </c>
      <c r="CR263" s="40">
        <v>0</v>
      </c>
      <c r="CS263" s="67">
        <v>0</v>
      </c>
      <c r="CT263" s="67">
        <v>0</v>
      </c>
      <c r="CU263" s="40">
        <v>1</v>
      </c>
      <c r="CV263" s="67">
        <v>0</v>
      </c>
      <c r="CW263" s="67">
        <v>0</v>
      </c>
      <c r="CX263" s="67">
        <v>0</v>
      </c>
      <c r="CY263" s="67">
        <v>0</v>
      </c>
      <c r="CZ263" s="67">
        <v>0</v>
      </c>
      <c r="DA263" s="67">
        <v>0</v>
      </c>
      <c r="DB263" s="67">
        <v>0</v>
      </c>
      <c r="DD263" s="40">
        <v>2</v>
      </c>
      <c r="DI263" s="40" t="s">
        <v>0</v>
      </c>
    </row>
    <row r="264" spans="1:113" s="40" customFormat="1" ht="15.75" thickBot="1" x14ac:dyDescent="0.3">
      <c r="A264" s="40">
        <v>34727</v>
      </c>
      <c r="B264" s="40" t="s">
        <v>437</v>
      </c>
      <c r="C264" s="53" t="s">
        <v>15</v>
      </c>
      <c r="D264" s="40">
        <v>60</v>
      </c>
      <c r="E264" s="40">
        <v>0</v>
      </c>
      <c r="F264" s="40">
        <v>60</v>
      </c>
      <c r="G264" s="40">
        <v>22</v>
      </c>
      <c r="H264" s="40">
        <v>0</v>
      </c>
      <c r="I264" s="40">
        <v>25</v>
      </c>
      <c r="J264" s="54" t="s">
        <v>652</v>
      </c>
      <c r="K264" s="54" t="s">
        <v>653</v>
      </c>
      <c r="L264" s="56">
        <v>46010.447557870371</v>
      </c>
      <c r="M264" s="40">
        <v>0</v>
      </c>
      <c r="N264" s="40">
        <v>0</v>
      </c>
      <c r="O264" s="40">
        <v>0</v>
      </c>
      <c r="S264" s="40" t="b">
        <v>0</v>
      </c>
      <c r="T264" s="40">
        <v>9.9999997764825821E-3</v>
      </c>
      <c r="U264" s="52">
        <v>5.5</v>
      </c>
      <c r="V264" s="40">
        <v>9.9999997764825821E-3</v>
      </c>
      <c r="W264" s="40">
        <v>0</v>
      </c>
      <c r="X264" s="40">
        <v>1000</v>
      </c>
      <c r="Z264" s="40">
        <v>10</v>
      </c>
      <c r="AB264" s="52">
        <v>50</v>
      </c>
      <c r="AD264" s="40">
        <v>10</v>
      </c>
      <c r="AF264" s="40">
        <v>2000</v>
      </c>
      <c r="AG264" s="40">
        <v>2</v>
      </c>
      <c r="AH264" s="40">
        <v>5.6999998092651367</v>
      </c>
      <c r="AI264" s="40">
        <v>677</v>
      </c>
      <c r="AJ264" s="40">
        <v>0</v>
      </c>
      <c r="AK264" s="40">
        <v>168</v>
      </c>
      <c r="AM264" s="40" t="s">
        <v>2</v>
      </c>
      <c r="AO264" s="40">
        <v>50</v>
      </c>
      <c r="AW264" s="40" t="b">
        <v>0</v>
      </c>
      <c r="BC264" s="40">
        <v>0</v>
      </c>
      <c r="BD264" s="40">
        <v>0</v>
      </c>
      <c r="BE264" s="244">
        <v>0</v>
      </c>
      <c r="BF264" s="40" t="s">
        <v>669</v>
      </c>
      <c r="BG264" s="40" t="s">
        <v>671</v>
      </c>
      <c r="BH264" s="40" t="s">
        <v>669</v>
      </c>
      <c r="BI264" s="40">
        <v>0</v>
      </c>
      <c r="BJ264" s="40">
        <v>0</v>
      </c>
      <c r="BM264" s="33" t="s">
        <v>1</v>
      </c>
      <c r="BN264" s="58">
        <v>60</v>
      </c>
      <c r="BO264" s="58">
        <v>5.5</v>
      </c>
      <c r="BP264" s="58">
        <v>350</v>
      </c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60"/>
      <c r="CF264" s="44" t="s">
        <v>16</v>
      </c>
      <c r="CR264" s="40">
        <v>0</v>
      </c>
      <c r="CS264" s="67">
        <v>0</v>
      </c>
      <c r="CT264" s="67">
        <v>0</v>
      </c>
      <c r="CU264" s="40">
        <v>0</v>
      </c>
      <c r="CV264" s="67">
        <v>0</v>
      </c>
      <c r="CW264" s="67">
        <v>0</v>
      </c>
      <c r="CX264" s="67">
        <v>0</v>
      </c>
      <c r="CY264" s="67">
        <v>0</v>
      </c>
      <c r="CZ264" s="67">
        <v>0</v>
      </c>
      <c r="DA264" s="67">
        <v>0</v>
      </c>
      <c r="DB264" s="67">
        <v>0</v>
      </c>
      <c r="DD264" s="40">
        <v>0</v>
      </c>
      <c r="DI264" s="40" t="s">
        <v>0</v>
      </c>
    </row>
    <row r="265" spans="1:113" s="40" customFormat="1" ht="15.75" thickBot="1" x14ac:dyDescent="0.3">
      <c r="A265" s="40">
        <v>34728</v>
      </c>
      <c r="B265" s="40" t="s">
        <v>437</v>
      </c>
      <c r="C265" s="53" t="s">
        <v>15</v>
      </c>
      <c r="D265" s="40">
        <v>60</v>
      </c>
      <c r="E265" s="40">
        <v>0</v>
      </c>
      <c r="F265" s="40">
        <v>60</v>
      </c>
      <c r="G265" s="40">
        <v>23</v>
      </c>
      <c r="H265" s="40">
        <v>0</v>
      </c>
      <c r="I265" s="40">
        <v>25</v>
      </c>
      <c r="J265" s="54" t="s">
        <v>654</v>
      </c>
      <c r="K265" s="54" t="s">
        <v>655</v>
      </c>
      <c r="L265" s="56">
        <v>46010.447662037041</v>
      </c>
      <c r="M265" s="40">
        <v>0</v>
      </c>
      <c r="N265" s="40">
        <v>0</v>
      </c>
      <c r="O265" s="40">
        <v>0</v>
      </c>
      <c r="S265" s="40" t="b">
        <v>0</v>
      </c>
      <c r="T265" s="40">
        <v>9.9999997764825821E-3</v>
      </c>
      <c r="U265" s="52">
        <v>5</v>
      </c>
      <c r="V265" s="40">
        <v>9.9999997764825821E-3</v>
      </c>
      <c r="W265" s="40">
        <v>0</v>
      </c>
      <c r="X265" s="40">
        <v>1000</v>
      </c>
      <c r="Z265" s="40">
        <v>10</v>
      </c>
      <c r="AB265" s="52">
        <v>50</v>
      </c>
      <c r="AD265" s="40">
        <v>10</v>
      </c>
      <c r="AF265" s="40">
        <v>2000</v>
      </c>
      <c r="AG265" s="40">
        <v>2</v>
      </c>
      <c r="AH265" s="40">
        <v>5.179999828338623</v>
      </c>
      <c r="AI265" s="40">
        <v>656</v>
      </c>
      <c r="AJ265" s="40">
        <v>0</v>
      </c>
      <c r="AK265" s="40">
        <v>148</v>
      </c>
      <c r="AM265" s="40" t="s">
        <v>2</v>
      </c>
      <c r="AO265" s="40">
        <v>50</v>
      </c>
      <c r="AW265" s="40" t="b">
        <v>0</v>
      </c>
      <c r="BC265" s="40">
        <v>0</v>
      </c>
      <c r="BD265" s="40">
        <v>0</v>
      </c>
      <c r="BE265" s="244">
        <v>0</v>
      </c>
      <c r="BF265" s="40" t="s">
        <v>669</v>
      </c>
      <c r="BG265" s="40" t="s">
        <v>671</v>
      </c>
      <c r="BH265" s="40" t="s">
        <v>669</v>
      </c>
      <c r="BI265" s="40">
        <v>0</v>
      </c>
      <c r="BJ265" s="40">
        <v>0</v>
      </c>
      <c r="BM265" s="33" t="s">
        <v>1</v>
      </c>
      <c r="BN265" s="58">
        <v>60</v>
      </c>
      <c r="BO265" s="58">
        <v>5</v>
      </c>
      <c r="BP265" s="58">
        <v>350</v>
      </c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60"/>
      <c r="CF265" s="44" t="s">
        <v>16</v>
      </c>
      <c r="CR265" s="40">
        <v>0</v>
      </c>
      <c r="CS265" s="67">
        <v>0</v>
      </c>
      <c r="CT265" s="67">
        <v>0</v>
      </c>
      <c r="CU265" s="40">
        <v>0</v>
      </c>
      <c r="CV265" s="67">
        <v>0</v>
      </c>
      <c r="CW265" s="67">
        <v>0</v>
      </c>
      <c r="CX265" s="67">
        <v>0</v>
      </c>
      <c r="CY265" s="67">
        <v>0</v>
      </c>
      <c r="CZ265" s="67">
        <v>0</v>
      </c>
      <c r="DA265" s="67">
        <v>0</v>
      </c>
      <c r="DB265" s="67">
        <v>0</v>
      </c>
      <c r="DD265" s="40">
        <v>0</v>
      </c>
      <c r="DI265" s="40" t="s">
        <v>0</v>
      </c>
    </row>
    <row r="266" spans="1:113" s="40" customFormat="1" ht="15.75" thickBot="1" x14ac:dyDescent="0.3">
      <c r="A266" s="40">
        <v>34729</v>
      </c>
      <c r="B266" s="40" t="s">
        <v>437</v>
      </c>
      <c r="C266" s="53" t="s">
        <v>15</v>
      </c>
      <c r="D266" s="40">
        <v>60</v>
      </c>
      <c r="E266" s="40">
        <v>0</v>
      </c>
      <c r="F266" s="40">
        <v>60</v>
      </c>
      <c r="G266" s="40">
        <v>24</v>
      </c>
      <c r="H266" s="40">
        <v>0</v>
      </c>
      <c r="I266" s="40">
        <v>17</v>
      </c>
      <c r="J266" s="54" t="s">
        <v>656</v>
      </c>
      <c r="K266" s="54" t="s">
        <v>657</v>
      </c>
      <c r="L266" s="56">
        <v>46010.447835648149</v>
      </c>
      <c r="M266" s="40">
        <v>0</v>
      </c>
      <c r="N266" s="40">
        <v>0</v>
      </c>
      <c r="O266" s="40">
        <v>0</v>
      </c>
      <c r="S266" s="40" t="b">
        <v>0</v>
      </c>
      <c r="T266" s="40">
        <v>9.9999997764825821E-3</v>
      </c>
      <c r="U266" s="52">
        <v>5.5</v>
      </c>
      <c r="V266" s="40">
        <v>9.9999997764825821E-3</v>
      </c>
      <c r="W266" s="40">
        <v>0</v>
      </c>
      <c r="X266" s="40">
        <v>1000</v>
      </c>
      <c r="Z266" s="40">
        <v>10</v>
      </c>
      <c r="AB266" s="52">
        <v>35</v>
      </c>
      <c r="AD266" s="40">
        <v>10</v>
      </c>
      <c r="AF266" s="40">
        <v>2000</v>
      </c>
      <c r="AG266" s="40">
        <v>2</v>
      </c>
      <c r="AH266" s="40">
        <v>5.7699999809265137</v>
      </c>
      <c r="AI266" s="40">
        <v>694</v>
      </c>
      <c r="AJ266" s="40">
        <v>0</v>
      </c>
      <c r="AK266" s="40">
        <v>111</v>
      </c>
      <c r="AM266" s="40" t="s">
        <v>2</v>
      </c>
      <c r="AO266" s="40">
        <v>34</v>
      </c>
      <c r="AW266" s="40" t="b">
        <v>0</v>
      </c>
      <c r="BC266" s="40">
        <v>0</v>
      </c>
      <c r="BD266" s="40">
        <v>0</v>
      </c>
      <c r="BE266" s="244">
        <v>0</v>
      </c>
      <c r="BF266" s="40" t="s">
        <v>669</v>
      </c>
      <c r="BG266" s="40" t="s">
        <v>671</v>
      </c>
      <c r="BH266" s="40" t="s">
        <v>669</v>
      </c>
      <c r="BI266" s="40">
        <v>0</v>
      </c>
      <c r="BJ266" s="40">
        <v>0</v>
      </c>
      <c r="BM266" s="33" t="s">
        <v>1</v>
      </c>
      <c r="BN266" s="58">
        <v>60</v>
      </c>
      <c r="BO266" s="58">
        <v>5.5</v>
      </c>
      <c r="BP266" s="58">
        <v>350</v>
      </c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60"/>
      <c r="CF266" s="44" t="s">
        <v>16</v>
      </c>
      <c r="CR266" s="40">
        <v>0</v>
      </c>
      <c r="CS266" s="67">
        <v>0</v>
      </c>
      <c r="CT266" s="67">
        <v>0</v>
      </c>
      <c r="CU266" s="40">
        <v>0</v>
      </c>
      <c r="CV266" s="67">
        <v>0</v>
      </c>
      <c r="CW266" s="67">
        <v>0</v>
      </c>
      <c r="CX266" s="67">
        <v>0</v>
      </c>
      <c r="CY266" s="67">
        <v>0</v>
      </c>
      <c r="CZ266" s="67">
        <v>0</v>
      </c>
      <c r="DA266" s="67">
        <v>0</v>
      </c>
      <c r="DB266" s="67">
        <v>0</v>
      </c>
      <c r="DD266" s="40">
        <v>0</v>
      </c>
      <c r="DI266" s="40" t="s">
        <v>0</v>
      </c>
    </row>
    <row r="267" spans="1:113" s="40" customFormat="1" ht="15.75" thickBot="1" x14ac:dyDescent="0.3">
      <c r="A267" s="40">
        <v>34730</v>
      </c>
      <c r="B267" s="40" t="s">
        <v>437</v>
      </c>
      <c r="C267" s="53" t="s">
        <v>15</v>
      </c>
      <c r="D267" s="40">
        <v>60</v>
      </c>
      <c r="E267" s="40">
        <v>0</v>
      </c>
      <c r="F267" s="40">
        <v>60</v>
      </c>
      <c r="G267" s="40">
        <v>25</v>
      </c>
      <c r="H267" s="40">
        <v>0</v>
      </c>
      <c r="I267" s="40">
        <v>12</v>
      </c>
      <c r="J267" s="54" t="s">
        <v>658</v>
      </c>
      <c r="K267" s="54" t="s">
        <v>659</v>
      </c>
      <c r="L267" s="56">
        <v>46010.447928240741</v>
      </c>
      <c r="M267" s="40">
        <v>0</v>
      </c>
      <c r="N267" s="40">
        <v>0</v>
      </c>
      <c r="O267" s="40">
        <v>0</v>
      </c>
      <c r="S267" s="40" t="b">
        <v>0</v>
      </c>
      <c r="T267" s="40">
        <v>9.9999997764825821E-3</v>
      </c>
      <c r="U267" s="52">
        <v>5.5</v>
      </c>
      <c r="V267" s="40">
        <v>9.9999997764825821E-3</v>
      </c>
      <c r="W267" s="40">
        <v>0</v>
      </c>
      <c r="X267" s="40">
        <v>1000</v>
      </c>
      <c r="Z267" s="40">
        <v>10</v>
      </c>
      <c r="AB267" s="52">
        <v>25</v>
      </c>
      <c r="AD267" s="40">
        <v>10</v>
      </c>
      <c r="AF267" s="40">
        <v>2000</v>
      </c>
      <c r="AG267" s="40">
        <v>2</v>
      </c>
      <c r="AH267" s="40">
        <v>5.820000171661377</v>
      </c>
      <c r="AI267" s="40">
        <v>605</v>
      </c>
      <c r="AJ267" s="40">
        <v>0</v>
      </c>
      <c r="AK267" s="40">
        <v>61</v>
      </c>
      <c r="AM267" s="40" t="s">
        <v>2</v>
      </c>
      <c r="AO267" s="40">
        <v>24</v>
      </c>
      <c r="AW267" s="40" t="b">
        <v>0</v>
      </c>
      <c r="BC267" s="40">
        <v>0</v>
      </c>
      <c r="BD267" s="40">
        <v>0</v>
      </c>
      <c r="BE267" s="244">
        <v>0</v>
      </c>
      <c r="BF267" s="40" t="s">
        <v>669</v>
      </c>
      <c r="BG267" s="40" t="s">
        <v>671</v>
      </c>
      <c r="BH267" s="40" t="s">
        <v>669</v>
      </c>
      <c r="BI267" s="40">
        <v>0</v>
      </c>
      <c r="BJ267" s="40">
        <v>0</v>
      </c>
      <c r="BM267" s="33" t="s">
        <v>1</v>
      </c>
      <c r="BN267" s="58">
        <v>60</v>
      </c>
      <c r="BO267" s="58">
        <v>5.5</v>
      </c>
      <c r="BP267" s="58">
        <v>350</v>
      </c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60"/>
      <c r="CF267" s="44" t="s">
        <v>16</v>
      </c>
      <c r="CR267" s="40">
        <v>0</v>
      </c>
      <c r="CS267" s="67">
        <v>0</v>
      </c>
      <c r="CT267" s="67">
        <v>0</v>
      </c>
      <c r="CU267" s="40">
        <v>0</v>
      </c>
      <c r="CV267" s="67">
        <v>0</v>
      </c>
      <c r="CW267" s="67">
        <v>0</v>
      </c>
      <c r="CX267" s="67">
        <v>0</v>
      </c>
      <c r="CY267" s="67">
        <v>0</v>
      </c>
      <c r="CZ267" s="67">
        <v>0</v>
      </c>
      <c r="DA267" s="67">
        <v>0</v>
      </c>
      <c r="DB267" s="67">
        <v>0</v>
      </c>
      <c r="DD267" s="40">
        <v>0</v>
      </c>
      <c r="DI267" s="40" t="s">
        <v>0</v>
      </c>
    </row>
    <row r="268" spans="1:113" s="40" customFormat="1" ht="15.75" thickBot="1" x14ac:dyDescent="0.3">
      <c r="A268" s="40">
        <v>528423</v>
      </c>
      <c r="B268" s="40" t="s">
        <v>6</v>
      </c>
      <c r="C268" s="53" t="s">
        <v>674</v>
      </c>
      <c r="D268" s="40">
        <v>32</v>
      </c>
      <c r="E268" s="40">
        <v>0</v>
      </c>
      <c r="F268" s="40">
        <v>32</v>
      </c>
      <c r="G268" s="40">
        <v>524</v>
      </c>
      <c r="H268" s="40">
        <v>0</v>
      </c>
      <c r="I268" s="40">
        <v>125</v>
      </c>
      <c r="J268" s="54" t="s">
        <v>675</v>
      </c>
      <c r="K268" s="54" t="s">
        <v>676</v>
      </c>
      <c r="L268" s="56">
        <v>45966</v>
      </c>
      <c r="M268" s="40">
        <v>0</v>
      </c>
      <c r="N268" s="40">
        <v>0</v>
      </c>
      <c r="O268" s="40">
        <v>0</v>
      </c>
      <c r="S268" s="40" t="b">
        <v>0</v>
      </c>
      <c r="T268" s="40">
        <v>0.01</v>
      </c>
      <c r="U268" s="52">
        <v>2.7000000480000002</v>
      </c>
      <c r="V268" s="40">
        <v>0.01</v>
      </c>
      <c r="W268" s="40">
        <v>0</v>
      </c>
      <c r="X268" s="40">
        <v>1000</v>
      </c>
      <c r="Z268" s="40">
        <v>10</v>
      </c>
      <c r="AB268" s="52">
        <v>250</v>
      </c>
      <c r="AD268" s="40">
        <v>10</v>
      </c>
      <c r="AF268" s="40">
        <v>2000</v>
      </c>
      <c r="AG268" s="40">
        <v>2</v>
      </c>
      <c r="AH268" s="40">
        <v>2.710000038</v>
      </c>
      <c r="AI268" s="40">
        <v>432</v>
      </c>
      <c r="AJ268" s="40">
        <v>0</v>
      </c>
      <c r="AK268" s="40">
        <v>296</v>
      </c>
      <c r="AM268" s="40" t="s">
        <v>2</v>
      </c>
      <c r="AO268" s="40">
        <v>250</v>
      </c>
      <c r="AW268" s="40" t="b">
        <v>0</v>
      </c>
      <c r="BE268" s="244"/>
      <c r="BF268" s="40">
        <v>1</v>
      </c>
      <c r="BG268" s="40">
        <v>0.55000000000000004</v>
      </c>
      <c r="BH268" s="40">
        <v>1</v>
      </c>
      <c r="BI268" s="40">
        <v>0.55000000000000004</v>
      </c>
      <c r="BJ268" s="40">
        <v>0</v>
      </c>
      <c r="BM268" s="40" t="s">
        <v>1</v>
      </c>
      <c r="BN268" s="58">
        <v>32</v>
      </c>
      <c r="BO268" s="58" t="s">
        <v>677</v>
      </c>
      <c r="BP268" s="58">
        <v>250</v>
      </c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60"/>
      <c r="CF268" s="44" t="s">
        <v>12</v>
      </c>
      <c r="CR268" s="40">
        <v>0</v>
      </c>
      <c r="CS268" s="40">
        <v>0</v>
      </c>
      <c r="CT268" s="40">
        <v>0</v>
      </c>
      <c r="CU268" s="40">
        <v>1</v>
      </c>
      <c r="CV268" s="40">
        <v>0</v>
      </c>
      <c r="CW268" s="40">
        <v>0</v>
      </c>
      <c r="CX268" s="40">
        <v>0</v>
      </c>
      <c r="CY268" s="40">
        <v>0</v>
      </c>
      <c r="CZ268" s="40">
        <v>0</v>
      </c>
      <c r="DA268" s="40">
        <v>0</v>
      </c>
      <c r="DB268" s="40">
        <v>0</v>
      </c>
      <c r="DD268" s="40">
        <v>2</v>
      </c>
      <c r="DI268" s="40" t="s">
        <v>0</v>
      </c>
    </row>
    <row r="269" spans="1:113" s="40" customFormat="1" ht="15.75" thickBot="1" x14ac:dyDescent="0.3">
      <c r="A269" s="40">
        <v>528424</v>
      </c>
      <c r="B269" s="40" t="s">
        <v>6</v>
      </c>
      <c r="C269" s="53" t="s">
        <v>674</v>
      </c>
      <c r="D269" s="40">
        <v>32</v>
      </c>
      <c r="E269" s="40">
        <v>0</v>
      </c>
      <c r="F269" s="40">
        <v>32</v>
      </c>
      <c r="G269" s="40">
        <v>525</v>
      </c>
      <c r="H269" s="40">
        <v>0</v>
      </c>
      <c r="I269" s="40">
        <v>125</v>
      </c>
      <c r="J269" s="54" t="s">
        <v>678</v>
      </c>
      <c r="K269" s="54" t="s">
        <v>679</v>
      </c>
      <c r="L269" s="56">
        <v>45966</v>
      </c>
      <c r="M269" s="40">
        <v>0</v>
      </c>
      <c r="N269" s="40">
        <v>0</v>
      </c>
      <c r="O269" s="40">
        <v>0</v>
      </c>
      <c r="S269" s="40" t="b">
        <v>0</v>
      </c>
      <c r="T269" s="40">
        <v>0.01</v>
      </c>
      <c r="U269" s="52">
        <v>2.7000000480000002</v>
      </c>
      <c r="V269" s="40">
        <v>0.01</v>
      </c>
      <c r="W269" s="40">
        <v>0</v>
      </c>
      <c r="X269" s="40">
        <v>1000</v>
      </c>
      <c r="Z269" s="40">
        <v>10</v>
      </c>
      <c r="AB269" s="52">
        <v>250</v>
      </c>
      <c r="AD269" s="40">
        <v>10</v>
      </c>
      <c r="AF269" s="40">
        <v>2000</v>
      </c>
      <c r="AG269" s="40">
        <v>2</v>
      </c>
      <c r="AH269" s="40">
        <v>2.7000000480000002</v>
      </c>
      <c r="AI269" s="40">
        <v>423</v>
      </c>
      <c r="AJ269" s="40">
        <v>0</v>
      </c>
      <c r="AK269" s="40">
        <v>289</v>
      </c>
      <c r="AM269" s="40" t="s">
        <v>2</v>
      </c>
      <c r="AO269" s="40">
        <v>250</v>
      </c>
      <c r="AW269" s="40" t="b">
        <v>0</v>
      </c>
      <c r="BE269" s="244"/>
      <c r="BF269" s="40">
        <v>1</v>
      </c>
      <c r="BG269" s="40">
        <v>0.55000000000000004</v>
      </c>
      <c r="BH269" s="40">
        <v>1</v>
      </c>
      <c r="BI269" s="40">
        <v>0.55000000000000004</v>
      </c>
      <c r="BJ269" s="40">
        <v>0</v>
      </c>
      <c r="BM269" s="40" t="s">
        <v>1</v>
      </c>
      <c r="BN269" s="58">
        <v>32</v>
      </c>
      <c r="BO269" s="58" t="s">
        <v>677</v>
      </c>
      <c r="BP269" s="58">
        <v>250</v>
      </c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60"/>
      <c r="CF269" s="44" t="s">
        <v>12</v>
      </c>
      <c r="CR269" s="40">
        <v>0</v>
      </c>
      <c r="CS269" s="40">
        <v>0</v>
      </c>
      <c r="CT269" s="40">
        <v>0</v>
      </c>
      <c r="CU269" s="40">
        <v>1</v>
      </c>
      <c r="CV269" s="40">
        <v>0</v>
      </c>
      <c r="CW269" s="40">
        <v>0</v>
      </c>
      <c r="CX269" s="40">
        <v>0</v>
      </c>
      <c r="CY269" s="40">
        <v>0</v>
      </c>
      <c r="CZ269" s="40">
        <v>0</v>
      </c>
      <c r="DA269" s="40">
        <v>0</v>
      </c>
      <c r="DB269" s="40">
        <v>0</v>
      </c>
      <c r="DD269" s="40">
        <v>2</v>
      </c>
      <c r="DI269" s="40" t="s">
        <v>0</v>
      </c>
    </row>
    <row r="270" spans="1:113" s="40" customFormat="1" ht="15.75" thickBot="1" x14ac:dyDescent="0.3">
      <c r="A270" s="40">
        <v>528393</v>
      </c>
      <c r="B270" s="40" t="s">
        <v>6</v>
      </c>
      <c r="C270" s="53" t="s">
        <v>674</v>
      </c>
      <c r="D270" s="40">
        <v>32</v>
      </c>
      <c r="E270" s="40">
        <v>0</v>
      </c>
      <c r="F270" s="40">
        <v>32</v>
      </c>
      <c r="G270" s="40">
        <v>494</v>
      </c>
      <c r="H270" s="40">
        <v>0</v>
      </c>
      <c r="I270" s="40">
        <v>125</v>
      </c>
      <c r="J270" s="54" t="s">
        <v>680</v>
      </c>
      <c r="K270" s="54" t="s">
        <v>681</v>
      </c>
      <c r="L270" s="56">
        <v>45966</v>
      </c>
      <c r="M270" s="40">
        <v>0</v>
      </c>
      <c r="N270" s="40">
        <v>0</v>
      </c>
      <c r="O270" s="40">
        <v>0</v>
      </c>
      <c r="S270" s="40" t="b">
        <v>0</v>
      </c>
      <c r="T270" s="40">
        <v>0.01</v>
      </c>
      <c r="U270" s="52">
        <v>2.7000000480000002</v>
      </c>
      <c r="V270" s="40">
        <v>0.01</v>
      </c>
      <c r="W270" s="40">
        <v>0</v>
      </c>
      <c r="X270" s="40">
        <v>1000</v>
      </c>
      <c r="Z270" s="40">
        <v>10</v>
      </c>
      <c r="AB270" s="52">
        <v>250</v>
      </c>
      <c r="AD270" s="40">
        <v>10</v>
      </c>
      <c r="AF270" s="40">
        <v>2000</v>
      </c>
      <c r="AG270" s="40">
        <v>2</v>
      </c>
      <c r="AH270" s="40">
        <v>2.7200000289999999</v>
      </c>
      <c r="AI270" s="40">
        <v>465</v>
      </c>
      <c r="AJ270" s="40">
        <v>0</v>
      </c>
      <c r="AK270" s="40">
        <v>321</v>
      </c>
      <c r="AM270" s="40" t="s">
        <v>2</v>
      </c>
      <c r="AO270" s="40">
        <v>250</v>
      </c>
      <c r="AW270" s="40" t="b">
        <v>0</v>
      </c>
      <c r="BE270" s="244"/>
      <c r="BF270" s="40">
        <v>1</v>
      </c>
      <c r="BG270" s="40">
        <v>0.55000000000000004</v>
      </c>
      <c r="BH270" s="40">
        <v>1</v>
      </c>
      <c r="BI270" s="40">
        <v>0.55000000000000004</v>
      </c>
      <c r="BJ270" s="40">
        <v>0</v>
      </c>
      <c r="BM270" s="40" t="s">
        <v>1</v>
      </c>
      <c r="BN270" s="58">
        <v>32</v>
      </c>
      <c r="BO270" s="58" t="s">
        <v>677</v>
      </c>
      <c r="BP270" s="58">
        <v>250</v>
      </c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60"/>
      <c r="CF270" s="44" t="s">
        <v>12</v>
      </c>
      <c r="CR270" s="40">
        <v>0</v>
      </c>
      <c r="CS270" s="40">
        <v>0</v>
      </c>
      <c r="CT270" s="40">
        <v>0</v>
      </c>
      <c r="CU270" s="40">
        <v>1</v>
      </c>
      <c r="CV270" s="40">
        <v>0</v>
      </c>
      <c r="CW270" s="40">
        <v>0</v>
      </c>
      <c r="CX270" s="40">
        <v>0</v>
      </c>
      <c r="CY270" s="40">
        <v>0</v>
      </c>
      <c r="CZ270" s="40">
        <v>0</v>
      </c>
      <c r="DA270" s="40">
        <v>0</v>
      </c>
      <c r="DB270" s="40">
        <v>0</v>
      </c>
      <c r="DD270" s="40">
        <v>2</v>
      </c>
      <c r="DI270" s="40" t="s">
        <v>0</v>
      </c>
    </row>
    <row r="271" spans="1:113" s="40" customFormat="1" ht="15.75" thickBot="1" x14ac:dyDescent="0.3">
      <c r="A271" s="40">
        <v>528394</v>
      </c>
      <c r="B271" s="40" t="s">
        <v>6</v>
      </c>
      <c r="C271" s="53" t="s">
        <v>674</v>
      </c>
      <c r="D271" s="40">
        <v>32</v>
      </c>
      <c r="E271" s="40">
        <v>0</v>
      </c>
      <c r="F271" s="40">
        <v>32</v>
      </c>
      <c r="G271" s="40">
        <v>495</v>
      </c>
      <c r="H271" s="40">
        <v>0</v>
      </c>
      <c r="I271" s="40">
        <v>125</v>
      </c>
      <c r="J271" s="54" t="s">
        <v>682</v>
      </c>
      <c r="K271" s="54" t="s">
        <v>683</v>
      </c>
      <c r="L271" s="56">
        <v>45966</v>
      </c>
      <c r="M271" s="40">
        <v>0</v>
      </c>
      <c r="N271" s="40">
        <v>0</v>
      </c>
      <c r="O271" s="40">
        <v>0</v>
      </c>
      <c r="S271" s="40" t="b">
        <v>0</v>
      </c>
      <c r="T271" s="40">
        <v>0.01</v>
      </c>
      <c r="U271" s="52">
        <v>2.7000000480000002</v>
      </c>
      <c r="V271" s="40">
        <v>0.01</v>
      </c>
      <c r="W271" s="40">
        <v>0</v>
      </c>
      <c r="X271" s="40">
        <v>1000</v>
      </c>
      <c r="Z271" s="40">
        <v>10</v>
      </c>
      <c r="AB271" s="52">
        <v>250</v>
      </c>
      <c r="AD271" s="40">
        <v>10</v>
      </c>
      <c r="AF271" s="40">
        <v>2000</v>
      </c>
      <c r="AG271" s="40">
        <v>2</v>
      </c>
      <c r="AH271" s="40">
        <v>2.7200000289999999</v>
      </c>
      <c r="AI271" s="40">
        <v>465</v>
      </c>
      <c r="AJ271" s="40">
        <v>0</v>
      </c>
      <c r="AK271" s="40">
        <v>321</v>
      </c>
      <c r="AM271" s="40" t="s">
        <v>2</v>
      </c>
      <c r="AO271" s="40">
        <v>250</v>
      </c>
      <c r="AW271" s="40" t="b">
        <v>0</v>
      </c>
      <c r="BE271" s="244"/>
      <c r="BF271" s="40">
        <v>1</v>
      </c>
      <c r="BG271" s="40">
        <v>0.55000000000000004</v>
      </c>
      <c r="BH271" s="40">
        <v>1</v>
      </c>
      <c r="BI271" s="40">
        <v>0.55000000000000004</v>
      </c>
      <c r="BJ271" s="40">
        <v>0</v>
      </c>
      <c r="BM271" s="40" t="s">
        <v>1</v>
      </c>
      <c r="BN271" s="58">
        <v>32</v>
      </c>
      <c r="BO271" s="58" t="s">
        <v>677</v>
      </c>
      <c r="BP271" s="58">
        <v>250</v>
      </c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60"/>
      <c r="CF271" s="44" t="s">
        <v>12</v>
      </c>
      <c r="CR271" s="40">
        <v>0</v>
      </c>
      <c r="CS271" s="40">
        <v>0</v>
      </c>
      <c r="CT271" s="40">
        <v>0</v>
      </c>
      <c r="CU271" s="40">
        <v>1</v>
      </c>
      <c r="CV271" s="40">
        <v>0</v>
      </c>
      <c r="CW271" s="40">
        <v>0</v>
      </c>
      <c r="CX271" s="40">
        <v>0</v>
      </c>
      <c r="CY271" s="40">
        <v>0</v>
      </c>
      <c r="CZ271" s="40">
        <v>0</v>
      </c>
      <c r="DA271" s="40">
        <v>0</v>
      </c>
      <c r="DB271" s="40">
        <v>0</v>
      </c>
      <c r="DD271" s="40">
        <v>2</v>
      </c>
      <c r="DI271" s="40" t="s">
        <v>0</v>
      </c>
    </row>
    <row r="272" spans="1:113" s="40" customFormat="1" ht="15.75" thickBot="1" x14ac:dyDescent="0.3">
      <c r="A272" s="40">
        <v>528359</v>
      </c>
      <c r="B272" s="40" t="s">
        <v>6</v>
      </c>
      <c r="C272" s="53" t="s">
        <v>674</v>
      </c>
      <c r="D272" s="40">
        <v>32</v>
      </c>
      <c r="E272" s="40">
        <v>0</v>
      </c>
      <c r="F272" s="40">
        <v>32</v>
      </c>
      <c r="G272" s="40">
        <v>460</v>
      </c>
      <c r="H272" s="40">
        <v>0</v>
      </c>
      <c r="I272" s="40">
        <v>125</v>
      </c>
      <c r="J272" s="54" t="s">
        <v>684</v>
      </c>
      <c r="K272" s="54" t="s">
        <v>685</v>
      </c>
      <c r="L272" s="56">
        <v>45966</v>
      </c>
      <c r="M272" s="40">
        <v>0</v>
      </c>
      <c r="N272" s="40">
        <v>0</v>
      </c>
      <c r="O272" s="40">
        <v>0</v>
      </c>
      <c r="S272" s="40" t="b">
        <v>0</v>
      </c>
      <c r="T272" s="40">
        <v>0.01</v>
      </c>
      <c r="U272" s="52">
        <v>2.7000000480000002</v>
      </c>
      <c r="V272" s="40">
        <v>0.01</v>
      </c>
      <c r="W272" s="40">
        <v>0</v>
      </c>
      <c r="X272" s="40">
        <v>1000</v>
      </c>
      <c r="Z272" s="40">
        <v>10</v>
      </c>
      <c r="AB272" s="52">
        <v>250</v>
      </c>
      <c r="AD272" s="40">
        <v>10</v>
      </c>
      <c r="AF272" s="40">
        <v>2000</v>
      </c>
      <c r="AG272" s="40">
        <v>2</v>
      </c>
      <c r="AH272" s="40">
        <v>2.7200000289999999</v>
      </c>
      <c r="AI272" s="40">
        <v>465</v>
      </c>
      <c r="AJ272" s="40">
        <v>0</v>
      </c>
      <c r="AK272" s="40">
        <v>319</v>
      </c>
      <c r="AM272" s="40" t="s">
        <v>2</v>
      </c>
      <c r="AO272" s="40">
        <v>250</v>
      </c>
      <c r="AW272" s="40" t="b">
        <v>0</v>
      </c>
      <c r="BE272" s="244"/>
      <c r="BF272" s="40">
        <v>1</v>
      </c>
      <c r="BG272" s="40">
        <v>0.55000000000000004</v>
      </c>
      <c r="BH272" s="40">
        <v>1</v>
      </c>
      <c r="BI272" s="40">
        <v>0.55000000000000004</v>
      </c>
      <c r="BJ272" s="40">
        <v>0</v>
      </c>
      <c r="BM272" s="40" t="s">
        <v>1</v>
      </c>
      <c r="BN272" s="58">
        <v>32</v>
      </c>
      <c r="BO272" s="58" t="s">
        <v>677</v>
      </c>
      <c r="BP272" s="58">
        <v>250</v>
      </c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60"/>
      <c r="CF272" s="44" t="s">
        <v>12</v>
      </c>
      <c r="CR272" s="40">
        <v>0</v>
      </c>
      <c r="CS272" s="40">
        <v>0</v>
      </c>
      <c r="CT272" s="40">
        <v>0</v>
      </c>
      <c r="CU272" s="40">
        <v>1</v>
      </c>
      <c r="CV272" s="40">
        <v>0</v>
      </c>
      <c r="CW272" s="40">
        <v>0</v>
      </c>
      <c r="CX272" s="40">
        <v>0</v>
      </c>
      <c r="CY272" s="40">
        <v>0</v>
      </c>
      <c r="CZ272" s="40">
        <v>0</v>
      </c>
      <c r="DA272" s="40">
        <v>0</v>
      </c>
      <c r="DB272" s="40">
        <v>0</v>
      </c>
      <c r="DD272" s="40">
        <v>2</v>
      </c>
      <c r="DI272" s="40" t="s">
        <v>0</v>
      </c>
    </row>
    <row r="273" spans="1:113" s="40" customFormat="1" ht="15.75" thickBot="1" x14ac:dyDescent="0.3">
      <c r="A273" s="40">
        <v>528360</v>
      </c>
      <c r="B273" s="40" t="s">
        <v>6</v>
      </c>
      <c r="C273" s="53" t="s">
        <v>674</v>
      </c>
      <c r="D273" s="40">
        <v>32</v>
      </c>
      <c r="E273" s="40">
        <v>0</v>
      </c>
      <c r="F273" s="40">
        <v>32</v>
      </c>
      <c r="G273" s="40">
        <v>461</v>
      </c>
      <c r="H273" s="40">
        <v>0</v>
      </c>
      <c r="I273" s="40">
        <v>125</v>
      </c>
      <c r="J273" s="54" t="s">
        <v>686</v>
      </c>
      <c r="K273" s="54" t="s">
        <v>687</v>
      </c>
      <c r="L273" s="56">
        <v>45966</v>
      </c>
      <c r="M273" s="40">
        <v>0</v>
      </c>
      <c r="N273" s="40">
        <v>0</v>
      </c>
      <c r="O273" s="40">
        <v>0</v>
      </c>
      <c r="S273" s="40" t="b">
        <v>0</v>
      </c>
      <c r="T273" s="40">
        <v>0.01</v>
      </c>
      <c r="U273" s="52">
        <v>2.7000000480000002</v>
      </c>
      <c r="V273" s="40">
        <v>0.01</v>
      </c>
      <c r="W273" s="40">
        <v>0</v>
      </c>
      <c r="X273" s="40">
        <v>1000</v>
      </c>
      <c r="Z273" s="40">
        <v>10</v>
      </c>
      <c r="AB273" s="52">
        <v>250</v>
      </c>
      <c r="AD273" s="40">
        <v>10</v>
      </c>
      <c r="AF273" s="40">
        <v>2000</v>
      </c>
      <c r="AG273" s="40">
        <v>2</v>
      </c>
      <c r="AH273" s="40">
        <v>2.7200000289999999</v>
      </c>
      <c r="AI273" s="40">
        <v>461</v>
      </c>
      <c r="AJ273" s="40">
        <v>0</v>
      </c>
      <c r="AK273" s="40">
        <v>319</v>
      </c>
      <c r="AM273" s="40" t="s">
        <v>2</v>
      </c>
      <c r="AO273" s="40">
        <v>250</v>
      </c>
      <c r="AW273" s="40" t="b">
        <v>0</v>
      </c>
      <c r="BE273" s="244"/>
      <c r="BF273" s="40">
        <v>1</v>
      </c>
      <c r="BG273" s="40">
        <v>0.55000000000000004</v>
      </c>
      <c r="BH273" s="40">
        <v>1</v>
      </c>
      <c r="BI273" s="40">
        <v>0.55000000000000004</v>
      </c>
      <c r="BJ273" s="40">
        <v>0</v>
      </c>
      <c r="BM273" s="40" t="s">
        <v>1</v>
      </c>
      <c r="BN273" s="58">
        <v>32</v>
      </c>
      <c r="BO273" s="58" t="s">
        <v>677</v>
      </c>
      <c r="BP273" s="58">
        <v>250</v>
      </c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60"/>
      <c r="CF273" s="44" t="s">
        <v>12</v>
      </c>
      <c r="CR273" s="40">
        <v>0</v>
      </c>
      <c r="CS273" s="40">
        <v>0</v>
      </c>
      <c r="CT273" s="40">
        <v>0</v>
      </c>
      <c r="CU273" s="40">
        <v>1</v>
      </c>
      <c r="CV273" s="40">
        <v>0</v>
      </c>
      <c r="CW273" s="40">
        <v>0</v>
      </c>
      <c r="CX273" s="40">
        <v>0</v>
      </c>
      <c r="CY273" s="40">
        <v>0</v>
      </c>
      <c r="CZ273" s="40">
        <v>0</v>
      </c>
      <c r="DA273" s="40">
        <v>0</v>
      </c>
      <c r="DB273" s="40">
        <v>0</v>
      </c>
      <c r="DD273" s="40">
        <v>2</v>
      </c>
      <c r="DI273" s="40" t="s">
        <v>0</v>
      </c>
    </row>
    <row r="274" spans="1:113" s="40" customFormat="1" ht="15.75" thickBot="1" x14ac:dyDescent="0.3">
      <c r="A274" s="40">
        <v>528361</v>
      </c>
      <c r="B274" s="40" t="s">
        <v>6</v>
      </c>
      <c r="C274" s="53" t="s">
        <v>674</v>
      </c>
      <c r="D274" s="40">
        <v>32</v>
      </c>
      <c r="E274" s="40">
        <v>0</v>
      </c>
      <c r="F274" s="40">
        <v>32</v>
      </c>
      <c r="G274" s="40">
        <v>462</v>
      </c>
      <c r="H274" s="40">
        <v>0</v>
      </c>
      <c r="I274" s="40">
        <v>125</v>
      </c>
      <c r="J274" s="54" t="s">
        <v>688</v>
      </c>
      <c r="K274" s="54" t="s">
        <v>689</v>
      </c>
      <c r="L274" s="56">
        <v>45966</v>
      </c>
      <c r="M274" s="40">
        <v>0</v>
      </c>
      <c r="N274" s="40">
        <v>0</v>
      </c>
      <c r="O274" s="40">
        <v>0</v>
      </c>
      <c r="S274" s="40" t="b">
        <v>0</v>
      </c>
      <c r="T274" s="40">
        <v>0.01</v>
      </c>
      <c r="U274" s="52">
        <v>2.7000000480000002</v>
      </c>
      <c r="V274" s="40">
        <v>0.01</v>
      </c>
      <c r="W274" s="40">
        <v>0</v>
      </c>
      <c r="X274" s="40">
        <v>1000</v>
      </c>
      <c r="Z274" s="40">
        <v>10</v>
      </c>
      <c r="AB274" s="52">
        <v>250</v>
      </c>
      <c r="AD274" s="40">
        <v>10</v>
      </c>
      <c r="AF274" s="40">
        <v>2000</v>
      </c>
      <c r="AG274" s="40">
        <v>2</v>
      </c>
      <c r="AH274" s="40">
        <v>2.7200000289999999</v>
      </c>
      <c r="AI274" s="40">
        <v>457</v>
      </c>
      <c r="AJ274" s="40">
        <v>0</v>
      </c>
      <c r="AK274" s="40">
        <v>314</v>
      </c>
      <c r="AM274" s="40" t="s">
        <v>2</v>
      </c>
      <c r="AO274" s="40">
        <v>250</v>
      </c>
      <c r="AW274" s="40" t="b">
        <v>0</v>
      </c>
      <c r="BE274" s="244"/>
      <c r="BF274" s="40">
        <v>1</v>
      </c>
      <c r="BG274" s="40">
        <v>0.55000000000000004</v>
      </c>
      <c r="BH274" s="40">
        <v>1</v>
      </c>
      <c r="BI274" s="40">
        <v>0.55000000000000004</v>
      </c>
      <c r="BJ274" s="40">
        <v>0</v>
      </c>
      <c r="BM274" s="40" t="s">
        <v>1</v>
      </c>
      <c r="BN274" s="58">
        <v>32</v>
      </c>
      <c r="BO274" s="58" t="s">
        <v>677</v>
      </c>
      <c r="BP274" s="58">
        <v>250</v>
      </c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60"/>
      <c r="CF274" s="44" t="s">
        <v>12</v>
      </c>
      <c r="CR274" s="40">
        <v>0</v>
      </c>
      <c r="CS274" s="40">
        <v>0</v>
      </c>
      <c r="CT274" s="40">
        <v>0</v>
      </c>
      <c r="CU274" s="40">
        <v>1</v>
      </c>
      <c r="CV274" s="40">
        <v>0</v>
      </c>
      <c r="CW274" s="40">
        <v>0</v>
      </c>
      <c r="CX274" s="40">
        <v>0</v>
      </c>
      <c r="CY274" s="40">
        <v>0</v>
      </c>
      <c r="CZ274" s="40">
        <v>0</v>
      </c>
      <c r="DA274" s="40">
        <v>0</v>
      </c>
      <c r="DB274" s="40">
        <v>0</v>
      </c>
      <c r="DD274" s="40">
        <v>2</v>
      </c>
      <c r="DI274" s="40" t="s">
        <v>0</v>
      </c>
    </row>
    <row r="275" spans="1:113" s="40" customFormat="1" ht="15.75" thickBot="1" x14ac:dyDescent="0.3">
      <c r="A275" s="40">
        <v>528362</v>
      </c>
      <c r="B275" s="40" t="s">
        <v>6</v>
      </c>
      <c r="C275" s="53" t="s">
        <v>674</v>
      </c>
      <c r="D275" s="40">
        <v>32</v>
      </c>
      <c r="E275" s="40">
        <v>0</v>
      </c>
      <c r="F275" s="40">
        <v>32</v>
      </c>
      <c r="G275" s="40">
        <v>463</v>
      </c>
      <c r="H275" s="40">
        <v>0</v>
      </c>
      <c r="I275" s="40">
        <v>125</v>
      </c>
      <c r="J275" s="54" t="s">
        <v>690</v>
      </c>
      <c r="K275" s="54" t="s">
        <v>691</v>
      </c>
      <c r="L275" s="56">
        <v>45966</v>
      </c>
      <c r="M275" s="40">
        <v>0</v>
      </c>
      <c r="N275" s="40">
        <v>0</v>
      </c>
      <c r="O275" s="40">
        <v>0</v>
      </c>
      <c r="S275" s="40" t="b">
        <v>0</v>
      </c>
      <c r="T275" s="40">
        <v>0.01</v>
      </c>
      <c r="U275" s="52">
        <v>2.7000000480000002</v>
      </c>
      <c r="V275" s="40">
        <v>0.01</v>
      </c>
      <c r="W275" s="40">
        <v>0</v>
      </c>
      <c r="X275" s="40">
        <v>1000</v>
      </c>
      <c r="Z275" s="40">
        <v>10</v>
      </c>
      <c r="AB275" s="52">
        <v>250</v>
      </c>
      <c r="AD275" s="40">
        <v>10</v>
      </c>
      <c r="AF275" s="40">
        <v>2000</v>
      </c>
      <c r="AG275" s="40">
        <v>2</v>
      </c>
      <c r="AH275" s="40">
        <v>2.710000038</v>
      </c>
      <c r="AI275" s="40">
        <v>457</v>
      </c>
      <c r="AJ275" s="40">
        <v>0</v>
      </c>
      <c r="AK275" s="40">
        <v>313</v>
      </c>
      <c r="AM275" s="40" t="s">
        <v>2</v>
      </c>
      <c r="AO275" s="40">
        <v>250</v>
      </c>
      <c r="AW275" s="40" t="b">
        <v>0</v>
      </c>
      <c r="BE275" s="244"/>
      <c r="BF275" s="40">
        <v>1</v>
      </c>
      <c r="BG275" s="40">
        <v>0.55000000000000004</v>
      </c>
      <c r="BH275" s="40">
        <v>1</v>
      </c>
      <c r="BI275" s="40">
        <v>0.55000000000000004</v>
      </c>
      <c r="BJ275" s="40">
        <v>0</v>
      </c>
      <c r="BM275" s="40" t="s">
        <v>1</v>
      </c>
      <c r="BN275" s="58">
        <v>32</v>
      </c>
      <c r="BO275" s="58" t="s">
        <v>677</v>
      </c>
      <c r="BP275" s="58">
        <v>250</v>
      </c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60"/>
      <c r="CF275" s="44" t="s">
        <v>12</v>
      </c>
      <c r="CR275" s="40">
        <v>0</v>
      </c>
      <c r="CS275" s="40">
        <v>0</v>
      </c>
      <c r="CT275" s="40">
        <v>0</v>
      </c>
      <c r="CU275" s="40">
        <v>1</v>
      </c>
      <c r="CV275" s="40">
        <v>0</v>
      </c>
      <c r="CW275" s="40">
        <v>0</v>
      </c>
      <c r="CX275" s="40">
        <v>0</v>
      </c>
      <c r="CY275" s="40">
        <v>0</v>
      </c>
      <c r="CZ275" s="40">
        <v>0</v>
      </c>
      <c r="DA275" s="40">
        <v>0</v>
      </c>
      <c r="DB275" s="40">
        <v>0</v>
      </c>
      <c r="DD275" s="40">
        <v>2</v>
      </c>
      <c r="DI275" s="40" t="s">
        <v>0</v>
      </c>
    </row>
    <row r="276" spans="1:113" s="40" customFormat="1" ht="15.75" thickBot="1" x14ac:dyDescent="0.3">
      <c r="A276" s="40">
        <v>528363</v>
      </c>
      <c r="B276" s="40" t="s">
        <v>6</v>
      </c>
      <c r="C276" s="53" t="s">
        <v>674</v>
      </c>
      <c r="D276" s="40">
        <v>32</v>
      </c>
      <c r="E276" s="40">
        <v>0</v>
      </c>
      <c r="F276" s="40">
        <v>32</v>
      </c>
      <c r="G276" s="40">
        <v>464</v>
      </c>
      <c r="H276" s="40">
        <v>0</v>
      </c>
      <c r="I276" s="40">
        <v>125</v>
      </c>
      <c r="J276" s="54" t="s">
        <v>692</v>
      </c>
      <c r="K276" s="54" t="s">
        <v>693</v>
      </c>
      <c r="L276" s="56">
        <v>45966</v>
      </c>
      <c r="M276" s="40">
        <v>0</v>
      </c>
      <c r="N276" s="40">
        <v>0</v>
      </c>
      <c r="O276" s="40">
        <v>0</v>
      </c>
      <c r="S276" s="40" t="b">
        <v>0</v>
      </c>
      <c r="T276" s="40">
        <v>0.01</v>
      </c>
      <c r="U276" s="52">
        <v>2.7000000480000002</v>
      </c>
      <c r="V276" s="40">
        <v>0.01</v>
      </c>
      <c r="W276" s="40">
        <v>0</v>
      </c>
      <c r="X276" s="40">
        <v>1000</v>
      </c>
      <c r="Z276" s="40">
        <v>10</v>
      </c>
      <c r="AB276" s="52">
        <v>250</v>
      </c>
      <c r="AD276" s="40">
        <v>10</v>
      </c>
      <c r="AF276" s="40">
        <v>2000</v>
      </c>
      <c r="AG276" s="40">
        <v>2</v>
      </c>
      <c r="AH276" s="40">
        <v>2.710000038</v>
      </c>
      <c r="AI276" s="40">
        <v>461</v>
      </c>
      <c r="AJ276" s="40">
        <v>0</v>
      </c>
      <c r="AK276" s="40">
        <v>316</v>
      </c>
      <c r="AM276" s="40" t="s">
        <v>2</v>
      </c>
      <c r="AO276" s="40">
        <v>250</v>
      </c>
      <c r="AW276" s="40" t="b">
        <v>0</v>
      </c>
      <c r="BE276" s="244"/>
      <c r="BF276" s="40">
        <v>1</v>
      </c>
      <c r="BG276" s="40">
        <v>0.55000000000000004</v>
      </c>
      <c r="BH276" s="40">
        <v>1</v>
      </c>
      <c r="BI276" s="40">
        <v>0.55000000000000004</v>
      </c>
      <c r="BJ276" s="40">
        <v>0</v>
      </c>
      <c r="BM276" s="40" t="s">
        <v>1</v>
      </c>
      <c r="BN276" s="58">
        <v>32</v>
      </c>
      <c r="BO276" s="58" t="s">
        <v>677</v>
      </c>
      <c r="BP276" s="58">
        <v>250</v>
      </c>
      <c r="BT276" s="59"/>
      <c r="BU276" s="59"/>
      <c r="BV276" s="59"/>
      <c r="BW276" s="59"/>
      <c r="BX276" s="59"/>
      <c r="BY276" s="59"/>
      <c r="BZ276" s="59"/>
      <c r="CA276" s="59"/>
      <c r="CB276" s="59"/>
      <c r="CC276" s="59"/>
      <c r="CD276" s="59"/>
      <c r="CE276" s="60"/>
      <c r="CF276" s="44" t="s">
        <v>12</v>
      </c>
      <c r="CR276" s="40">
        <v>0</v>
      </c>
      <c r="CS276" s="40">
        <v>0</v>
      </c>
      <c r="CT276" s="40">
        <v>0</v>
      </c>
      <c r="CU276" s="40">
        <v>1</v>
      </c>
      <c r="CV276" s="40">
        <v>0</v>
      </c>
      <c r="CW276" s="40">
        <v>0</v>
      </c>
      <c r="CX276" s="40">
        <v>0</v>
      </c>
      <c r="CY276" s="40">
        <v>0</v>
      </c>
      <c r="CZ276" s="40">
        <v>0</v>
      </c>
      <c r="DA276" s="40">
        <v>0</v>
      </c>
      <c r="DB276" s="40">
        <v>0</v>
      </c>
      <c r="DD276" s="40">
        <v>2</v>
      </c>
      <c r="DI276" s="40" t="s">
        <v>0</v>
      </c>
    </row>
    <row r="277" spans="1:113" s="40" customFormat="1" ht="15.75" thickBot="1" x14ac:dyDescent="0.3">
      <c r="A277" s="40">
        <v>528364</v>
      </c>
      <c r="B277" s="40" t="s">
        <v>6</v>
      </c>
      <c r="C277" s="53" t="s">
        <v>674</v>
      </c>
      <c r="D277" s="40">
        <v>32</v>
      </c>
      <c r="E277" s="40">
        <v>0</v>
      </c>
      <c r="F277" s="40">
        <v>32</v>
      </c>
      <c r="G277" s="40">
        <v>465</v>
      </c>
      <c r="H277" s="40">
        <v>0</v>
      </c>
      <c r="I277" s="40">
        <v>125</v>
      </c>
      <c r="J277" s="54" t="s">
        <v>694</v>
      </c>
      <c r="K277" s="54" t="s">
        <v>695</v>
      </c>
      <c r="L277" s="56">
        <v>45966</v>
      </c>
      <c r="M277" s="40">
        <v>0</v>
      </c>
      <c r="N277" s="40">
        <v>0</v>
      </c>
      <c r="O277" s="40">
        <v>0</v>
      </c>
      <c r="S277" s="40" t="b">
        <v>0</v>
      </c>
      <c r="T277" s="40">
        <v>0.01</v>
      </c>
      <c r="U277" s="52">
        <v>2.7000000480000002</v>
      </c>
      <c r="V277" s="40">
        <v>0.01</v>
      </c>
      <c r="W277" s="40">
        <v>0</v>
      </c>
      <c r="X277" s="40">
        <v>1000</v>
      </c>
      <c r="Z277" s="40">
        <v>10</v>
      </c>
      <c r="AB277" s="52">
        <v>250</v>
      </c>
      <c r="AD277" s="40">
        <v>10</v>
      </c>
      <c r="AF277" s="40">
        <v>2000</v>
      </c>
      <c r="AG277" s="40">
        <v>2</v>
      </c>
      <c r="AH277" s="40">
        <v>2.710000038</v>
      </c>
      <c r="AI277" s="40">
        <v>461</v>
      </c>
      <c r="AJ277" s="40">
        <v>0</v>
      </c>
      <c r="AK277" s="40">
        <v>316</v>
      </c>
      <c r="AM277" s="40" t="s">
        <v>2</v>
      </c>
      <c r="AO277" s="40">
        <v>250</v>
      </c>
      <c r="AW277" s="40" t="b">
        <v>0</v>
      </c>
      <c r="BE277" s="244"/>
      <c r="BF277" s="40">
        <v>1</v>
      </c>
      <c r="BG277" s="40">
        <v>0.55000000000000004</v>
      </c>
      <c r="BH277" s="40">
        <v>1</v>
      </c>
      <c r="BI277" s="40">
        <v>0.55000000000000004</v>
      </c>
      <c r="BJ277" s="40">
        <v>0</v>
      </c>
      <c r="BM277" s="40" t="s">
        <v>1</v>
      </c>
      <c r="BN277" s="58">
        <v>32</v>
      </c>
      <c r="BO277" s="58" t="s">
        <v>677</v>
      </c>
      <c r="BP277" s="58">
        <v>250</v>
      </c>
      <c r="BT277" s="59"/>
      <c r="BU277" s="59"/>
      <c r="BV277" s="59"/>
      <c r="BW277" s="59"/>
      <c r="BX277" s="59"/>
      <c r="BY277" s="59"/>
      <c r="BZ277" s="59"/>
      <c r="CA277" s="59"/>
      <c r="CB277" s="59"/>
      <c r="CC277" s="59"/>
      <c r="CD277" s="59"/>
      <c r="CE277" s="60"/>
      <c r="CF277" s="44" t="s">
        <v>12</v>
      </c>
      <c r="CR277" s="40">
        <v>0</v>
      </c>
      <c r="CS277" s="40">
        <v>0</v>
      </c>
      <c r="CT277" s="40">
        <v>0</v>
      </c>
      <c r="CU277" s="40">
        <v>1</v>
      </c>
      <c r="CV277" s="40">
        <v>0</v>
      </c>
      <c r="CW277" s="40">
        <v>0</v>
      </c>
      <c r="CX277" s="40">
        <v>0</v>
      </c>
      <c r="CY277" s="40">
        <v>0</v>
      </c>
      <c r="CZ277" s="40">
        <v>0</v>
      </c>
      <c r="DA277" s="40">
        <v>0</v>
      </c>
      <c r="DB277" s="40">
        <v>0</v>
      </c>
      <c r="DD277" s="40">
        <v>2</v>
      </c>
      <c r="DI277" s="40" t="s">
        <v>0</v>
      </c>
    </row>
    <row r="278" spans="1:113" s="40" customFormat="1" ht="15.75" thickBot="1" x14ac:dyDescent="0.3">
      <c r="A278" s="40">
        <v>528331</v>
      </c>
      <c r="B278" s="40" t="s">
        <v>6</v>
      </c>
      <c r="C278" s="53" t="s">
        <v>674</v>
      </c>
      <c r="D278" s="40">
        <v>32</v>
      </c>
      <c r="E278" s="40">
        <v>0</v>
      </c>
      <c r="F278" s="40">
        <v>32</v>
      </c>
      <c r="G278" s="40">
        <v>432</v>
      </c>
      <c r="H278" s="40">
        <v>0</v>
      </c>
      <c r="I278" s="40">
        <v>125</v>
      </c>
      <c r="J278" s="54" t="s">
        <v>696</v>
      </c>
      <c r="K278" s="54" t="s">
        <v>697</v>
      </c>
      <c r="L278" s="56">
        <v>45966</v>
      </c>
      <c r="M278" s="40">
        <v>0</v>
      </c>
      <c r="N278" s="40">
        <v>0</v>
      </c>
      <c r="O278" s="40">
        <v>0</v>
      </c>
      <c r="S278" s="40" t="b">
        <v>0</v>
      </c>
      <c r="T278" s="40">
        <v>0.01</v>
      </c>
      <c r="U278" s="52">
        <v>2.7000000480000002</v>
      </c>
      <c r="V278" s="40">
        <v>0.01</v>
      </c>
      <c r="W278" s="40">
        <v>0</v>
      </c>
      <c r="X278" s="40">
        <v>1000</v>
      </c>
      <c r="Z278" s="40">
        <v>10</v>
      </c>
      <c r="AB278" s="52">
        <v>250</v>
      </c>
      <c r="AD278" s="40">
        <v>10</v>
      </c>
      <c r="AF278" s="40">
        <v>2000</v>
      </c>
      <c r="AG278" s="40">
        <v>2</v>
      </c>
      <c r="AH278" s="40">
        <v>2.7200000289999999</v>
      </c>
      <c r="AI278" s="40">
        <v>457</v>
      </c>
      <c r="AJ278" s="40">
        <v>0</v>
      </c>
      <c r="AK278" s="40">
        <v>315</v>
      </c>
      <c r="AM278" s="40" t="s">
        <v>2</v>
      </c>
      <c r="AO278" s="40">
        <v>250</v>
      </c>
      <c r="AW278" s="40" t="b">
        <v>0</v>
      </c>
      <c r="BE278" s="244"/>
      <c r="BF278" s="40">
        <v>1</v>
      </c>
      <c r="BG278" s="40">
        <v>0.55000000000000004</v>
      </c>
      <c r="BH278" s="40">
        <v>1</v>
      </c>
      <c r="BI278" s="40">
        <v>0.55000000000000004</v>
      </c>
      <c r="BJ278" s="40">
        <v>0</v>
      </c>
      <c r="BM278" s="40" t="s">
        <v>1</v>
      </c>
      <c r="BN278" s="58">
        <v>32</v>
      </c>
      <c r="BO278" s="58" t="s">
        <v>677</v>
      </c>
      <c r="BP278" s="58">
        <v>250</v>
      </c>
      <c r="BT278" s="59"/>
      <c r="BU278" s="59"/>
      <c r="BV278" s="59"/>
      <c r="BW278" s="59"/>
      <c r="BX278" s="59"/>
      <c r="BY278" s="59"/>
      <c r="BZ278" s="59"/>
      <c r="CA278" s="59"/>
      <c r="CB278" s="59"/>
      <c r="CC278" s="59"/>
      <c r="CD278" s="59"/>
      <c r="CE278" s="60"/>
      <c r="CF278" s="44" t="s">
        <v>12</v>
      </c>
      <c r="CR278" s="40">
        <v>0</v>
      </c>
      <c r="CS278" s="40">
        <v>0</v>
      </c>
      <c r="CT278" s="40">
        <v>0</v>
      </c>
      <c r="CU278" s="40">
        <v>1</v>
      </c>
      <c r="CV278" s="40">
        <v>0</v>
      </c>
      <c r="CW278" s="40">
        <v>0</v>
      </c>
      <c r="CX278" s="40">
        <v>0</v>
      </c>
      <c r="CY278" s="40">
        <v>0</v>
      </c>
      <c r="CZ278" s="40">
        <v>0</v>
      </c>
      <c r="DA278" s="40">
        <v>0</v>
      </c>
      <c r="DB278" s="40">
        <v>0</v>
      </c>
      <c r="DD278" s="40">
        <v>2</v>
      </c>
      <c r="DI278" s="40" t="s">
        <v>0</v>
      </c>
    </row>
    <row r="279" spans="1:113" s="40" customFormat="1" ht="15.75" thickBot="1" x14ac:dyDescent="0.3">
      <c r="A279" s="40">
        <v>528332</v>
      </c>
      <c r="B279" s="40" t="s">
        <v>6</v>
      </c>
      <c r="C279" s="53" t="s">
        <v>674</v>
      </c>
      <c r="D279" s="40">
        <v>32</v>
      </c>
      <c r="E279" s="40">
        <v>0</v>
      </c>
      <c r="F279" s="40">
        <v>32</v>
      </c>
      <c r="G279" s="40">
        <v>433</v>
      </c>
      <c r="H279" s="40">
        <v>0</v>
      </c>
      <c r="I279" s="40">
        <v>125</v>
      </c>
      <c r="J279" s="54" t="s">
        <v>698</v>
      </c>
      <c r="K279" s="54" t="s">
        <v>699</v>
      </c>
      <c r="L279" s="56">
        <v>45966</v>
      </c>
      <c r="M279" s="40">
        <v>0</v>
      </c>
      <c r="N279" s="40">
        <v>0</v>
      </c>
      <c r="O279" s="40">
        <v>0</v>
      </c>
      <c r="S279" s="40" t="b">
        <v>0</v>
      </c>
      <c r="T279" s="40">
        <v>0.01</v>
      </c>
      <c r="U279" s="52">
        <v>2.7000000480000002</v>
      </c>
      <c r="V279" s="40">
        <v>0.01</v>
      </c>
      <c r="W279" s="40">
        <v>0</v>
      </c>
      <c r="X279" s="40">
        <v>1000</v>
      </c>
      <c r="Z279" s="40">
        <v>10</v>
      </c>
      <c r="AB279" s="52">
        <v>250</v>
      </c>
      <c r="AD279" s="40">
        <v>10</v>
      </c>
      <c r="AF279" s="40">
        <v>2000</v>
      </c>
      <c r="AG279" s="40">
        <v>2</v>
      </c>
      <c r="AH279" s="40">
        <v>2.7200000289999999</v>
      </c>
      <c r="AI279" s="40">
        <v>457</v>
      </c>
      <c r="AJ279" s="40">
        <v>0</v>
      </c>
      <c r="AK279" s="40">
        <v>313</v>
      </c>
      <c r="AM279" s="40" t="s">
        <v>2</v>
      </c>
      <c r="AO279" s="40">
        <v>250</v>
      </c>
      <c r="AW279" s="40" t="b">
        <v>0</v>
      </c>
      <c r="BE279" s="244"/>
      <c r="BF279" s="40">
        <v>1</v>
      </c>
      <c r="BG279" s="40">
        <v>0.55000000000000004</v>
      </c>
      <c r="BH279" s="40">
        <v>1</v>
      </c>
      <c r="BI279" s="40">
        <v>0.55000000000000004</v>
      </c>
      <c r="BJ279" s="40">
        <v>0</v>
      </c>
      <c r="BM279" s="40" t="s">
        <v>1</v>
      </c>
      <c r="BN279" s="58">
        <v>32</v>
      </c>
      <c r="BO279" s="58" t="s">
        <v>677</v>
      </c>
      <c r="BP279" s="58">
        <v>250</v>
      </c>
      <c r="BT279" s="59"/>
      <c r="BU279" s="59"/>
      <c r="BV279" s="59"/>
      <c r="BW279" s="59"/>
      <c r="BX279" s="59"/>
      <c r="BY279" s="59"/>
      <c r="BZ279" s="59"/>
      <c r="CA279" s="59"/>
      <c r="CB279" s="59"/>
      <c r="CC279" s="59"/>
      <c r="CD279" s="59"/>
      <c r="CE279" s="60"/>
      <c r="CF279" s="44" t="s">
        <v>12</v>
      </c>
      <c r="CR279" s="40">
        <v>0</v>
      </c>
      <c r="CS279" s="40">
        <v>0</v>
      </c>
      <c r="CT279" s="40">
        <v>0</v>
      </c>
      <c r="CU279" s="40">
        <v>1</v>
      </c>
      <c r="CV279" s="40">
        <v>0</v>
      </c>
      <c r="CW279" s="40">
        <v>0</v>
      </c>
      <c r="CX279" s="40">
        <v>0</v>
      </c>
      <c r="CY279" s="40">
        <v>0</v>
      </c>
      <c r="CZ279" s="40">
        <v>0</v>
      </c>
      <c r="DA279" s="40">
        <v>0</v>
      </c>
      <c r="DB279" s="40">
        <v>0</v>
      </c>
      <c r="DD279" s="40">
        <v>2</v>
      </c>
      <c r="DI279" s="40" t="s">
        <v>0</v>
      </c>
    </row>
    <row r="280" spans="1:113" s="40" customFormat="1" ht="15.75" thickBot="1" x14ac:dyDescent="0.3">
      <c r="A280" s="40">
        <v>528297</v>
      </c>
      <c r="B280" s="40" t="s">
        <v>6</v>
      </c>
      <c r="C280" s="53" t="s">
        <v>674</v>
      </c>
      <c r="D280" s="40">
        <v>32</v>
      </c>
      <c r="E280" s="40">
        <v>0</v>
      </c>
      <c r="F280" s="40">
        <v>32</v>
      </c>
      <c r="G280" s="40">
        <v>398</v>
      </c>
      <c r="H280" s="40">
        <v>0</v>
      </c>
      <c r="I280" s="40">
        <v>125</v>
      </c>
      <c r="J280" s="54" t="s">
        <v>700</v>
      </c>
      <c r="K280" s="54" t="s">
        <v>701</v>
      </c>
      <c r="L280" s="56">
        <v>45966</v>
      </c>
      <c r="M280" s="40">
        <v>0</v>
      </c>
      <c r="N280" s="40">
        <v>0</v>
      </c>
      <c r="O280" s="40">
        <v>0</v>
      </c>
      <c r="S280" s="40" t="b">
        <v>0</v>
      </c>
      <c r="T280" s="40">
        <v>0.01</v>
      </c>
      <c r="U280" s="52">
        <v>2.7000000480000002</v>
      </c>
      <c r="V280" s="40">
        <v>0.01</v>
      </c>
      <c r="W280" s="40">
        <v>0</v>
      </c>
      <c r="X280" s="40">
        <v>1000</v>
      </c>
      <c r="Z280" s="40">
        <v>10</v>
      </c>
      <c r="AB280" s="52">
        <v>250</v>
      </c>
      <c r="AD280" s="40">
        <v>10</v>
      </c>
      <c r="AF280" s="40">
        <v>2000</v>
      </c>
      <c r="AG280" s="40">
        <v>2</v>
      </c>
      <c r="AH280" s="40">
        <v>2.7200000289999999</v>
      </c>
      <c r="AI280" s="40">
        <v>461</v>
      </c>
      <c r="AJ280" s="40">
        <v>0</v>
      </c>
      <c r="AK280" s="40">
        <v>318</v>
      </c>
      <c r="AM280" s="40" t="s">
        <v>2</v>
      </c>
      <c r="AO280" s="40">
        <v>250</v>
      </c>
      <c r="AW280" s="40" t="b">
        <v>0</v>
      </c>
      <c r="BE280" s="244"/>
      <c r="BF280" s="40">
        <v>1</v>
      </c>
      <c r="BG280" s="40">
        <v>0.55000000000000004</v>
      </c>
      <c r="BH280" s="40">
        <v>1</v>
      </c>
      <c r="BI280" s="40">
        <v>0.55000000000000004</v>
      </c>
      <c r="BJ280" s="40">
        <v>0</v>
      </c>
      <c r="BM280" s="40" t="s">
        <v>1</v>
      </c>
      <c r="BN280" s="58">
        <v>32</v>
      </c>
      <c r="BO280" s="58" t="s">
        <v>677</v>
      </c>
      <c r="BP280" s="58">
        <v>250</v>
      </c>
      <c r="BT280" s="59"/>
      <c r="BU280" s="59"/>
      <c r="BV280" s="59"/>
      <c r="BW280" s="59"/>
      <c r="BX280" s="59"/>
      <c r="BY280" s="59"/>
      <c r="BZ280" s="59"/>
      <c r="CA280" s="59"/>
      <c r="CB280" s="59"/>
      <c r="CC280" s="59"/>
      <c r="CD280" s="59"/>
      <c r="CE280" s="60"/>
      <c r="CF280" s="44" t="s">
        <v>12</v>
      </c>
      <c r="CR280" s="40">
        <v>0</v>
      </c>
      <c r="CS280" s="40">
        <v>0</v>
      </c>
      <c r="CT280" s="40">
        <v>0</v>
      </c>
      <c r="CU280" s="40">
        <v>1</v>
      </c>
      <c r="CV280" s="40">
        <v>0</v>
      </c>
      <c r="CW280" s="40">
        <v>0</v>
      </c>
      <c r="CX280" s="40">
        <v>0</v>
      </c>
      <c r="CY280" s="40">
        <v>0</v>
      </c>
      <c r="CZ280" s="40">
        <v>0</v>
      </c>
      <c r="DA280" s="40">
        <v>0</v>
      </c>
      <c r="DB280" s="40">
        <v>0</v>
      </c>
      <c r="DD280" s="40">
        <v>2</v>
      </c>
      <c r="DI280" s="40" t="s">
        <v>0</v>
      </c>
    </row>
    <row r="281" spans="1:113" s="40" customFormat="1" ht="15.75" thickBot="1" x14ac:dyDescent="0.3">
      <c r="A281" s="40">
        <v>528298</v>
      </c>
      <c r="B281" s="40" t="s">
        <v>6</v>
      </c>
      <c r="C281" s="53" t="s">
        <v>674</v>
      </c>
      <c r="D281" s="40">
        <v>32</v>
      </c>
      <c r="E281" s="40">
        <v>0</v>
      </c>
      <c r="F281" s="40">
        <v>32</v>
      </c>
      <c r="G281" s="40">
        <v>399</v>
      </c>
      <c r="H281" s="40">
        <v>0</v>
      </c>
      <c r="I281" s="40">
        <v>125</v>
      </c>
      <c r="J281" s="54" t="s">
        <v>702</v>
      </c>
      <c r="K281" s="54" t="s">
        <v>703</v>
      </c>
      <c r="L281" s="56">
        <v>45966</v>
      </c>
      <c r="M281" s="40">
        <v>0</v>
      </c>
      <c r="N281" s="40">
        <v>0</v>
      </c>
      <c r="O281" s="40">
        <v>0</v>
      </c>
      <c r="S281" s="40" t="b">
        <v>0</v>
      </c>
      <c r="T281" s="40">
        <v>0.01</v>
      </c>
      <c r="U281" s="52">
        <v>2.7000000480000002</v>
      </c>
      <c r="V281" s="40">
        <v>0.01</v>
      </c>
      <c r="W281" s="40">
        <v>0</v>
      </c>
      <c r="X281" s="40">
        <v>1000</v>
      </c>
      <c r="Z281" s="40">
        <v>10</v>
      </c>
      <c r="AB281" s="52">
        <v>250</v>
      </c>
      <c r="AD281" s="40">
        <v>10</v>
      </c>
      <c r="AF281" s="40">
        <v>2000</v>
      </c>
      <c r="AG281" s="40">
        <v>2</v>
      </c>
      <c r="AH281" s="40">
        <v>2.7200000289999999</v>
      </c>
      <c r="AI281" s="40">
        <v>470</v>
      </c>
      <c r="AJ281" s="40">
        <v>0</v>
      </c>
      <c r="AK281" s="40">
        <v>324</v>
      </c>
      <c r="AM281" s="40" t="s">
        <v>2</v>
      </c>
      <c r="AO281" s="40">
        <v>250</v>
      </c>
      <c r="AW281" s="40" t="b">
        <v>0</v>
      </c>
      <c r="BE281" s="244"/>
      <c r="BF281" s="40">
        <v>1</v>
      </c>
      <c r="BG281" s="40">
        <v>0.55000000000000004</v>
      </c>
      <c r="BH281" s="40">
        <v>1</v>
      </c>
      <c r="BI281" s="40">
        <v>0.55000000000000004</v>
      </c>
      <c r="BJ281" s="40">
        <v>0</v>
      </c>
      <c r="BM281" s="40" t="s">
        <v>1</v>
      </c>
      <c r="BN281" s="58">
        <v>32</v>
      </c>
      <c r="BO281" s="58" t="s">
        <v>677</v>
      </c>
      <c r="BP281" s="58">
        <v>250</v>
      </c>
      <c r="BT281" s="59"/>
      <c r="BU281" s="59"/>
      <c r="BV281" s="59"/>
      <c r="BW281" s="59"/>
      <c r="BX281" s="59"/>
      <c r="BY281" s="59"/>
      <c r="BZ281" s="59"/>
      <c r="CA281" s="59"/>
      <c r="CB281" s="59"/>
      <c r="CC281" s="59"/>
      <c r="CD281" s="59"/>
      <c r="CE281" s="60"/>
      <c r="CF281" s="44" t="s">
        <v>12</v>
      </c>
      <c r="CR281" s="40">
        <v>0</v>
      </c>
      <c r="CS281" s="40">
        <v>0</v>
      </c>
      <c r="CT281" s="40">
        <v>0</v>
      </c>
      <c r="CU281" s="40">
        <v>1</v>
      </c>
      <c r="CV281" s="40">
        <v>0</v>
      </c>
      <c r="CW281" s="40">
        <v>0</v>
      </c>
      <c r="CX281" s="40">
        <v>0</v>
      </c>
      <c r="CY281" s="40">
        <v>0</v>
      </c>
      <c r="CZ281" s="40">
        <v>0</v>
      </c>
      <c r="DA281" s="40">
        <v>0</v>
      </c>
      <c r="DB281" s="40">
        <v>0</v>
      </c>
      <c r="DD281" s="40">
        <v>2</v>
      </c>
      <c r="DI281" s="40" t="s">
        <v>0</v>
      </c>
    </row>
    <row r="282" spans="1:113" s="40" customFormat="1" ht="15.75" thickBot="1" x14ac:dyDescent="0.3">
      <c r="A282" s="40">
        <v>528299</v>
      </c>
      <c r="B282" s="40" t="s">
        <v>6</v>
      </c>
      <c r="C282" s="53" t="s">
        <v>674</v>
      </c>
      <c r="D282" s="40">
        <v>32</v>
      </c>
      <c r="E282" s="40">
        <v>0</v>
      </c>
      <c r="F282" s="40">
        <v>32</v>
      </c>
      <c r="G282" s="40">
        <v>400</v>
      </c>
      <c r="H282" s="40">
        <v>0</v>
      </c>
      <c r="I282" s="40">
        <v>125</v>
      </c>
      <c r="J282" s="54" t="s">
        <v>704</v>
      </c>
      <c r="K282" s="54" t="s">
        <v>705</v>
      </c>
      <c r="L282" s="56">
        <v>45966</v>
      </c>
      <c r="M282" s="40">
        <v>0</v>
      </c>
      <c r="N282" s="40">
        <v>0</v>
      </c>
      <c r="O282" s="40">
        <v>0</v>
      </c>
      <c r="S282" s="40" t="b">
        <v>0</v>
      </c>
      <c r="T282" s="40">
        <v>0.01</v>
      </c>
      <c r="U282" s="52">
        <v>2.7000000480000002</v>
      </c>
      <c r="V282" s="40">
        <v>0.01</v>
      </c>
      <c r="W282" s="40">
        <v>0</v>
      </c>
      <c r="X282" s="40">
        <v>1000</v>
      </c>
      <c r="Z282" s="40">
        <v>10</v>
      </c>
      <c r="AB282" s="52">
        <v>250</v>
      </c>
      <c r="AD282" s="40">
        <v>10</v>
      </c>
      <c r="AF282" s="40">
        <v>2000</v>
      </c>
      <c r="AG282" s="40">
        <v>2</v>
      </c>
      <c r="AH282" s="40">
        <v>2.7200000289999999</v>
      </c>
      <c r="AI282" s="40">
        <v>457</v>
      </c>
      <c r="AJ282" s="40">
        <v>0</v>
      </c>
      <c r="AK282" s="40">
        <v>313</v>
      </c>
      <c r="AM282" s="40" t="s">
        <v>2</v>
      </c>
      <c r="AO282" s="40">
        <v>250</v>
      </c>
      <c r="AW282" s="40" t="b">
        <v>0</v>
      </c>
      <c r="BE282" s="244"/>
      <c r="BF282" s="40">
        <v>1</v>
      </c>
      <c r="BG282" s="40">
        <v>0.55000000000000004</v>
      </c>
      <c r="BH282" s="40">
        <v>1</v>
      </c>
      <c r="BI282" s="40">
        <v>0.55000000000000004</v>
      </c>
      <c r="BJ282" s="40">
        <v>0</v>
      </c>
      <c r="BM282" s="40" t="s">
        <v>1</v>
      </c>
      <c r="BN282" s="58">
        <v>32</v>
      </c>
      <c r="BO282" s="58" t="s">
        <v>677</v>
      </c>
      <c r="BP282" s="58">
        <v>250</v>
      </c>
      <c r="BT282" s="59"/>
      <c r="BU282" s="59"/>
      <c r="BV282" s="59"/>
      <c r="BW282" s="59"/>
      <c r="BX282" s="59"/>
      <c r="BY282" s="59"/>
      <c r="BZ282" s="59"/>
      <c r="CA282" s="59"/>
      <c r="CB282" s="59"/>
      <c r="CC282" s="59"/>
      <c r="CD282" s="59"/>
      <c r="CE282" s="60"/>
      <c r="CF282" s="44" t="s">
        <v>12</v>
      </c>
      <c r="CR282" s="40">
        <v>0</v>
      </c>
      <c r="CS282" s="40">
        <v>0</v>
      </c>
      <c r="CT282" s="40">
        <v>0</v>
      </c>
      <c r="CU282" s="40">
        <v>1</v>
      </c>
      <c r="CV282" s="40">
        <v>0</v>
      </c>
      <c r="CW282" s="40">
        <v>0</v>
      </c>
      <c r="CX282" s="40">
        <v>0</v>
      </c>
      <c r="CY282" s="40">
        <v>0</v>
      </c>
      <c r="CZ282" s="40">
        <v>0</v>
      </c>
      <c r="DA282" s="40">
        <v>0</v>
      </c>
      <c r="DB282" s="40">
        <v>0</v>
      </c>
      <c r="DD282" s="40">
        <v>2</v>
      </c>
      <c r="DI282" s="40" t="s">
        <v>0</v>
      </c>
    </row>
    <row r="283" spans="1:113" s="40" customFormat="1" ht="15.75" thickBot="1" x14ac:dyDescent="0.3">
      <c r="A283" s="40">
        <v>528300</v>
      </c>
      <c r="B283" s="40" t="s">
        <v>6</v>
      </c>
      <c r="C283" s="53" t="s">
        <v>674</v>
      </c>
      <c r="D283" s="40">
        <v>32</v>
      </c>
      <c r="E283" s="40">
        <v>0</v>
      </c>
      <c r="F283" s="40">
        <v>32</v>
      </c>
      <c r="G283" s="40">
        <v>401</v>
      </c>
      <c r="H283" s="40">
        <v>0</v>
      </c>
      <c r="I283" s="40">
        <v>125</v>
      </c>
      <c r="J283" s="54" t="s">
        <v>706</v>
      </c>
      <c r="K283" s="54" t="s">
        <v>707</v>
      </c>
      <c r="L283" s="56">
        <v>45966</v>
      </c>
      <c r="M283" s="40">
        <v>0</v>
      </c>
      <c r="N283" s="40">
        <v>0</v>
      </c>
      <c r="O283" s="40">
        <v>0</v>
      </c>
      <c r="S283" s="40" t="b">
        <v>0</v>
      </c>
      <c r="T283" s="40">
        <v>0.01</v>
      </c>
      <c r="U283" s="52">
        <v>2.7000000480000002</v>
      </c>
      <c r="V283" s="40">
        <v>0.01</v>
      </c>
      <c r="W283" s="40">
        <v>0</v>
      </c>
      <c r="X283" s="40">
        <v>1000</v>
      </c>
      <c r="Z283" s="40">
        <v>10</v>
      </c>
      <c r="AB283" s="52">
        <v>250</v>
      </c>
      <c r="AD283" s="40">
        <v>10</v>
      </c>
      <c r="AF283" s="40">
        <v>2000</v>
      </c>
      <c r="AG283" s="40">
        <v>2</v>
      </c>
      <c r="AH283" s="40">
        <v>2.710000038</v>
      </c>
      <c r="AI283" s="40">
        <v>453</v>
      </c>
      <c r="AJ283" s="40">
        <v>0</v>
      </c>
      <c r="AK283" s="40">
        <v>311</v>
      </c>
      <c r="AM283" s="40" t="s">
        <v>2</v>
      </c>
      <c r="AO283" s="40">
        <v>250</v>
      </c>
      <c r="AW283" s="40" t="b">
        <v>0</v>
      </c>
      <c r="BE283" s="244"/>
      <c r="BF283" s="40">
        <v>1</v>
      </c>
      <c r="BG283" s="40">
        <v>0.55000000000000004</v>
      </c>
      <c r="BH283" s="40">
        <v>1</v>
      </c>
      <c r="BI283" s="40">
        <v>0.55000000000000004</v>
      </c>
      <c r="BJ283" s="40">
        <v>0</v>
      </c>
      <c r="BM283" s="40" t="s">
        <v>1</v>
      </c>
      <c r="BN283" s="58">
        <v>32</v>
      </c>
      <c r="BO283" s="58" t="s">
        <v>677</v>
      </c>
      <c r="BP283" s="58">
        <v>250</v>
      </c>
      <c r="BT283" s="59"/>
      <c r="BU283" s="59"/>
      <c r="BV283" s="59"/>
      <c r="BW283" s="59"/>
      <c r="BX283" s="59"/>
      <c r="BY283" s="59"/>
      <c r="BZ283" s="59"/>
      <c r="CA283" s="59"/>
      <c r="CB283" s="59"/>
      <c r="CC283" s="59"/>
      <c r="CD283" s="59"/>
      <c r="CE283" s="60"/>
      <c r="CF283" s="44" t="s">
        <v>12</v>
      </c>
      <c r="CR283" s="40">
        <v>0</v>
      </c>
      <c r="CS283" s="40">
        <v>0</v>
      </c>
      <c r="CT283" s="40">
        <v>0</v>
      </c>
      <c r="CU283" s="40">
        <v>1</v>
      </c>
      <c r="CV283" s="40">
        <v>0</v>
      </c>
      <c r="CW283" s="40">
        <v>0</v>
      </c>
      <c r="CX283" s="40">
        <v>0</v>
      </c>
      <c r="CY283" s="40">
        <v>0</v>
      </c>
      <c r="CZ283" s="40">
        <v>0</v>
      </c>
      <c r="DA283" s="40">
        <v>0</v>
      </c>
      <c r="DB283" s="40">
        <v>0</v>
      </c>
      <c r="DD283" s="40">
        <v>2</v>
      </c>
      <c r="DI283" s="40" t="s">
        <v>0</v>
      </c>
    </row>
    <row r="284" spans="1:113" s="40" customFormat="1" ht="15.75" thickBot="1" x14ac:dyDescent="0.3">
      <c r="A284" s="40">
        <v>528301</v>
      </c>
      <c r="B284" s="40" t="s">
        <v>6</v>
      </c>
      <c r="C284" s="53" t="s">
        <v>674</v>
      </c>
      <c r="D284" s="40">
        <v>32</v>
      </c>
      <c r="E284" s="40">
        <v>0</v>
      </c>
      <c r="F284" s="40">
        <v>32</v>
      </c>
      <c r="G284" s="40">
        <v>402</v>
      </c>
      <c r="H284" s="40">
        <v>0</v>
      </c>
      <c r="I284" s="40">
        <v>125</v>
      </c>
      <c r="J284" s="54" t="s">
        <v>708</v>
      </c>
      <c r="K284" s="54" t="s">
        <v>709</v>
      </c>
      <c r="L284" s="56">
        <v>45966</v>
      </c>
      <c r="M284" s="40">
        <v>0</v>
      </c>
      <c r="N284" s="40">
        <v>0</v>
      </c>
      <c r="O284" s="40">
        <v>0</v>
      </c>
      <c r="S284" s="40" t="b">
        <v>0</v>
      </c>
      <c r="T284" s="40">
        <v>0.01</v>
      </c>
      <c r="U284" s="52">
        <v>2.7000000480000002</v>
      </c>
      <c r="V284" s="40">
        <v>0.01</v>
      </c>
      <c r="W284" s="40">
        <v>0</v>
      </c>
      <c r="X284" s="40">
        <v>1000</v>
      </c>
      <c r="Z284" s="40">
        <v>10</v>
      </c>
      <c r="AB284" s="52">
        <v>250</v>
      </c>
      <c r="AD284" s="40">
        <v>10</v>
      </c>
      <c r="AF284" s="40">
        <v>2000</v>
      </c>
      <c r="AG284" s="40">
        <v>2</v>
      </c>
      <c r="AH284" s="40">
        <v>2.7200000289999999</v>
      </c>
      <c r="AI284" s="40">
        <v>457</v>
      </c>
      <c r="AJ284" s="40">
        <v>0</v>
      </c>
      <c r="AK284" s="40">
        <v>313</v>
      </c>
      <c r="AM284" s="40" t="s">
        <v>2</v>
      </c>
      <c r="AO284" s="40">
        <v>250</v>
      </c>
      <c r="AW284" s="40" t="b">
        <v>0</v>
      </c>
      <c r="BE284" s="244"/>
      <c r="BF284" s="40">
        <v>1</v>
      </c>
      <c r="BG284" s="40">
        <v>0.55000000000000004</v>
      </c>
      <c r="BH284" s="40">
        <v>1</v>
      </c>
      <c r="BI284" s="40">
        <v>0.55000000000000004</v>
      </c>
      <c r="BJ284" s="40">
        <v>0</v>
      </c>
      <c r="BM284" s="40" t="s">
        <v>1</v>
      </c>
      <c r="BN284" s="58">
        <v>32</v>
      </c>
      <c r="BO284" s="58" t="s">
        <v>677</v>
      </c>
      <c r="BP284" s="58">
        <v>250</v>
      </c>
      <c r="BT284" s="59"/>
      <c r="BU284" s="59"/>
      <c r="BV284" s="59"/>
      <c r="BW284" s="59"/>
      <c r="BX284" s="59"/>
      <c r="BY284" s="59"/>
      <c r="BZ284" s="59"/>
      <c r="CA284" s="59"/>
      <c r="CB284" s="59"/>
      <c r="CC284" s="59"/>
      <c r="CD284" s="59"/>
      <c r="CE284" s="60"/>
      <c r="CF284" s="44" t="s">
        <v>12</v>
      </c>
      <c r="CR284" s="40">
        <v>0</v>
      </c>
      <c r="CS284" s="40">
        <v>0</v>
      </c>
      <c r="CT284" s="40">
        <v>0</v>
      </c>
      <c r="CU284" s="40">
        <v>1</v>
      </c>
      <c r="CV284" s="40">
        <v>0</v>
      </c>
      <c r="CW284" s="40">
        <v>0</v>
      </c>
      <c r="CX284" s="40">
        <v>0</v>
      </c>
      <c r="CY284" s="40">
        <v>0</v>
      </c>
      <c r="CZ284" s="40">
        <v>0</v>
      </c>
      <c r="DA284" s="40">
        <v>0</v>
      </c>
      <c r="DB284" s="40">
        <v>0</v>
      </c>
      <c r="DD284" s="40">
        <v>2</v>
      </c>
      <c r="DI284" s="40" t="s">
        <v>0</v>
      </c>
    </row>
    <row r="285" spans="1:113" s="40" customFormat="1" ht="15.75" thickBot="1" x14ac:dyDescent="0.3">
      <c r="A285" s="40">
        <v>528302</v>
      </c>
      <c r="B285" s="40" t="s">
        <v>6</v>
      </c>
      <c r="C285" s="53" t="s">
        <v>674</v>
      </c>
      <c r="D285" s="40">
        <v>32</v>
      </c>
      <c r="E285" s="40">
        <v>0</v>
      </c>
      <c r="F285" s="40">
        <v>32</v>
      </c>
      <c r="G285" s="40">
        <v>403</v>
      </c>
      <c r="H285" s="40">
        <v>0</v>
      </c>
      <c r="I285" s="40">
        <v>125</v>
      </c>
      <c r="J285" s="54" t="s">
        <v>710</v>
      </c>
      <c r="K285" s="54" t="s">
        <v>711</v>
      </c>
      <c r="L285" s="56">
        <v>45966</v>
      </c>
      <c r="M285" s="40">
        <v>0</v>
      </c>
      <c r="N285" s="40">
        <v>0</v>
      </c>
      <c r="O285" s="40">
        <v>0</v>
      </c>
      <c r="S285" s="40" t="b">
        <v>0</v>
      </c>
      <c r="T285" s="40">
        <v>0.01</v>
      </c>
      <c r="U285" s="52">
        <v>2.7000000480000002</v>
      </c>
      <c r="V285" s="40">
        <v>0.01</v>
      </c>
      <c r="W285" s="40">
        <v>0</v>
      </c>
      <c r="X285" s="40">
        <v>1000</v>
      </c>
      <c r="Z285" s="40">
        <v>10</v>
      </c>
      <c r="AB285" s="52">
        <v>250</v>
      </c>
      <c r="AD285" s="40">
        <v>10</v>
      </c>
      <c r="AF285" s="40">
        <v>2000</v>
      </c>
      <c r="AG285" s="40">
        <v>2</v>
      </c>
      <c r="AH285" s="40">
        <v>2.7200000289999999</v>
      </c>
      <c r="AI285" s="40">
        <v>457</v>
      </c>
      <c r="AJ285" s="40">
        <v>0</v>
      </c>
      <c r="AK285" s="40">
        <v>313</v>
      </c>
      <c r="AM285" s="40" t="s">
        <v>2</v>
      </c>
      <c r="AO285" s="40">
        <v>250</v>
      </c>
      <c r="AW285" s="40" t="b">
        <v>0</v>
      </c>
      <c r="BE285" s="244"/>
      <c r="BF285" s="40">
        <v>1</v>
      </c>
      <c r="BG285" s="40">
        <v>0.55000000000000004</v>
      </c>
      <c r="BH285" s="40">
        <v>1</v>
      </c>
      <c r="BI285" s="40">
        <v>0.55000000000000004</v>
      </c>
      <c r="BJ285" s="40">
        <v>0</v>
      </c>
      <c r="BM285" s="40" t="s">
        <v>1</v>
      </c>
      <c r="BN285" s="58">
        <v>32</v>
      </c>
      <c r="BO285" s="58" t="s">
        <v>677</v>
      </c>
      <c r="BP285" s="58">
        <v>250</v>
      </c>
      <c r="BT285" s="59"/>
      <c r="BU285" s="59"/>
      <c r="BV285" s="59"/>
      <c r="BW285" s="59"/>
      <c r="BX285" s="59"/>
      <c r="BY285" s="59"/>
      <c r="BZ285" s="59"/>
      <c r="CA285" s="59"/>
      <c r="CB285" s="59"/>
      <c r="CC285" s="59"/>
      <c r="CD285" s="59"/>
      <c r="CE285" s="60"/>
      <c r="CF285" s="44" t="s">
        <v>12</v>
      </c>
      <c r="CR285" s="40">
        <v>0</v>
      </c>
      <c r="CS285" s="40">
        <v>0</v>
      </c>
      <c r="CT285" s="40">
        <v>0</v>
      </c>
      <c r="CU285" s="40">
        <v>1</v>
      </c>
      <c r="CV285" s="40">
        <v>0</v>
      </c>
      <c r="CW285" s="40">
        <v>0</v>
      </c>
      <c r="CX285" s="40">
        <v>0</v>
      </c>
      <c r="CY285" s="40">
        <v>0</v>
      </c>
      <c r="CZ285" s="40">
        <v>0</v>
      </c>
      <c r="DA285" s="40">
        <v>0</v>
      </c>
      <c r="DB285" s="40">
        <v>0</v>
      </c>
      <c r="DD285" s="40">
        <v>2</v>
      </c>
      <c r="DI285" s="40" t="s">
        <v>0</v>
      </c>
    </row>
    <row r="286" spans="1:113" s="40" customFormat="1" ht="15.75" thickBot="1" x14ac:dyDescent="0.3">
      <c r="A286" s="40">
        <v>528269</v>
      </c>
      <c r="B286" s="40" t="s">
        <v>6</v>
      </c>
      <c r="C286" s="53" t="s">
        <v>674</v>
      </c>
      <c r="D286" s="40">
        <v>32</v>
      </c>
      <c r="E286" s="40">
        <v>0</v>
      </c>
      <c r="F286" s="40">
        <v>32</v>
      </c>
      <c r="G286" s="40">
        <v>370</v>
      </c>
      <c r="H286" s="40">
        <v>0</v>
      </c>
      <c r="I286" s="40">
        <v>125</v>
      </c>
      <c r="J286" s="54" t="s">
        <v>712</v>
      </c>
      <c r="K286" s="54" t="s">
        <v>713</v>
      </c>
      <c r="L286" s="56">
        <v>45966</v>
      </c>
      <c r="M286" s="40">
        <v>0</v>
      </c>
      <c r="N286" s="40">
        <v>0</v>
      </c>
      <c r="O286" s="40">
        <v>0</v>
      </c>
      <c r="S286" s="40" t="b">
        <v>0</v>
      </c>
      <c r="T286" s="40">
        <v>0.01</v>
      </c>
      <c r="U286" s="52">
        <v>2.7000000480000002</v>
      </c>
      <c r="V286" s="40">
        <v>0.01</v>
      </c>
      <c r="W286" s="40">
        <v>0</v>
      </c>
      <c r="X286" s="40">
        <v>1000</v>
      </c>
      <c r="Z286" s="40">
        <v>10</v>
      </c>
      <c r="AB286" s="52">
        <v>250</v>
      </c>
      <c r="AD286" s="40">
        <v>10</v>
      </c>
      <c r="AF286" s="40">
        <v>2000</v>
      </c>
      <c r="AG286" s="40">
        <v>2</v>
      </c>
      <c r="AH286" s="40">
        <v>2.7200000289999999</v>
      </c>
      <c r="AI286" s="40">
        <v>457</v>
      </c>
      <c r="AJ286" s="40">
        <v>0</v>
      </c>
      <c r="AK286" s="40">
        <v>314</v>
      </c>
      <c r="AM286" s="40" t="s">
        <v>2</v>
      </c>
      <c r="AO286" s="40">
        <v>250</v>
      </c>
      <c r="AW286" s="40" t="b">
        <v>0</v>
      </c>
      <c r="BE286" s="244"/>
      <c r="BF286" s="40">
        <v>1</v>
      </c>
      <c r="BG286" s="40">
        <v>0.55000000000000004</v>
      </c>
      <c r="BH286" s="40">
        <v>1</v>
      </c>
      <c r="BI286" s="40">
        <v>0.55000000000000004</v>
      </c>
      <c r="BJ286" s="40">
        <v>0</v>
      </c>
      <c r="BM286" s="40" t="s">
        <v>1</v>
      </c>
      <c r="BN286" s="58">
        <v>32</v>
      </c>
      <c r="BO286" s="58" t="s">
        <v>677</v>
      </c>
      <c r="BP286" s="58">
        <v>250</v>
      </c>
      <c r="BT286" s="59"/>
      <c r="BU286" s="59"/>
      <c r="BV286" s="59"/>
      <c r="BW286" s="59"/>
      <c r="BX286" s="59"/>
      <c r="BY286" s="59"/>
      <c r="BZ286" s="59"/>
      <c r="CA286" s="59"/>
      <c r="CB286" s="59"/>
      <c r="CC286" s="59"/>
      <c r="CD286" s="59"/>
      <c r="CE286" s="60"/>
      <c r="CF286" s="44" t="s">
        <v>12</v>
      </c>
      <c r="CR286" s="40">
        <v>0</v>
      </c>
      <c r="CS286" s="40">
        <v>0</v>
      </c>
      <c r="CT286" s="40">
        <v>0</v>
      </c>
      <c r="CU286" s="40">
        <v>1</v>
      </c>
      <c r="CV286" s="40">
        <v>0</v>
      </c>
      <c r="CW286" s="40">
        <v>0</v>
      </c>
      <c r="CX286" s="40">
        <v>0</v>
      </c>
      <c r="CY286" s="40">
        <v>0</v>
      </c>
      <c r="CZ286" s="40">
        <v>0</v>
      </c>
      <c r="DA286" s="40">
        <v>0</v>
      </c>
      <c r="DB286" s="40">
        <v>0</v>
      </c>
      <c r="DD286" s="40">
        <v>2</v>
      </c>
      <c r="DI286" s="40" t="s">
        <v>0</v>
      </c>
    </row>
    <row r="287" spans="1:113" s="40" customFormat="1" ht="15.75" thickBot="1" x14ac:dyDescent="0.3">
      <c r="A287" s="40">
        <v>528270</v>
      </c>
      <c r="B287" s="40" t="s">
        <v>6</v>
      </c>
      <c r="C287" s="53" t="s">
        <v>674</v>
      </c>
      <c r="D287" s="40">
        <v>32</v>
      </c>
      <c r="E287" s="40">
        <v>0</v>
      </c>
      <c r="F287" s="40">
        <v>32</v>
      </c>
      <c r="G287" s="40">
        <v>371</v>
      </c>
      <c r="H287" s="40">
        <v>0</v>
      </c>
      <c r="I287" s="40">
        <v>125</v>
      </c>
      <c r="J287" s="54" t="s">
        <v>714</v>
      </c>
      <c r="K287" s="54" t="s">
        <v>715</v>
      </c>
      <c r="L287" s="56">
        <v>45966</v>
      </c>
      <c r="M287" s="40">
        <v>0</v>
      </c>
      <c r="N287" s="40">
        <v>0</v>
      </c>
      <c r="O287" s="40">
        <v>0</v>
      </c>
      <c r="S287" s="40" t="b">
        <v>0</v>
      </c>
      <c r="T287" s="40">
        <v>0.01</v>
      </c>
      <c r="U287" s="52">
        <v>2.7000000480000002</v>
      </c>
      <c r="V287" s="40">
        <v>0.01</v>
      </c>
      <c r="W287" s="40">
        <v>0</v>
      </c>
      <c r="X287" s="40">
        <v>1000</v>
      </c>
      <c r="Z287" s="40">
        <v>10</v>
      </c>
      <c r="AB287" s="52">
        <v>250</v>
      </c>
      <c r="AD287" s="40">
        <v>10</v>
      </c>
      <c r="AF287" s="40">
        <v>2000</v>
      </c>
      <c r="AG287" s="40">
        <v>2</v>
      </c>
      <c r="AH287" s="40">
        <v>2.7200000289999999</v>
      </c>
      <c r="AI287" s="40">
        <v>453</v>
      </c>
      <c r="AJ287" s="40">
        <v>0</v>
      </c>
      <c r="AK287" s="40">
        <v>312</v>
      </c>
      <c r="AM287" s="40" t="s">
        <v>2</v>
      </c>
      <c r="AO287" s="40">
        <v>250</v>
      </c>
      <c r="AW287" s="40" t="b">
        <v>0</v>
      </c>
      <c r="BE287" s="244"/>
      <c r="BF287" s="40">
        <v>1</v>
      </c>
      <c r="BG287" s="40">
        <v>0.55000000000000004</v>
      </c>
      <c r="BH287" s="40">
        <v>1</v>
      </c>
      <c r="BI287" s="40">
        <v>0.55000000000000004</v>
      </c>
      <c r="BJ287" s="40">
        <v>0</v>
      </c>
      <c r="BM287" s="40" t="s">
        <v>1</v>
      </c>
      <c r="BN287" s="58">
        <v>32</v>
      </c>
      <c r="BO287" s="58" t="s">
        <v>677</v>
      </c>
      <c r="BP287" s="58">
        <v>250</v>
      </c>
      <c r="BT287" s="59"/>
      <c r="BU287" s="59"/>
      <c r="BV287" s="59"/>
      <c r="BW287" s="59"/>
      <c r="BX287" s="59"/>
      <c r="BY287" s="59"/>
      <c r="BZ287" s="59"/>
      <c r="CA287" s="59"/>
      <c r="CB287" s="59"/>
      <c r="CC287" s="59"/>
      <c r="CD287" s="59"/>
      <c r="CE287" s="60"/>
      <c r="CF287" s="44" t="s">
        <v>12</v>
      </c>
      <c r="CR287" s="40">
        <v>0</v>
      </c>
      <c r="CS287" s="40">
        <v>0</v>
      </c>
      <c r="CT287" s="40">
        <v>0</v>
      </c>
      <c r="CU287" s="40">
        <v>1</v>
      </c>
      <c r="CV287" s="40">
        <v>0</v>
      </c>
      <c r="CW287" s="40">
        <v>0</v>
      </c>
      <c r="CX287" s="40">
        <v>0</v>
      </c>
      <c r="CY287" s="40">
        <v>0</v>
      </c>
      <c r="CZ287" s="40">
        <v>0</v>
      </c>
      <c r="DA287" s="40">
        <v>0</v>
      </c>
      <c r="DB287" s="40">
        <v>0</v>
      </c>
      <c r="DD287" s="40">
        <v>2</v>
      </c>
      <c r="DI287" s="40" t="s">
        <v>0</v>
      </c>
    </row>
    <row r="288" spans="1:113" s="40" customFormat="1" ht="15.75" thickBot="1" x14ac:dyDescent="0.3">
      <c r="A288" s="40">
        <v>528235</v>
      </c>
      <c r="B288" s="40" t="s">
        <v>6</v>
      </c>
      <c r="C288" s="53" t="s">
        <v>674</v>
      </c>
      <c r="D288" s="40">
        <v>32</v>
      </c>
      <c r="E288" s="40">
        <v>0</v>
      </c>
      <c r="F288" s="40">
        <v>32</v>
      </c>
      <c r="G288" s="40">
        <v>336</v>
      </c>
      <c r="H288" s="40">
        <v>0</v>
      </c>
      <c r="I288" s="40">
        <v>125</v>
      </c>
      <c r="J288" s="54" t="s">
        <v>716</v>
      </c>
      <c r="K288" s="54" t="s">
        <v>717</v>
      </c>
      <c r="L288" s="56">
        <v>45966</v>
      </c>
      <c r="M288" s="40">
        <v>0</v>
      </c>
      <c r="N288" s="40">
        <v>0</v>
      </c>
      <c r="O288" s="40">
        <v>0</v>
      </c>
      <c r="S288" s="40" t="b">
        <v>0</v>
      </c>
      <c r="T288" s="40">
        <v>0.01</v>
      </c>
      <c r="U288" s="52">
        <v>2.7000000480000002</v>
      </c>
      <c r="V288" s="40">
        <v>0.01</v>
      </c>
      <c r="W288" s="40">
        <v>0</v>
      </c>
      <c r="X288" s="40">
        <v>1000</v>
      </c>
      <c r="Z288" s="40">
        <v>10</v>
      </c>
      <c r="AB288" s="52">
        <v>250</v>
      </c>
      <c r="AD288" s="40">
        <v>10</v>
      </c>
      <c r="AF288" s="40">
        <v>2000</v>
      </c>
      <c r="AG288" s="40">
        <v>2</v>
      </c>
      <c r="AH288" s="40">
        <v>2.7200000289999999</v>
      </c>
      <c r="AI288" s="40">
        <v>457</v>
      </c>
      <c r="AJ288" s="40">
        <v>0</v>
      </c>
      <c r="AK288" s="40">
        <v>314</v>
      </c>
      <c r="AM288" s="40" t="s">
        <v>2</v>
      </c>
      <c r="AO288" s="40">
        <v>250</v>
      </c>
      <c r="AW288" s="40" t="b">
        <v>0</v>
      </c>
      <c r="BE288" s="244"/>
      <c r="BF288" s="40">
        <v>1</v>
      </c>
      <c r="BG288" s="40">
        <v>0.55000000000000004</v>
      </c>
      <c r="BH288" s="40">
        <v>1</v>
      </c>
      <c r="BI288" s="40">
        <v>0.55000000000000004</v>
      </c>
      <c r="BJ288" s="40">
        <v>0</v>
      </c>
      <c r="BM288" s="40" t="s">
        <v>1</v>
      </c>
      <c r="BN288" s="58">
        <v>32</v>
      </c>
      <c r="BO288" s="58" t="s">
        <v>677</v>
      </c>
      <c r="BP288" s="58">
        <v>250</v>
      </c>
      <c r="BT288" s="59"/>
      <c r="BU288" s="59"/>
      <c r="BV288" s="59"/>
      <c r="BW288" s="59"/>
      <c r="BX288" s="59"/>
      <c r="BY288" s="59"/>
      <c r="BZ288" s="59"/>
      <c r="CA288" s="59"/>
      <c r="CB288" s="59"/>
      <c r="CC288" s="59"/>
      <c r="CD288" s="59"/>
      <c r="CE288" s="60"/>
      <c r="CF288" s="44" t="s">
        <v>12</v>
      </c>
      <c r="CR288" s="40">
        <v>0</v>
      </c>
      <c r="CS288" s="40">
        <v>0</v>
      </c>
      <c r="CT288" s="40">
        <v>0</v>
      </c>
      <c r="CU288" s="40">
        <v>1</v>
      </c>
      <c r="CV288" s="40">
        <v>0</v>
      </c>
      <c r="CW288" s="40">
        <v>0</v>
      </c>
      <c r="CX288" s="40">
        <v>0</v>
      </c>
      <c r="CY288" s="40">
        <v>0</v>
      </c>
      <c r="CZ288" s="40">
        <v>0</v>
      </c>
      <c r="DA288" s="40">
        <v>0</v>
      </c>
      <c r="DB288" s="40">
        <v>0</v>
      </c>
      <c r="DD288" s="40">
        <v>2</v>
      </c>
      <c r="DI288" s="40" t="s">
        <v>0</v>
      </c>
    </row>
    <row r="289" spans="1:113" s="40" customFormat="1" ht="15.75" thickBot="1" x14ac:dyDescent="0.3">
      <c r="A289" s="40">
        <v>528236</v>
      </c>
      <c r="B289" s="40" t="s">
        <v>6</v>
      </c>
      <c r="C289" s="53" t="s">
        <v>674</v>
      </c>
      <c r="D289" s="40">
        <v>32</v>
      </c>
      <c r="E289" s="40">
        <v>0</v>
      </c>
      <c r="F289" s="40">
        <v>32</v>
      </c>
      <c r="G289" s="40">
        <v>337</v>
      </c>
      <c r="H289" s="40">
        <v>0</v>
      </c>
      <c r="I289" s="40">
        <v>125</v>
      </c>
      <c r="J289" s="54" t="s">
        <v>718</v>
      </c>
      <c r="K289" s="54" t="s">
        <v>719</v>
      </c>
      <c r="L289" s="56">
        <v>45966</v>
      </c>
      <c r="M289" s="40">
        <v>0</v>
      </c>
      <c r="N289" s="40">
        <v>0</v>
      </c>
      <c r="O289" s="40">
        <v>0</v>
      </c>
      <c r="S289" s="40" t="b">
        <v>0</v>
      </c>
      <c r="T289" s="40">
        <v>0.01</v>
      </c>
      <c r="U289" s="52">
        <v>2.7000000480000002</v>
      </c>
      <c r="V289" s="40">
        <v>0.01</v>
      </c>
      <c r="W289" s="40">
        <v>0</v>
      </c>
      <c r="X289" s="40">
        <v>1000</v>
      </c>
      <c r="Z289" s="40">
        <v>10</v>
      </c>
      <c r="AB289" s="52">
        <v>250</v>
      </c>
      <c r="AD289" s="40">
        <v>10</v>
      </c>
      <c r="AF289" s="40">
        <v>2000</v>
      </c>
      <c r="AG289" s="40">
        <v>2</v>
      </c>
      <c r="AH289" s="40">
        <v>2.7200000289999999</v>
      </c>
      <c r="AI289" s="40">
        <v>461</v>
      </c>
      <c r="AJ289" s="40">
        <v>0</v>
      </c>
      <c r="AK289" s="40">
        <v>315</v>
      </c>
      <c r="AM289" s="40" t="s">
        <v>2</v>
      </c>
      <c r="AO289" s="40">
        <v>250</v>
      </c>
      <c r="AW289" s="40" t="b">
        <v>0</v>
      </c>
      <c r="BE289" s="244"/>
      <c r="BF289" s="40">
        <v>1</v>
      </c>
      <c r="BG289" s="40">
        <v>0.55000000000000004</v>
      </c>
      <c r="BH289" s="40">
        <v>1</v>
      </c>
      <c r="BI289" s="40">
        <v>0.55000000000000004</v>
      </c>
      <c r="BJ289" s="40">
        <v>0</v>
      </c>
      <c r="BM289" s="40" t="s">
        <v>1</v>
      </c>
      <c r="BN289" s="58">
        <v>32</v>
      </c>
      <c r="BO289" s="58" t="s">
        <v>677</v>
      </c>
      <c r="BP289" s="58">
        <v>250</v>
      </c>
      <c r="BT289" s="59"/>
      <c r="BU289" s="59"/>
      <c r="BV289" s="59"/>
      <c r="BW289" s="59"/>
      <c r="BX289" s="59"/>
      <c r="BY289" s="59"/>
      <c r="BZ289" s="59"/>
      <c r="CA289" s="59"/>
      <c r="CB289" s="59"/>
      <c r="CC289" s="59"/>
      <c r="CD289" s="59"/>
      <c r="CE289" s="60"/>
      <c r="CF289" s="44" t="s">
        <v>12</v>
      </c>
      <c r="CR289" s="40">
        <v>0</v>
      </c>
      <c r="CS289" s="40">
        <v>0</v>
      </c>
      <c r="CT289" s="40">
        <v>0</v>
      </c>
      <c r="CU289" s="40">
        <v>1</v>
      </c>
      <c r="CV289" s="40">
        <v>0</v>
      </c>
      <c r="CW289" s="40">
        <v>0</v>
      </c>
      <c r="CX289" s="40">
        <v>0</v>
      </c>
      <c r="CY289" s="40">
        <v>0</v>
      </c>
      <c r="CZ289" s="40">
        <v>0</v>
      </c>
      <c r="DA289" s="40">
        <v>0</v>
      </c>
      <c r="DB289" s="40">
        <v>0</v>
      </c>
      <c r="DD289" s="40">
        <v>2</v>
      </c>
      <c r="DI289" s="40" t="s">
        <v>0</v>
      </c>
    </row>
    <row r="290" spans="1:113" s="40" customFormat="1" ht="15.75" thickBot="1" x14ac:dyDescent="0.3">
      <c r="A290" s="40">
        <v>528237</v>
      </c>
      <c r="B290" s="40" t="s">
        <v>6</v>
      </c>
      <c r="C290" s="53" t="s">
        <v>674</v>
      </c>
      <c r="D290" s="40">
        <v>32</v>
      </c>
      <c r="E290" s="40">
        <v>0</v>
      </c>
      <c r="F290" s="40">
        <v>32</v>
      </c>
      <c r="G290" s="40">
        <v>338</v>
      </c>
      <c r="H290" s="40">
        <v>0</v>
      </c>
      <c r="I290" s="40">
        <v>125</v>
      </c>
      <c r="J290" s="54" t="s">
        <v>720</v>
      </c>
      <c r="K290" s="54" t="s">
        <v>721</v>
      </c>
      <c r="L290" s="56">
        <v>45966</v>
      </c>
      <c r="M290" s="40">
        <v>0</v>
      </c>
      <c r="N290" s="40">
        <v>0</v>
      </c>
      <c r="O290" s="40">
        <v>0</v>
      </c>
      <c r="S290" s="40" t="b">
        <v>0</v>
      </c>
      <c r="T290" s="40">
        <v>0.01</v>
      </c>
      <c r="U290" s="52">
        <v>2.7000000480000002</v>
      </c>
      <c r="V290" s="40">
        <v>0.01</v>
      </c>
      <c r="W290" s="40">
        <v>0</v>
      </c>
      <c r="X290" s="40">
        <v>1000</v>
      </c>
      <c r="Z290" s="40">
        <v>10</v>
      </c>
      <c r="AB290" s="52">
        <v>250</v>
      </c>
      <c r="AD290" s="40">
        <v>10</v>
      </c>
      <c r="AF290" s="40">
        <v>2000</v>
      </c>
      <c r="AG290" s="40">
        <v>2</v>
      </c>
      <c r="AH290" s="40">
        <v>2.7200000289999999</v>
      </c>
      <c r="AI290" s="40">
        <v>457</v>
      </c>
      <c r="AJ290" s="40">
        <v>0</v>
      </c>
      <c r="AK290" s="40">
        <v>314</v>
      </c>
      <c r="AM290" s="40" t="s">
        <v>2</v>
      </c>
      <c r="AO290" s="40">
        <v>250</v>
      </c>
      <c r="AW290" s="40" t="b">
        <v>0</v>
      </c>
      <c r="BE290" s="244"/>
      <c r="BF290" s="40">
        <v>1</v>
      </c>
      <c r="BG290" s="40">
        <v>0.55000000000000004</v>
      </c>
      <c r="BH290" s="40">
        <v>1</v>
      </c>
      <c r="BI290" s="40">
        <v>0.55000000000000004</v>
      </c>
      <c r="BJ290" s="40">
        <v>0</v>
      </c>
      <c r="BM290" s="40" t="s">
        <v>1</v>
      </c>
      <c r="BN290" s="58">
        <v>32</v>
      </c>
      <c r="BO290" s="58" t="s">
        <v>677</v>
      </c>
      <c r="BP290" s="58">
        <v>250</v>
      </c>
      <c r="BT290" s="59"/>
      <c r="BU290" s="59"/>
      <c r="BV290" s="59"/>
      <c r="BW290" s="59"/>
      <c r="BX290" s="59"/>
      <c r="BY290" s="59"/>
      <c r="BZ290" s="59"/>
      <c r="CA290" s="59"/>
      <c r="CB290" s="59"/>
      <c r="CC290" s="59"/>
      <c r="CD290" s="59"/>
      <c r="CE290" s="60"/>
      <c r="CF290" s="44" t="s">
        <v>12</v>
      </c>
      <c r="CR290" s="40">
        <v>0</v>
      </c>
      <c r="CS290" s="40">
        <v>0</v>
      </c>
      <c r="CT290" s="40">
        <v>0</v>
      </c>
      <c r="CU290" s="40">
        <v>1</v>
      </c>
      <c r="CV290" s="40">
        <v>0</v>
      </c>
      <c r="CW290" s="40">
        <v>0</v>
      </c>
      <c r="CX290" s="40">
        <v>0</v>
      </c>
      <c r="CY290" s="40">
        <v>0</v>
      </c>
      <c r="CZ290" s="40">
        <v>0</v>
      </c>
      <c r="DA290" s="40">
        <v>0</v>
      </c>
      <c r="DB290" s="40">
        <v>0</v>
      </c>
      <c r="DD290" s="40">
        <v>2</v>
      </c>
      <c r="DI290" s="40" t="s">
        <v>0</v>
      </c>
    </row>
    <row r="291" spans="1:113" s="40" customFormat="1" ht="15.75" thickBot="1" x14ac:dyDescent="0.3">
      <c r="A291" s="40">
        <v>528238</v>
      </c>
      <c r="B291" s="40" t="s">
        <v>6</v>
      </c>
      <c r="C291" s="53" t="s">
        <v>674</v>
      </c>
      <c r="D291" s="40">
        <v>32</v>
      </c>
      <c r="E291" s="40">
        <v>0</v>
      </c>
      <c r="F291" s="40">
        <v>32</v>
      </c>
      <c r="G291" s="40">
        <v>339</v>
      </c>
      <c r="H291" s="40">
        <v>0</v>
      </c>
      <c r="I291" s="40">
        <v>125</v>
      </c>
      <c r="J291" s="54" t="s">
        <v>722</v>
      </c>
      <c r="K291" s="54" t="s">
        <v>723</v>
      </c>
      <c r="L291" s="56">
        <v>45966</v>
      </c>
      <c r="M291" s="40">
        <v>0</v>
      </c>
      <c r="N291" s="40">
        <v>0</v>
      </c>
      <c r="O291" s="40">
        <v>0</v>
      </c>
      <c r="S291" s="40" t="b">
        <v>0</v>
      </c>
      <c r="T291" s="40">
        <v>0.01</v>
      </c>
      <c r="U291" s="52">
        <v>2.7000000480000002</v>
      </c>
      <c r="V291" s="40">
        <v>0.01</v>
      </c>
      <c r="W291" s="40">
        <v>0</v>
      </c>
      <c r="X291" s="40">
        <v>1000</v>
      </c>
      <c r="Z291" s="40">
        <v>10</v>
      </c>
      <c r="AB291" s="52">
        <v>250</v>
      </c>
      <c r="AD291" s="40">
        <v>10</v>
      </c>
      <c r="AF291" s="40">
        <v>2000</v>
      </c>
      <c r="AG291" s="40">
        <v>2</v>
      </c>
      <c r="AH291" s="40">
        <v>2.710000038</v>
      </c>
      <c r="AI291" s="40">
        <v>457</v>
      </c>
      <c r="AJ291" s="40">
        <v>0</v>
      </c>
      <c r="AK291" s="40">
        <v>313</v>
      </c>
      <c r="AM291" s="40" t="s">
        <v>2</v>
      </c>
      <c r="AO291" s="40">
        <v>250</v>
      </c>
      <c r="AW291" s="40" t="b">
        <v>0</v>
      </c>
      <c r="BE291" s="244"/>
      <c r="BF291" s="40">
        <v>1</v>
      </c>
      <c r="BG291" s="40">
        <v>0.55000000000000004</v>
      </c>
      <c r="BH291" s="40">
        <v>1</v>
      </c>
      <c r="BI291" s="40">
        <v>0.55000000000000004</v>
      </c>
      <c r="BJ291" s="40">
        <v>0</v>
      </c>
      <c r="BM291" s="40" t="s">
        <v>1</v>
      </c>
      <c r="BN291" s="58">
        <v>32</v>
      </c>
      <c r="BO291" s="58" t="s">
        <v>677</v>
      </c>
      <c r="BP291" s="58">
        <v>250</v>
      </c>
      <c r="BT291" s="59"/>
      <c r="BU291" s="59"/>
      <c r="BV291" s="59"/>
      <c r="BW291" s="59"/>
      <c r="BX291" s="59"/>
      <c r="BY291" s="59"/>
      <c r="BZ291" s="59"/>
      <c r="CA291" s="59"/>
      <c r="CB291" s="59"/>
      <c r="CC291" s="59"/>
      <c r="CD291" s="59"/>
      <c r="CE291" s="60"/>
      <c r="CF291" s="44" t="s">
        <v>12</v>
      </c>
      <c r="CR291" s="40">
        <v>0</v>
      </c>
      <c r="CS291" s="40">
        <v>0</v>
      </c>
      <c r="CT291" s="40">
        <v>0</v>
      </c>
      <c r="CU291" s="40">
        <v>1</v>
      </c>
      <c r="CV291" s="40">
        <v>0</v>
      </c>
      <c r="CW291" s="40">
        <v>0</v>
      </c>
      <c r="CX291" s="40">
        <v>0</v>
      </c>
      <c r="CY291" s="40">
        <v>0</v>
      </c>
      <c r="CZ291" s="40">
        <v>0</v>
      </c>
      <c r="DA291" s="40">
        <v>0</v>
      </c>
      <c r="DB291" s="40">
        <v>0</v>
      </c>
      <c r="DD291" s="40">
        <v>2</v>
      </c>
      <c r="DI291" s="40" t="s">
        <v>0</v>
      </c>
    </row>
    <row r="292" spans="1:113" s="40" customFormat="1" ht="15.75" thickBot="1" x14ac:dyDescent="0.3">
      <c r="A292" s="40">
        <v>528239</v>
      </c>
      <c r="B292" s="40" t="s">
        <v>6</v>
      </c>
      <c r="C292" s="53" t="s">
        <v>674</v>
      </c>
      <c r="D292" s="40">
        <v>32</v>
      </c>
      <c r="E292" s="40">
        <v>0</v>
      </c>
      <c r="F292" s="40">
        <v>32</v>
      </c>
      <c r="G292" s="40">
        <v>340</v>
      </c>
      <c r="H292" s="40">
        <v>0</v>
      </c>
      <c r="I292" s="40">
        <v>125</v>
      </c>
      <c r="J292" s="54" t="s">
        <v>724</v>
      </c>
      <c r="K292" s="54" t="s">
        <v>725</v>
      </c>
      <c r="L292" s="56">
        <v>45966</v>
      </c>
      <c r="M292" s="40">
        <v>0</v>
      </c>
      <c r="N292" s="40">
        <v>0</v>
      </c>
      <c r="O292" s="40">
        <v>0</v>
      </c>
      <c r="S292" s="40" t="b">
        <v>0</v>
      </c>
      <c r="T292" s="40">
        <v>0.01</v>
      </c>
      <c r="U292" s="52">
        <v>2.7000000480000002</v>
      </c>
      <c r="V292" s="40">
        <v>0.01</v>
      </c>
      <c r="W292" s="40">
        <v>0</v>
      </c>
      <c r="X292" s="40">
        <v>1000</v>
      </c>
      <c r="Z292" s="40">
        <v>10</v>
      </c>
      <c r="AB292" s="52">
        <v>250</v>
      </c>
      <c r="AD292" s="40">
        <v>10</v>
      </c>
      <c r="AF292" s="40">
        <v>2000</v>
      </c>
      <c r="AG292" s="40">
        <v>2</v>
      </c>
      <c r="AH292" s="40">
        <v>2.710000038</v>
      </c>
      <c r="AI292" s="40">
        <v>457</v>
      </c>
      <c r="AJ292" s="40">
        <v>0</v>
      </c>
      <c r="AK292" s="40">
        <v>313</v>
      </c>
      <c r="AM292" s="40" t="s">
        <v>2</v>
      </c>
      <c r="AO292" s="40">
        <v>250</v>
      </c>
      <c r="AW292" s="40" t="b">
        <v>0</v>
      </c>
      <c r="BE292" s="244"/>
      <c r="BF292" s="40">
        <v>1</v>
      </c>
      <c r="BG292" s="40">
        <v>0.55000000000000004</v>
      </c>
      <c r="BH292" s="40">
        <v>1</v>
      </c>
      <c r="BI292" s="40">
        <v>0.55000000000000004</v>
      </c>
      <c r="BJ292" s="40">
        <v>0</v>
      </c>
      <c r="BM292" s="40" t="s">
        <v>1</v>
      </c>
      <c r="BN292" s="58">
        <v>32</v>
      </c>
      <c r="BO292" s="58" t="s">
        <v>677</v>
      </c>
      <c r="BP292" s="58">
        <v>250</v>
      </c>
      <c r="BT292" s="59"/>
      <c r="BU292" s="59"/>
      <c r="BV292" s="59"/>
      <c r="BW292" s="59"/>
      <c r="BX292" s="59"/>
      <c r="BY292" s="59"/>
      <c r="BZ292" s="59"/>
      <c r="CA292" s="59"/>
      <c r="CB292" s="59"/>
      <c r="CC292" s="59"/>
      <c r="CD292" s="59"/>
      <c r="CE292" s="60"/>
      <c r="CF292" s="44" t="s">
        <v>12</v>
      </c>
      <c r="CR292" s="40">
        <v>0</v>
      </c>
      <c r="CS292" s="40">
        <v>0</v>
      </c>
      <c r="CT292" s="40">
        <v>0</v>
      </c>
      <c r="CU292" s="40">
        <v>1</v>
      </c>
      <c r="CV292" s="40">
        <v>0</v>
      </c>
      <c r="CW292" s="40">
        <v>0</v>
      </c>
      <c r="CX292" s="40">
        <v>0</v>
      </c>
      <c r="CY292" s="40">
        <v>0</v>
      </c>
      <c r="CZ292" s="40">
        <v>0</v>
      </c>
      <c r="DA292" s="40">
        <v>0</v>
      </c>
      <c r="DB292" s="40">
        <v>0</v>
      </c>
      <c r="DD292" s="40">
        <v>2</v>
      </c>
      <c r="DI292" s="40" t="s">
        <v>0</v>
      </c>
    </row>
    <row r="293" spans="1:113" s="40" customFormat="1" ht="15.75" thickBot="1" x14ac:dyDescent="0.3">
      <c r="A293" s="40">
        <v>528240</v>
      </c>
      <c r="B293" s="40" t="s">
        <v>6</v>
      </c>
      <c r="C293" s="53" t="s">
        <v>674</v>
      </c>
      <c r="D293" s="40">
        <v>32</v>
      </c>
      <c r="E293" s="40">
        <v>0</v>
      </c>
      <c r="F293" s="40">
        <v>32</v>
      </c>
      <c r="G293" s="40">
        <v>341</v>
      </c>
      <c r="H293" s="40">
        <v>0</v>
      </c>
      <c r="I293" s="40">
        <v>125</v>
      </c>
      <c r="J293" s="54" t="s">
        <v>726</v>
      </c>
      <c r="K293" s="54" t="s">
        <v>727</v>
      </c>
      <c r="L293" s="56">
        <v>45966</v>
      </c>
      <c r="M293" s="40">
        <v>0</v>
      </c>
      <c r="N293" s="40">
        <v>0</v>
      </c>
      <c r="O293" s="40">
        <v>0</v>
      </c>
      <c r="S293" s="40" t="b">
        <v>0</v>
      </c>
      <c r="T293" s="40">
        <v>0.01</v>
      </c>
      <c r="U293" s="52">
        <v>2.7000000480000002</v>
      </c>
      <c r="V293" s="40">
        <v>0.01</v>
      </c>
      <c r="W293" s="40">
        <v>0</v>
      </c>
      <c r="X293" s="40">
        <v>1000</v>
      </c>
      <c r="Z293" s="40">
        <v>10</v>
      </c>
      <c r="AB293" s="52">
        <v>250</v>
      </c>
      <c r="AD293" s="40">
        <v>10</v>
      </c>
      <c r="AF293" s="40">
        <v>2000</v>
      </c>
      <c r="AG293" s="40">
        <v>2</v>
      </c>
      <c r="AH293" s="40">
        <v>2.710000038</v>
      </c>
      <c r="AI293" s="40">
        <v>457</v>
      </c>
      <c r="AJ293" s="40">
        <v>0</v>
      </c>
      <c r="AK293" s="40">
        <v>313</v>
      </c>
      <c r="AM293" s="40" t="s">
        <v>2</v>
      </c>
      <c r="AO293" s="40">
        <v>250</v>
      </c>
      <c r="AW293" s="40" t="b">
        <v>0</v>
      </c>
      <c r="BE293" s="244"/>
      <c r="BF293" s="40">
        <v>1</v>
      </c>
      <c r="BG293" s="40">
        <v>0.55000000000000004</v>
      </c>
      <c r="BH293" s="40">
        <v>1</v>
      </c>
      <c r="BI293" s="40">
        <v>0.55000000000000004</v>
      </c>
      <c r="BJ293" s="40">
        <v>0</v>
      </c>
      <c r="BM293" s="40" t="s">
        <v>1</v>
      </c>
      <c r="BN293" s="58">
        <v>32</v>
      </c>
      <c r="BO293" s="58" t="s">
        <v>677</v>
      </c>
      <c r="BP293" s="58">
        <v>250</v>
      </c>
      <c r="BT293" s="59"/>
      <c r="BU293" s="59"/>
      <c r="BV293" s="59"/>
      <c r="BW293" s="59"/>
      <c r="BX293" s="59"/>
      <c r="BY293" s="59"/>
      <c r="BZ293" s="59"/>
      <c r="CA293" s="59"/>
      <c r="CB293" s="59"/>
      <c r="CC293" s="59"/>
      <c r="CD293" s="59"/>
      <c r="CE293" s="60"/>
      <c r="CF293" s="44" t="s">
        <v>12</v>
      </c>
      <c r="CR293" s="40">
        <v>0</v>
      </c>
      <c r="CS293" s="40">
        <v>0</v>
      </c>
      <c r="CT293" s="40">
        <v>0</v>
      </c>
      <c r="CU293" s="40">
        <v>1</v>
      </c>
      <c r="CV293" s="40">
        <v>0</v>
      </c>
      <c r="CW293" s="40">
        <v>0</v>
      </c>
      <c r="CX293" s="40">
        <v>0</v>
      </c>
      <c r="CY293" s="40">
        <v>0</v>
      </c>
      <c r="CZ293" s="40">
        <v>0</v>
      </c>
      <c r="DA293" s="40">
        <v>0</v>
      </c>
      <c r="DB293" s="40">
        <v>0</v>
      </c>
      <c r="DD293" s="40">
        <v>2</v>
      </c>
      <c r="DI293" s="40" t="s">
        <v>0</v>
      </c>
    </row>
    <row r="294" spans="1:113" s="40" customFormat="1" ht="15.75" thickBot="1" x14ac:dyDescent="0.3">
      <c r="A294" s="40">
        <v>528207</v>
      </c>
      <c r="B294" s="40" t="s">
        <v>6</v>
      </c>
      <c r="C294" s="53" t="s">
        <v>674</v>
      </c>
      <c r="D294" s="40">
        <v>32</v>
      </c>
      <c r="E294" s="40">
        <v>0</v>
      </c>
      <c r="F294" s="40">
        <v>32</v>
      </c>
      <c r="G294" s="40">
        <v>308</v>
      </c>
      <c r="H294" s="40">
        <v>0</v>
      </c>
      <c r="I294" s="40">
        <v>125</v>
      </c>
      <c r="J294" s="54" t="s">
        <v>728</v>
      </c>
      <c r="K294" s="54" t="s">
        <v>729</v>
      </c>
      <c r="L294" s="56">
        <v>45966</v>
      </c>
      <c r="M294" s="40">
        <v>0</v>
      </c>
      <c r="N294" s="40">
        <v>0</v>
      </c>
      <c r="O294" s="40">
        <v>0</v>
      </c>
      <c r="S294" s="40" t="b">
        <v>0</v>
      </c>
      <c r="T294" s="40">
        <v>0.01</v>
      </c>
      <c r="U294" s="52">
        <v>2.7000000480000002</v>
      </c>
      <c r="V294" s="40">
        <v>0.01</v>
      </c>
      <c r="W294" s="40">
        <v>0</v>
      </c>
      <c r="X294" s="40">
        <v>1000</v>
      </c>
      <c r="Z294" s="40">
        <v>10</v>
      </c>
      <c r="AB294" s="52">
        <v>250</v>
      </c>
      <c r="AD294" s="40">
        <v>10</v>
      </c>
      <c r="AF294" s="40">
        <v>2000</v>
      </c>
      <c r="AG294" s="40">
        <v>2</v>
      </c>
      <c r="AH294" s="40">
        <v>2.7300000190000002</v>
      </c>
      <c r="AI294" s="40">
        <v>465</v>
      </c>
      <c r="AJ294" s="40">
        <v>0</v>
      </c>
      <c r="AK294" s="40">
        <v>319</v>
      </c>
      <c r="AM294" s="40" t="s">
        <v>2</v>
      </c>
      <c r="AO294" s="40">
        <v>250</v>
      </c>
      <c r="AW294" s="40" t="b">
        <v>0</v>
      </c>
      <c r="BE294" s="244"/>
      <c r="BF294" s="40">
        <v>1</v>
      </c>
      <c r="BG294" s="40">
        <v>0.55000000000000004</v>
      </c>
      <c r="BH294" s="40">
        <v>1</v>
      </c>
      <c r="BI294" s="40">
        <v>0.55000000000000004</v>
      </c>
      <c r="BJ294" s="40">
        <v>0</v>
      </c>
      <c r="BM294" s="40" t="s">
        <v>1</v>
      </c>
      <c r="BN294" s="58">
        <v>32</v>
      </c>
      <c r="BO294" s="58" t="s">
        <v>677</v>
      </c>
      <c r="BP294" s="58">
        <v>250</v>
      </c>
      <c r="BT294" s="59"/>
      <c r="BU294" s="59"/>
      <c r="BV294" s="59"/>
      <c r="BW294" s="59"/>
      <c r="BX294" s="59"/>
      <c r="BY294" s="59"/>
      <c r="BZ294" s="59"/>
      <c r="CA294" s="59"/>
      <c r="CB294" s="59"/>
      <c r="CC294" s="59"/>
      <c r="CD294" s="59"/>
      <c r="CE294" s="60"/>
      <c r="CF294" s="44" t="s">
        <v>12</v>
      </c>
      <c r="CR294" s="40">
        <v>0</v>
      </c>
      <c r="CS294" s="40">
        <v>0</v>
      </c>
      <c r="CT294" s="40">
        <v>0</v>
      </c>
      <c r="CU294" s="40">
        <v>1</v>
      </c>
      <c r="CV294" s="40">
        <v>0</v>
      </c>
      <c r="CW294" s="40">
        <v>0</v>
      </c>
      <c r="CX294" s="40">
        <v>0</v>
      </c>
      <c r="CY294" s="40">
        <v>0</v>
      </c>
      <c r="CZ294" s="40">
        <v>0</v>
      </c>
      <c r="DA294" s="40">
        <v>0</v>
      </c>
      <c r="DB294" s="40">
        <v>0</v>
      </c>
      <c r="DD294" s="40">
        <v>2</v>
      </c>
      <c r="DI294" s="40" t="s">
        <v>0</v>
      </c>
    </row>
    <row r="295" spans="1:113" s="40" customFormat="1" ht="15.75" thickBot="1" x14ac:dyDescent="0.3">
      <c r="A295" s="40">
        <v>528208</v>
      </c>
      <c r="B295" s="40" t="s">
        <v>6</v>
      </c>
      <c r="C295" s="53" t="s">
        <v>674</v>
      </c>
      <c r="D295" s="40">
        <v>32</v>
      </c>
      <c r="E295" s="40">
        <v>0</v>
      </c>
      <c r="F295" s="40">
        <v>32</v>
      </c>
      <c r="G295" s="40">
        <v>309</v>
      </c>
      <c r="H295" s="40">
        <v>0</v>
      </c>
      <c r="I295" s="40">
        <v>125</v>
      </c>
      <c r="J295" s="54" t="s">
        <v>730</v>
      </c>
      <c r="K295" s="54" t="s">
        <v>731</v>
      </c>
      <c r="L295" s="56">
        <v>45966</v>
      </c>
      <c r="M295" s="40">
        <v>0</v>
      </c>
      <c r="N295" s="40">
        <v>0</v>
      </c>
      <c r="O295" s="40">
        <v>0</v>
      </c>
      <c r="S295" s="40" t="b">
        <v>0</v>
      </c>
      <c r="T295" s="40">
        <v>0.01</v>
      </c>
      <c r="U295" s="52">
        <v>2.7000000480000002</v>
      </c>
      <c r="V295" s="40">
        <v>0.01</v>
      </c>
      <c r="W295" s="40">
        <v>0</v>
      </c>
      <c r="X295" s="40">
        <v>1000</v>
      </c>
      <c r="Z295" s="40">
        <v>10</v>
      </c>
      <c r="AB295" s="52">
        <v>250</v>
      </c>
      <c r="AD295" s="40">
        <v>10</v>
      </c>
      <c r="AF295" s="40">
        <v>2000</v>
      </c>
      <c r="AG295" s="40">
        <v>2</v>
      </c>
      <c r="AH295" s="40">
        <v>2.7200000289999999</v>
      </c>
      <c r="AI295" s="40">
        <v>465</v>
      </c>
      <c r="AJ295" s="40">
        <v>0</v>
      </c>
      <c r="AK295" s="40">
        <v>321</v>
      </c>
      <c r="AM295" s="40" t="s">
        <v>2</v>
      </c>
      <c r="AO295" s="40">
        <v>250</v>
      </c>
      <c r="AW295" s="40" t="b">
        <v>0</v>
      </c>
      <c r="BE295" s="244"/>
      <c r="BF295" s="40">
        <v>1</v>
      </c>
      <c r="BG295" s="40">
        <v>0.55000000000000004</v>
      </c>
      <c r="BH295" s="40">
        <v>1</v>
      </c>
      <c r="BI295" s="40">
        <v>0.55000000000000004</v>
      </c>
      <c r="BJ295" s="40">
        <v>0</v>
      </c>
      <c r="BM295" s="40" t="s">
        <v>1</v>
      </c>
      <c r="BN295" s="58">
        <v>32</v>
      </c>
      <c r="BO295" s="58" t="s">
        <v>677</v>
      </c>
      <c r="BP295" s="58">
        <v>250</v>
      </c>
      <c r="BT295" s="59"/>
      <c r="BU295" s="59"/>
      <c r="BV295" s="59"/>
      <c r="BW295" s="59"/>
      <c r="BX295" s="59"/>
      <c r="BY295" s="59"/>
      <c r="BZ295" s="59"/>
      <c r="CA295" s="59"/>
      <c r="CB295" s="59"/>
      <c r="CC295" s="59"/>
      <c r="CD295" s="59"/>
      <c r="CE295" s="60"/>
      <c r="CF295" s="44" t="s">
        <v>12</v>
      </c>
      <c r="CR295" s="40">
        <v>0</v>
      </c>
      <c r="CS295" s="40">
        <v>0</v>
      </c>
      <c r="CT295" s="40">
        <v>0</v>
      </c>
      <c r="CU295" s="40">
        <v>1</v>
      </c>
      <c r="CV295" s="40">
        <v>0</v>
      </c>
      <c r="CW295" s="40">
        <v>0</v>
      </c>
      <c r="CX295" s="40">
        <v>0</v>
      </c>
      <c r="CY295" s="40">
        <v>0</v>
      </c>
      <c r="CZ295" s="40">
        <v>0</v>
      </c>
      <c r="DA295" s="40">
        <v>0</v>
      </c>
      <c r="DB295" s="40">
        <v>0</v>
      </c>
      <c r="DD295" s="40">
        <v>2</v>
      </c>
      <c r="DI295" s="40" t="s">
        <v>0</v>
      </c>
    </row>
    <row r="296" spans="1:113" s="40" customFormat="1" ht="15.75" thickBot="1" x14ac:dyDescent="0.3">
      <c r="A296" s="40">
        <v>528173</v>
      </c>
      <c r="B296" s="40" t="s">
        <v>6</v>
      </c>
      <c r="C296" s="53" t="s">
        <v>674</v>
      </c>
      <c r="D296" s="40">
        <v>32</v>
      </c>
      <c r="E296" s="40">
        <v>0</v>
      </c>
      <c r="F296" s="40">
        <v>32</v>
      </c>
      <c r="G296" s="40">
        <v>274</v>
      </c>
      <c r="H296" s="40">
        <v>0</v>
      </c>
      <c r="I296" s="40">
        <v>125</v>
      </c>
      <c r="J296" s="54" t="s">
        <v>732</v>
      </c>
      <c r="K296" s="54" t="s">
        <v>733</v>
      </c>
      <c r="L296" s="56">
        <v>45966</v>
      </c>
      <c r="M296" s="40">
        <v>0</v>
      </c>
      <c r="N296" s="40">
        <v>0</v>
      </c>
      <c r="O296" s="40">
        <v>0</v>
      </c>
      <c r="S296" s="40" t="b">
        <v>0</v>
      </c>
      <c r="T296" s="40">
        <v>0.01</v>
      </c>
      <c r="U296" s="52">
        <v>2.7000000480000002</v>
      </c>
      <c r="V296" s="40">
        <v>0.01</v>
      </c>
      <c r="W296" s="40">
        <v>0</v>
      </c>
      <c r="X296" s="40">
        <v>1000</v>
      </c>
      <c r="Z296" s="40">
        <v>10</v>
      </c>
      <c r="AB296" s="52">
        <v>250</v>
      </c>
      <c r="AD296" s="40">
        <v>10</v>
      </c>
      <c r="AF296" s="40">
        <v>2000</v>
      </c>
      <c r="AG296" s="40">
        <v>2</v>
      </c>
      <c r="AH296" s="40">
        <v>2.7200000289999999</v>
      </c>
      <c r="AI296" s="40">
        <v>470</v>
      </c>
      <c r="AJ296" s="40">
        <v>0</v>
      </c>
      <c r="AK296" s="40">
        <v>322</v>
      </c>
      <c r="AM296" s="40" t="s">
        <v>2</v>
      </c>
      <c r="AO296" s="40">
        <v>250</v>
      </c>
      <c r="AW296" s="40" t="b">
        <v>0</v>
      </c>
      <c r="BE296" s="244"/>
      <c r="BF296" s="40">
        <v>1</v>
      </c>
      <c r="BG296" s="40">
        <v>0.55000000000000004</v>
      </c>
      <c r="BH296" s="40">
        <v>1</v>
      </c>
      <c r="BI296" s="40">
        <v>0.55000000000000004</v>
      </c>
      <c r="BJ296" s="40">
        <v>0</v>
      </c>
      <c r="BM296" s="40" t="s">
        <v>1</v>
      </c>
      <c r="BN296" s="58">
        <v>32</v>
      </c>
      <c r="BO296" s="58" t="s">
        <v>677</v>
      </c>
      <c r="BP296" s="58">
        <v>250</v>
      </c>
      <c r="BT296" s="59"/>
      <c r="BU296" s="59"/>
      <c r="BV296" s="59"/>
      <c r="BW296" s="59"/>
      <c r="BX296" s="59"/>
      <c r="BY296" s="59"/>
      <c r="BZ296" s="59"/>
      <c r="CA296" s="59"/>
      <c r="CB296" s="59"/>
      <c r="CC296" s="59"/>
      <c r="CD296" s="59"/>
      <c r="CE296" s="60"/>
      <c r="CF296" s="44" t="s">
        <v>12</v>
      </c>
      <c r="CR296" s="40">
        <v>0</v>
      </c>
      <c r="CS296" s="40">
        <v>0</v>
      </c>
      <c r="CT296" s="40">
        <v>0</v>
      </c>
      <c r="CU296" s="40">
        <v>1</v>
      </c>
      <c r="CV296" s="40">
        <v>0</v>
      </c>
      <c r="CW296" s="40">
        <v>0</v>
      </c>
      <c r="CX296" s="40">
        <v>0</v>
      </c>
      <c r="CY296" s="40">
        <v>0</v>
      </c>
      <c r="CZ296" s="40">
        <v>0</v>
      </c>
      <c r="DA296" s="40">
        <v>0</v>
      </c>
      <c r="DB296" s="40">
        <v>0</v>
      </c>
      <c r="DD296" s="40">
        <v>2</v>
      </c>
      <c r="DI296" s="40" t="s">
        <v>0</v>
      </c>
    </row>
    <row r="297" spans="1:113" s="40" customFormat="1" ht="15.75" thickBot="1" x14ac:dyDescent="0.3">
      <c r="A297" s="40">
        <v>528174</v>
      </c>
      <c r="B297" s="40" t="s">
        <v>6</v>
      </c>
      <c r="C297" s="53" t="s">
        <v>674</v>
      </c>
      <c r="D297" s="40">
        <v>32</v>
      </c>
      <c r="E297" s="40">
        <v>0</v>
      </c>
      <c r="F297" s="40">
        <v>32</v>
      </c>
      <c r="G297" s="40">
        <v>275</v>
      </c>
      <c r="H297" s="40">
        <v>0</v>
      </c>
      <c r="I297" s="40">
        <v>125</v>
      </c>
      <c r="J297" s="54" t="s">
        <v>734</v>
      </c>
      <c r="K297" s="54" t="s">
        <v>735</v>
      </c>
      <c r="L297" s="56">
        <v>45966</v>
      </c>
      <c r="M297" s="40">
        <v>0</v>
      </c>
      <c r="N297" s="40">
        <v>0</v>
      </c>
      <c r="O297" s="40">
        <v>0</v>
      </c>
      <c r="S297" s="40" t="b">
        <v>0</v>
      </c>
      <c r="T297" s="40">
        <v>0.01</v>
      </c>
      <c r="U297" s="52">
        <v>2.7000000480000002</v>
      </c>
      <c r="V297" s="40">
        <v>0.01</v>
      </c>
      <c r="W297" s="40">
        <v>0</v>
      </c>
      <c r="X297" s="40">
        <v>1000</v>
      </c>
      <c r="Z297" s="40">
        <v>10</v>
      </c>
      <c r="AB297" s="52">
        <v>250</v>
      </c>
      <c r="AD297" s="40">
        <v>10</v>
      </c>
      <c r="AF297" s="40">
        <v>2000</v>
      </c>
      <c r="AG297" s="40">
        <v>2</v>
      </c>
      <c r="AH297" s="40">
        <v>2.7200000289999999</v>
      </c>
      <c r="AI297" s="40">
        <v>465</v>
      </c>
      <c r="AJ297" s="40">
        <v>0</v>
      </c>
      <c r="AK297" s="40">
        <v>320</v>
      </c>
      <c r="AM297" s="40" t="s">
        <v>2</v>
      </c>
      <c r="AO297" s="40">
        <v>250</v>
      </c>
      <c r="AW297" s="40" t="b">
        <v>0</v>
      </c>
      <c r="BE297" s="244"/>
      <c r="BF297" s="40">
        <v>1</v>
      </c>
      <c r="BG297" s="40">
        <v>0.55000000000000004</v>
      </c>
      <c r="BH297" s="40">
        <v>1</v>
      </c>
      <c r="BI297" s="40">
        <v>0.55000000000000004</v>
      </c>
      <c r="BJ297" s="40">
        <v>0</v>
      </c>
      <c r="BM297" s="40" t="s">
        <v>1</v>
      </c>
      <c r="BN297" s="58">
        <v>32</v>
      </c>
      <c r="BO297" s="58" t="s">
        <v>677</v>
      </c>
      <c r="BP297" s="58">
        <v>250</v>
      </c>
      <c r="BT297" s="59"/>
      <c r="BU297" s="59"/>
      <c r="BV297" s="59"/>
      <c r="BW297" s="59"/>
      <c r="BX297" s="59"/>
      <c r="BY297" s="59"/>
      <c r="BZ297" s="59"/>
      <c r="CA297" s="59"/>
      <c r="CB297" s="59"/>
      <c r="CC297" s="59"/>
      <c r="CD297" s="59"/>
      <c r="CE297" s="60"/>
      <c r="CF297" s="44" t="s">
        <v>12</v>
      </c>
      <c r="CR297" s="40">
        <v>0</v>
      </c>
      <c r="CS297" s="40">
        <v>0</v>
      </c>
      <c r="CT297" s="40">
        <v>0</v>
      </c>
      <c r="CU297" s="40">
        <v>1</v>
      </c>
      <c r="CV297" s="40">
        <v>0</v>
      </c>
      <c r="CW297" s="40">
        <v>0</v>
      </c>
      <c r="CX297" s="40">
        <v>0</v>
      </c>
      <c r="CY297" s="40">
        <v>0</v>
      </c>
      <c r="CZ297" s="40">
        <v>0</v>
      </c>
      <c r="DA297" s="40">
        <v>0</v>
      </c>
      <c r="DB297" s="40">
        <v>0</v>
      </c>
      <c r="DD297" s="40">
        <v>2</v>
      </c>
      <c r="DI297" s="40" t="s">
        <v>0</v>
      </c>
    </row>
    <row r="298" spans="1:113" s="40" customFormat="1" ht="15.75" thickBot="1" x14ac:dyDescent="0.3">
      <c r="A298" s="40">
        <v>528175</v>
      </c>
      <c r="B298" s="40" t="s">
        <v>6</v>
      </c>
      <c r="C298" s="53" t="s">
        <v>674</v>
      </c>
      <c r="D298" s="40">
        <v>32</v>
      </c>
      <c r="E298" s="40">
        <v>0</v>
      </c>
      <c r="F298" s="40">
        <v>32</v>
      </c>
      <c r="G298" s="40">
        <v>276</v>
      </c>
      <c r="H298" s="40">
        <v>0</v>
      </c>
      <c r="I298" s="40">
        <v>125</v>
      </c>
      <c r="J298" s="54" t="s">
        <v>736</v>
      </c>
      <c r="K298" s="54" t="s">
        <v>737</v>
      </c>
      <c r="L298" s="56">
        <v>45966</v>
      </c>
      <c r="M298" s="40">
        <v>0</v>
      </c>
      <c r="N298" s="40">
        <v>0</v>
      </c>
      <c r="O298" s="40">
        <v>0</v>
      </c>
      <c r="S298" s="40" t="b">
        <v>0</v>
      </c>
      <c r="T298" s="40">
        <v>0.01</v>
      </c>
      <c r="U298" s="52">
        <v>2.7000000480000002</v>
      </c>
      <c r="V298" s="40">
        <v>0.01</v>
      </c>
      <c r="W298" s="40">
        <v>0</v>
      </c>
      <c r="X298" s="40">
        <v>1000</v>
      </c>
      <c r="Z298" s="40">
        <v>10</v>
      </c>
      <c r="AB298" s="52">
        <v>250</v>
      </c>
      <c r="AD298" s="40">
        <v>10</v>
      </c>
      <c r="AF298" s="40">
        <v>2000</v>
      </c>
      <c r="AG298" s="40">
        <v>2</v>
      </c>
      <c r="AH298" s="40">
        <v>2.7200000289999999</v>
      </c>
      <c r="AI298" s="40">
        <v>461</v>
      </c>
      <c r="AJ298" s="40">
        <v>0</v>
      </c>
      <c r="AK298" s="40">
        <v>317</v>
      </c>
      <c r="AM298" s="40" t="s">
        <v>2</v>
      </c>
      <c r="AO298" s="40">
        <v>250</v>
      </c>
      <c r="AW298" s="40" t="b">
        <v>0</v>
      </c>
      <c r="BE298" s="244"/>
      <c r="BF298" s="40">
        <v>1</v>
      </c>
      <c r="BG298" s="40">
        <v>0.55000000000000004</v>
      </c>
      <c r="BH298" s="40">
        <v>1</v>
      </c>
      <c r="BI298" s="40">
        <v>0.55000000000000004</v>
      </c>
      <c r="BJ298" s="40">
        <v>0</v>
      </c>
      <c r="BM298" s="40" t="s">
        <v>1</v>
      </c>
      <c r="BN298" s="58">
        <v>32</v>
      </c>
      <c r="BO298" s="58" t="s">
        <v>677</v>
      </c>
      <c r="BP298" s="58">
        <v>250</v>
      </c>
      <c r="BT298" s="59"/>
      <c r="BU298" s="59"/>
      <c r="BV298" s="59"/>
      <c r="BW298" s="59"/>
      <c r="BX298" s="59"/>
      <c r="BY298" s="59"/>
      <c r="BZ298" s="59"/>
      <c r="CA298" s="59"/>
      <c r="CB298" s="59"/>
      <c r="CC298" s="59"/>
      <c r="CD298" s="59"/>
      <c r="CE298" s="60"/>
      <c r="CF298" s="44" t="s">
        <v>12</v>
      </c>
      <c r="CR298" s="40">
        <v>0</v>
      </c>
      <c r="CS298" s="40">
        <v>0</v>
      </c>
      <c r="CT298" s="40">
        <v>0</v>
      </c>
      <c r="CU298" s="40">
        <v>1</v>
      </c>
      <c r="CV298" s="40">
        <v>0</v>
      </c>
      <c r="CW298" s="40">
        <v>0</v>
      </c>
      <c r="CX298" s="40">
        <v>0</v>
      </c>
      <c r="CY298" s="40">
        <v>0</v>
      </c>
      <c r="CZ298" s="40">
        <v>0</v>
      </c>
      <c r="DA298" s="40">
        <v>0</v>
      </c>
      <c r="DB298" s="40">
        <v>0</v>
      </c>
      <c r="DD298" s="40">
        <v>2</v>
      </c>
      <c r="DI298" s="40" t="s">
        <v>0</v>
      </c>
    </row>
    <row r="299" spans="1:113" s="40" customFormat="1" ht="15.75" thickBot="1" x14ac:dyDescent="0.3">
      <c r="A299" s="40">
        <v>528176</v>
      </c>
      <c r="B299" s="40" t="s">
        <v>6</v>
      </c>
      <c r="C299" s="53" t="s">
        <v>674</v>
      </c>
      <c r="D299" s="40">
        <v>32</v>
      </c>
      <c r="E299" s="40">
        <v>0</v>
      </c>
      <c r="F299" s="40">
        <v>32</v>
      </c>
      <c r="G299" s="40">
        <v>277</v>
      </c>
      <c r="H299" s="40">
        <v>0</v>
      </c>
      <c r="I299" s="40">
        <v>125</v>
      </c>
      <c r="J299" s="54" t="s">
        <v>738</v>
      </c>
      <c r="K299" s="54" t="s">
        <v>739</v>
      </c>
      <c r="L299" s="56">
        <v>45966</v>
      </c>
      <c r="M299" s="40">
        <v>0</v>
      </c>
      <c r="N299" s="40">
        <v>0</v>
      </c>
      <c r="O299" s="40">
        <v>0</v>
      </c>
      <c r="S299" s="40" t="b">
        <v>0</v>
      </c>
      <c r="T299" s="40">
        <v>0.01</v>
      </c>
      <c r="U299" s="52">
        <v>2.7000000480000002</v>
      </c>
      <c r="V299" s="40">
        <v>0.01</v>
      </c>
      <c r="W299" s="40">
        <v>0</v>
      </c>
      <c r="X299" s="40">
        <v>1000</v>
      </c>
      <c r="Z299" s="40">
        <v>10</v>
      </c>
      <c r="AB299" s="52">
        <v>250</v>
      </c>
      <c r="AD299" s="40">
        <v>10</v>
      </c>
      <c r="AF299" s="40">
        <v>2000</v>
      </c>
      <c r="AG299" s="40">
        <v>2</v>
      </c>
      <c r="AH299" s="40">
        <v>2.7200000289999999</v>
      </c>
      <c r="AI299" s="40">
        <v>457</v>
      </c>
      <c r="AJ299" s="40">
        <v>0</v>
      </c>
      <c r="AK299" s="40">
        <v>315</v>
      </c>
      <c r="AM299" s="40" t="s">
        <v>2</v>
      </c>
      <c r="AO299" s="40">
        <v>250</v>
      </c>
      <c r="AW299" s="40" t="b">
        <v>0</v>
      </c>
      <c r="BE299" s="244"/>
      <c r="BF299" s="40">
        <v>1</v>
      </c>
      <c r="BG299" s="40">
        <v>0.55000000000000004</v>
      </c>
      <c r="BH299" s="40">
        <v>1</v>
      </c>
      <c r="BI299" s="40">
        <v>0.55000000000000004</v>
      </c>
      <c r="BJ299" s="40">
        <v>0</v>
      </c>
      <c r="BM299" s="40" t="s">
        <v>1</v>
      </c>
      <c r="BN299" s="58">
        <v>32</v>
      </c>
      <c r="BO299" s="58" t="s">
        <v>677</v>
      </c>
      <c r="BP299" s="58">
        <v>250</v>
      </c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60"/>
      <c r="CF299" s="44" t="s">
        <v>12</v>
      </c>
      <c r="CR299" s="40">
        <v>0</v>
      </c>
      <c r="CS299" s="40">
        <v>0</v>
      </c>
      <c r="CT299" s="40">
        <v>0</v>
      </c>
      <c r="CU299" s="40">
        <v>1</v>
      </c>
      <c r="CV299" s="40">
        <v>0</v>
      </c>
      <c r="CW299" s="40">
        <v>0</v>
      </c>
      <c r="CX299" s="40">
        <v>0</v>
      </c>
      <c r="CY299" s="40">
        <v>0</v>
      </c>
      <c r="CZ299" s="40">
        <v>0</v>
      </c>
      <c r="DA299" s="40">
        <v>0</v>
      </c>
      <c r="DB299" s="40">
        <v>0</v>
      </c>
      <c r="DD299" s="40">
        <v>2</v>
      </c>
      <c r="DI299" s="40" t="s">
        <v>0</v>
      </c>
    </row>
    <row r="300" spans="1:113" s="40" customFormat="1" ht="15.75" thickBot="1" x14ac:dyDescent="0.3">
      <c r="A300" s="40">
        <v>528177</v>
      </c>
      <c r="B300" s="40" t="s">
        <v>6</v>
      </c>
      <c r="C300" s="53" t="s">
        <v>674</v>
      </c>
      <c r="D300" s="40">
        <v>32</v>
      </c>
      <c r="E300" s="40">
        <v>0</v>
      </c>
      <c r="F300" s="40">
        <v>32</v>
      </c>
      <c r="G300" s="40">
        <v>278</v>
      </c>
      <c r="H300" s="40">
        <v>0</v>
      </c>
      <c r="I300" s="40">
        <v>125</v>
      </c>
      <c r="J300" s="54" t="s">
        <v>740</v>
      </c>
      <c r="K300" s="54" t="s">
        <v>741</v>
      </c>
      <c r="L300" s="56">
        <v>45966</v>
      </c>
      <c r="M300" s="40">
        <v>0</v>
      </c>
      <c r="N300" s="40">
        <v>0</v>
      </c>
      <c r="O300" s="40">
        <v>0</v>
      </c>
      <c r="S300" s="40" t="b">
        <v>0</v>
      </c>
      <c r="T300" s="40">
        <v>0.01</v>
      </c>
      <c r="U300" s="52">
        <v>2.7000000480000002</v>
      </c>
      <c r="V300" s="40">
        <v>0.01</v>
      </c>
      <c r="W300" s="40">
        <v>0</v>
      </c>
      <c r="X300" s="40">
        <v>1000</v>
      </c>
      <c r="Z300" s="40">
        <v>10</v>
      </c>
      <c r="AB300" s="52">
        <v>250</v>
      </c>
      <c r="AD300" s="40">
        <v>10</v>
      </c>
      <c r="AF300" s="40">
        <v>2000</v>
      </c>
      <c r="AG300" s="40">
        <v>2</v>
      </c>
      <c r="AH300" s="40">
        <v>2.7200000289999999</v>
      </c>
      <c r="AI300" s="40">
        <v>461</v>
      </c>
      <c r="AJ300" s="40">
        <v>0</v>
      </c>
      <c r="AK300" s="40">
        <v>315</v>
      </c>
      <c r="AM300" s="40" t="s">
        <v>2</v>
      </c>
      <c r="AO300" s="40">
        <v>250</v>
      </c>
      <c r="AW300" s="40" t="b">
        <v>0</v>
      </c>
      <c r="BE300" s="244"/>
      <c r="BF300" s="40">
        <v>1</v>
      </c>
      <c r="BG300" s="40">
        <v>0.55000000000000004</v>
      </c>
      <c r="BH300" s="40">
        <v>1</v>
      </c>
      <c r="BI300" s="40">
        <v>0.55000000000000004</v>
      </c>
      <c r="BJ300" s="40">
        <v>0</v>
      </c>
      <c r="BM300" s="40" t="s">
        <v>1</v>
      </c>
      <c r="BN300" s="58">
        <v>32</v>
      </c>
      <c r="BO300" s="58" t="s">
        <v>677</v>
      </c>
      <c r="BP300" s="58">
        <v>250</v>
      </c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60"/>
      <c r="CF300" s="44" t="s">
        <v>12</v>
      </c>
      <c r="CR300" s="40">
        <v>0</v>
      </c>
      <c r="CS300" s="40">
        <v>0</v>
      </c>
      <c r="CT300" s="40">
        <v>0</v>
      </c>
      <c r="CU300" s="40">
        <v>1</v>
      </c>
      <c r="CV300" s="40">
        <v>0</v>
      </c>
      <c r="CW300" s="40">
        <v>0</v>
      </c>
      <c r="CX300" s="40">
        <v>0</v>
      </c>
      <c r="CY300" s="40">
        <v>0</v>
      </c>
      <c r="CZ300" s="40">
        <v>0</v>
      </c>
      <c r="DA300" s="40">
        <v>0</v>
      </c>
      <c r="DB300" s="40">
        <v>0</v>
      </c>
      <c r="DD300" s="40">
        <v>2</v>
      </c>
      <c r="DI300" s="40" t="s">
        <v>0</v>
      </c>
    </row>
    <row r="301" spans="1:113" s="40" customFormat="1" ht="15.75" thickBot="1" x14ac:dyDescent="0.3">
      <c r="A301" s="40">
        <v>528178</v>
      </c>
      <c r="B301" s="40" t="s">
        <v>6</v>
      </c>
      <c r="C301" s="53" t="s">
        <v>674</v>
      </c>
      <c r="D301" s="40">
        <v>32</v>
      </c>
      <c r="E301" s="40">
        <v>0</v>
      </c>
      <c r="F301" s="40">
        <v>32</v>
      </c>
      <c r="G301" s="40">
        <v>279</v>
      </c>
      <c r="H301" s="40">
        <v>0</v>
      </c>
      <c r="I301" s="40">
        <v>125</v>
      </c>
      <c r="J301" s="54" t="s">
        <v>742</v>
      </c>
      <c r="K301" s="54" t="s">
        <v>743</v>
      </c>
      <c r="L301" s="56">
        <v>45966</v>
      </c>
      <c r="M301" s="40">
        <v>0</v>
      </c>
      <c r="N301" s="40">
        <v>0</v>
      </c>
      <c r="O301" s="40">
        <v>0</v>
      </c>
      <c r="S301" s="40" t="b">
        <v>0</v>
      </c>
      <c r="T301" s="40">
        <v>0.01</v>
      </c>
      <c r="U301" s="52">
        <v>2.7000000480000002</v>
      </c>
      <c r="V301" s="40">
        <v>0.01</v>
      </c>
      <c r="W301" s="40">
        <v>0</v>
      </c>
      <c r="X301" s="40">
        <v>1000</v>
      </c>
      <c r="Z301" s="40">
        <v>10</v>
      </c>
      <c r="AB301" s="52">
        <v>250</v>
      </c>
      <c r="AD301" s="40">
        <v>10</v>
      </c>
      <c r="AF301" s="40">
        <v>2000</v>
      </c>
      <c r="AG301" s="40">
        <v>2</v>
      </c>
      <c r="AH301" s="40">
        <v>2.7200000289999999</v>
      </c>
      <c r="AI301" s="40">
        <v>461</v>
      </c>
      <c r="AJ301" s="40">
        <v>0</v>
      </c>
      <c r="AK301" s="40">
        <v>317</v>
      </c>
      <c r="AM301" s="40" t="s">
        <v>2</v>
      </c>
      <c r="AO301" s="40">
        <v>250</v>
      </c>
      <c r="AW301" s="40" t="b">
        <v>0</v>
      </c>
      <c r="BE301" s="244"/>
      <c r="BF301" s="40">
        <v>1</v>
      </c>
      <c r="BG301" s="40">
        <v>0.55000000000000004</v>
      </c>
      <c r="BH301" s="40">
        <v>1</v>
      </c>
      <c r="BI301" s="40">
        <v>0.55000000000000004</v>
      </c>
      <c r="BJ301" s="40">
        <v>0</v>
      </c>
      <c r="BM301" s="40" t="s">
        <v>1</v>
      </c>
      <c r="BN301" s="58">
        <v>32</v>
      </c>
      <c r="BO301" s="58" t="s">
        <v>677</v>
      </c>
      <c r="BP301" s="58">
        <v>250</v>
      </c>
      <c r="BT301" s="59"/>
      <c r="BU301" s="59"/>
      <c r="BV301" s="59"/>
      <c r="BW301" s="59"/>
      <c r="BX301" s="59"/>
      <c r="BY301" s="59"/>
      <c r="BZ301" s="59"/>
      <c r="CA301" s="59"/>
      <c r="CB301" s="59"/>
      <c r="CC301" s="59"/>
      <c r="CD301" s="59"/>
      <c r="CE301" s="60"/>
      <c r="CF301" s="44" t="s">
        <v>12</v>
      </c>
      <c r="CR301" s="40">
        <v>0</v>
      </c>
      <c r="CS301" s="40">
        <v>0</v>
      </c>
      <c r="CT301" s="40">
        <v>0</v>
      </c>
      <c r="CU301" s="40">
        <v>1</v>
      </c>
      <c r="CV301" s="40">
        <v>0</v>
      </c>
      <c r="CW301" s="40">
        <v>0</v>
      </c>
      <c r="CX301" s="40">
        <v>0</v>
      </c>
      <c r="CY301" s="40">
        <v>0</v>
      </c>
      <c r="CZ301" s="40">
        <v>0</v>
      </c>
      <c r="DA301" s="40">
        <v>0</v>
      </c>
      <c r="DB301" s="40">
        <v>0</v>
      </c>
      <c r="DD301" s="40">
        <v>2</v>
      </c>
      <c r="DI301" s="40" t="s">
        <v>0</v>
      </c>
    </row>
    <row r="302" spans="1:113" s="40" customFormat="1" ht="15.75" thickBot="1" x14ac:dyDescent="0.3">
      <c r="A302" s="40">
        <v>528145</v>
      </c>
      <c r="B302" s="40" t="s">
        <v>6</v>
      </c>
      <c r="C302" s="53" t="s">
        <v>674</v>
      </c>
      <c r="D302" s="40">
        <v>32</v>
      </c>
      <c r="E302" s="40">
        <v>0</v>
      </c>
      <c r="F302" s="40">
        <v>32</v>
      </c>
      <c r="G302" s="40">
        <v>246</v>
      </c>
      <c r="H302" s="40">
        <v>0</v>
      </c>
      <c r="I302" s="40">
        <v>125</v>
      </c>
      <c r="J302" s="54" t="s">
        <v>744</v>
      </c>
      <c r="K302" s="54" t="s">
        <v>745</v>
      </c>
      <c r="L302" s="56">
        <v>45966</v>
      </c>
      <c r="M302" s="40">
        <v>0</v>
      </c>
      <c r="N302" s="40">
        <v>0</v>
      </c>
      <c r="O302" s="40">
        <v>0</v>
      </c>
      <c r="S302" s="40" t="b">
        <v>0</v>
      </c>
      <c r="T302" s="40">
        <v>0.01</v>
      </c>
      <c r="U302" s="52">
        <v>2.7000000480000002</v>
      </c>
      <c r="V302" s="40">
        <v>0.01</v>
      </c>
      <c r="W302" s="40">
        <v>0</v>
      </c>
      <c r="X302" s="40">
        <v>1000</v>
      </c>
      <c r="Z302" s="40">
        <v>10</v>
      </c>
      <c r="AB302" s="52">
        <v>250</v>
      </c>
      <c r="AD302" s="40">
        <v>10</v>
      </c>
      <c r="AF302" s="40">
        <v>2000</v>
      </c>
      <c r="AG302" s="40">
        <v>2</v>
      </c>
      <c r="AH302" s="40">
        <v>2.7200000289999999</v>
      </c>
      <c r="AI302" s="40">
        <v>465</v>
      </c>
      <c r="AJ302" s="40">
        <v>0</v>
      </c>
      <c r="AK302" s="40">
        <v>321</v>
      </c>
      <c r="AM302" s="40" t="s">
        <v>2</v>
      </c>
      <c r="AO302" s="40">
        <v>250</v>
      </c>
      <c r="AW302" s="40" t="b">
        <v>0</v>
      </c>
      <c r="BE302" s="244"/>
      <c r="BF302" s="40">
        <v>1</v>
      </c>
      <c r="BG302" s="40">
        <v>0.55000000000000004</v>
      </c>
      <c r="BH302" s="40">
        <v>1</v>
      </c>
      <c r="BI302" s="40">
        <v>0.55000000000000004</v>
      </c>
      <c r="BJ302" s="40">
        <v>0</v>
      </c>
      <c r="BM302" s="40" t="s">
        <v>1</v>
      </c>
      <c r="BN302" s="58">
        <v>32</v>
      </c>
      <c r="BO302" s="58" t="s">
        <v>677</v>
      </c>
      <c r="BP302" s="58">
        <v>250</v>
      </c>
      <c r="BT302" s="59"/>
      <c r="BU302" s="59"/>
      <c r="BV302" s="59"/>
      <c r="BW302" s="59"/>
      <c r="BX302" s="59"/>
      <c r="BY302" s="59"/>
      <c r="BZ302" s="59"/>
      <c r="CA302" s="59"/>
      <c r="CB302" s="59"/>
      <c r="CC302" s="59"/>
      <c r="CD302" s="59"/>
      <c r="CE302" s="60"/>
      <c r="CF302" s="44" t="s">
        <v>12</v>
      </c>
      <c r="CR302" s="40">
        <v>0</v>
      </c>
      <c r="CS302" s="40">
        <v>0</v>
      </c>
      <c r="CT302" s="40">
        <v>0</v>
      </c>
      <c r="CU302" s="40">
        <v>1</v>
      </c>
      <c r="CV302" s="40">
        <v>0</v>
      </c>
      <c r="CW302" s="40">
        <v>0</v>
      </c>
      <c r="CX302" s="40">
        <v>0</v>
      </c>
      <c r="CY302" s="40">
        <v>0</v>
      </c>
      <c r="CZ302" s="40">
        <v>0</v>
      </c>
      <c r="DA302" s="40">
        <v>0</v>
      </c>
      <c r="DB302" s="40">
        <v>0</v>
      </c>
      <c r="DD302" s="40">
        <v>2</v>
      </c>
      <c r="DI302" s="40" t="s">
        <v>0</v>
      </c>
    </row>
    <row r="303" spans="1:113" s="40" customFormat="1" ht="15.75" thickBot="1" x14ac:dyDescent="0.3">
      <c r="A303" s="40">
        <v>528146</v>
      </c>
      <c r="B303" s="40" t="s">
        <v>6</v>
      </c>
      <c r="C303" s="53" t="s">
        <v>674</v>
      </c>
      <c r="D303" s="40">
        <v>32</v>
      </c>
      <c r="E303" s="40">
        <v>0</v>
      </c>
      <c r="F303" s="40">
        <v>32</v>
      </c>
      <c r="G303" s="40">
        <v>247</v>
      </c>
      <c r="H303" s="40">
        <v>0</v>
      </c>
      <c r="I303" s="40">
        <v>125</v>
      </c>
      <c r="J303" s="54" t="s">
        <v>746</v>
      </c>
      <c r="K303" s="54" t="s">
        <v>747</v>
      </c>
      <c r="L303" s="56">
        <v>45966</v>
      </c>
      <c r="M303" s="40">
        <v>0</v>
      </c>
      <c r="N303" s="40">
        <v>0</v>
      </c>
      <c r="O303" s="40">
        <v>0</v>
      </c>
      <c r="S303" s="40" t="b">
        <v>0</v>
      </c>
      <c r="T303" s="40">
        <v>0.01</v>
      </c>
      <c r="U303" s="52">
        <v>2.7000000480000002</v>
      </c>
      <c r="V303" s="40">
        <v>0.01</v>
      </c>
      <c r="W303" s="40">
        <v>0</v>
      </c>
      <c r="X303" s="40">
        <v>1000</v>
      </c>
      <c r="Z303" s="40">
        <v>10</v>
      </c>
      <c r="AB303" s="52">
        <v>250</v>
      </c>
      <c r="AD303" s="40">
        <v>10</v>
      </c>
      <c r="AF303" s="40">
        <v>2000</v>
      </c>
      <c r="AG303" s="40">
        <v>2</v>
      </c>
      <c r="AH303" s="40">
        <v>2.7200000289999999</v>
      </c>
      <c r="AI303" s="40">
        <v>474</v>
      </c>
      <c r="AJ303" s="40">
        <v>0</v>
      </c>
      <c r="AK303" s="40">
        <v>326</v>
      </c>
      <c r="AM303" s="40" t="s">
        <v>2</v>
      </c>
      <c r="AO303" s="40">
        <v>250</v>
      </c>
      <c r="AW303" s="40" t="b">
        <v>0</v>
      </c>
      <c r="BE303" s="244"/>
      <c r="BF303" s="40">
        <v>1</v>
      </c>
      <c r="BG303" s="40">
        <v>0.55000000000000004</v>
      </c>
      <c r="BH303" s="40">
        <v>1</v>
      </c>
      <c r="BI303" s="40">
        <v>0.55000000000000004</v>
      </c>
      <c r="BJ303" s="40">
        <v>0</v>
      </c>
      <c r="BM303" s="40" t="s">
        <v>1</v>
      </c>
      <c r="BN303" s="58">
        <v>32</v>
      </c>
      <c r="BO303" s="58" t="s">
        <v>677</v>
      </c>
      <c r="BP303" s="58">
        <v>250</v>
      </c>
      <c r="BT303" s="59"/>
      <c r="BU303" s="59"/>
      <c r="BV303" s="59"/>
      <c r="BW303" s="59"/>
      <c r="BX303" s="59"/>
      <c r="BY303" s="59"/>
      <c r="BZ303" s="59"/>
      <c r="CA303" s="59"/>
      <c r="CB303" s="59"/>
      <c r="CC303" s="59"/>
      <c r="CD303" s="59"/>
      <c r="CE303" s="60"/>
      <c r="CF303" s="44" t="s">
        <v>12</v>
      </c>
      <c r="CR303" s="40">
        <v>0</v>
      </c>
      <c r="CS303" s="40">
        <v>0</v>
      </c>
      <c r="CT303" s="40">
        <v>0</v>
      </c>
      <c r="CU303" s="40">
        <v>1</v>
      </c>
      <c r="CV303" s="40">
        <v>0</v>
      </c>
      <c r="CW303" s="40">
        <v>0</v>
      </c>
      <c r="CX303" s="40">
        <v>0</v>
      </c>
      <c r="CY303" s="40">
        <v>0</v>
      </c>
      <c r="CZ303" s="40">
        <v>0</v>
      </c>
      <c r="DA303" s="40">
        <v>0</v>
      </c>
      <c r="DB303" s="40">
        <v>0</v>
      </c>
      <c r="DD303" s="40">
        <v>2</v>
      </c>
      <c r="DI303" s="40" t="s">
        <v>0</v>
      </c>
    </row>
    <row r="304" spans="1:113" s="40" customFormat="1" ht="15.75" thickBot="1" x14ac:dyDescent="0.3">
      <c r="A304" s="40">
        <v>528111</v>
      </c>
      <c r="B304" s="40" t="s">
        <v>6</v>
      </c>
      <c r="C304" s="53" t="s">
        <v>674</v>
      </c>
      <c r="D304" s="40">
        <v>32</v>
      </c>
      <c r="E304" s="40">
        <v>0</v>
      </c>
      <c r="F304" s="40">
        <v>32</v>
      </c>
      <c r="G304" s="40">
        <v>212</v>
      </c>
      <c r="H304" s="40">
        <v>0</v>
      </c>
      <c r="I304" s="40">
        <v>125</v>
      </c>
      <c r="J304" s="54" t="s">
        <v>748</v>
      </c>
      <c r="K304" s="54" t="s">
        <v>749</v>
      </c>
      <c r="L304" s="56">
        <v>45966</v>
      </c>
      <c r="M304" s="40">
        <v>0</v>
      </c>
      <c r="N304" s="40">
        <v>0</v>
      </c>
      <c r="O304" s="40">
        <v>0</v>
      </c>
      <c r="S304" s="40" t="b">
        <v>0</v>
      </c>
      <c r="T304" s="40">
        <v>0.01</v>
      </c>
      <c r="U304" s="52">
        <v>2.7000000480000002</v>
      </c>
      <c r="V304" s="40">
        <v>0.01</v>
      </c>
      <c r="W304" s="40">
        <v>0</v>
      </c>
      <c r="X304" s="40">
        <v>1000</v>
      </c>
      <c r="Z304" s="40">
        <v>10</v>
      </c>
      <c r="AB304" s="52">
        <v>250</v>
      </c>
      <c r="AD304" s="40">
        <v>10</v>
      </c>
      <c r="AF304" s="40">
        <v>2000</v>
      </c>
      <c r="AG304" s="40">
        <v>2</v>
      </c>
      <c r="AH304" s="40">
        <v>2.7200000289999999</v>
      </c>
      <c r="AI304" s="40">
        <v>474</v>
      </c>
      <c r="AJ304" s="40">
        <v>0</v>
      </c>
      <c r="AK304" s="40">
        <v>325</v>
      </c>
      <c r="AM304" s="40" t="s">
        <v>2</v>
      </c>
      <c r="AO304" s="40">
        <v>250</v>
      </c>
      <c r="AW304" s="40" t="b">
        <v>0</v>
      </c>
      <c r="BE304" s="244"/>
      <c r="BF304" s="40">
        <v>1</v>
      </c>
      <c r="BG304" s="40">
        <v>0.55000000000000004</v>
      </c>
      <c r="BH304" s="40">
        <v>1</v>
      </c>
      <c r="BI304" s="40">
        <v>0.55000000000000004</v>
      </c>
      <c r="BJ304" s="40">
        <v>0</v>
      </c>
      <c r="BM304" s="40" t="s">
        <v>1</v>
      </c>
      <c r="BN304" s="58">
        <v>32</v>
      </c>
      <c r="BO304" s="58" t="s">
        <v>677</v>
      </c>
      <c r="BP304" s="58">
        <v>250</v>
      </c>
      <c r="BT304" s="59"/>
      <c r="BU304" s="59"/>
      <c r="BV304" s="59"/>
      <c r="BW304" s="59"/>
      <c r="BX304" s="59"/>
      <c r="BY304" s="59"/>
      <c r="BZ304" s="59"/>
      <c r="CA304" s="59"/>
      <c r="CB304" s="59"/>
      <c r="CC304" s="59"/>
      <c r="CD304" s="59"/>
      <c r="CE304" s="60"/>
      <c r="CF304" s="44" t="s">
        <v>12</v>
      </c>
      <c r="CR304" s="40">
        <v>0</v>
      </c>
      <c r="CS304" s="40">
        <v>0</v>
      </c>
      <c r="CT304" s="40">
        <v>0</v>
      </c>
      <c r="CU304" s="40">
        <v>1</v>
      </c>
      <c r="CV304" s="40">
        <v>0</v>
      </c>
      <c r="CW304" s="40">
        <v>0</v>
      </c>
      <c r="CX304" s="40">
        <v>0</v>
      </c>
      <c r="CY304" s="40">
        <v>0</v>
      </c>
      <c r="CZ304" s="40">
        <v>0</v>
      </c>
      <c r="DA304" s="40">
        <v>0</v>
      </c>
      <c r="DB304" s="40">
        <v>0</v>
      </c>
      <c r="DD304" s="40">
        <v>2</v>
      </c>
      <c r="DI304" s="40" t="s">
        <v>0</v>
      </c>
    </row>
    <row r="305" spans="1:113" s="40" customFormat="1" ht="15.75" thickBot="1" x14ac:dyDescent="0.3">
      <c r="A305" s="40">
        <v>528112</v>
      </c>
      <c r="B305" s="40" t="s">
        <v>6</v>
      </c>
      <c r="C305" s="53" t="s">
        <v>674</v>
      </c>
      <c r="D305" s="40">
        <v>32</v>
      </c>
      <c r="E305" s="40">
        <v>0</v>
      </c>
      <c r="F305" s="40">
        <v>32</v>
      </c>
      <c r="G305" s="40">
        <v>213</v>
      </c>
      <c r="H305" s="40">
        <v>0</v>
      </c>
      <c r="I305" s="40">
        <v>125</v>
      </c>
      <c r="J305" s="54" t="s">
        <v>750</v>
      </c>
      <c r="K305" s="54" t="s">
        <v>751</v>
      </c>
      <c r="L305" s="56">
        <v>45966</v>
      </c>
      <c r="M305" s="40">
        <v>0</v>
      </c>
      <c r="N305" s="40">
        <v>0</v>
      </c>
      <c r="O305" s="40">
        <v>0</v>
      </c>
      <c r="S305" s="40" t="b">
        <v>0</v>
      </c>
      <c r="T305" s="40">
        <v>0.01</v>
      </c>
      <c r="U305" s="52">
        <v>2.7000000480000002</v>
      </c>
      <c r="V305" s="40">
        <v>0.01</v>
      </c>
      <c r="W305" s="40">
        <v>0</v>
      </c>
      <c r="X305" s="40">
        <v>1000</v>
      </c>
      <c r="Z305" s="40">
        <v>10</v>
      </c>
      <c r="AB305" s="52">
        <v>250</v>
      </c>
      <c r="AD305" s="40">
        <v>10</v>
      </c>
      <c r="AF305" s="40">
        <v>2000</v>
      </c>
      <c r="AG305" s="40">
        <v>2</v>
      </c>
      <c r="AH305" s="40">
        <v>2.7200000289999999</v>
      </c>
      <c r="AI305" s="40">
        <v>474</v>
      </c>
      <c r="AJ305" s="40">
        <v>0</v>
      </c>
      <c r="AK305" s="40">
        <v>327</v>
      </c>
      <c r="AM305" s="40" t="s">
        <v>2</v>
      </c>
      <c r="AO305" s="40">
        <v>250</v>
      </c>
      <c r="AW305" s="40" t="b">
        <v>0</v>
      </c>
      <c r="BE305" s="244"/>
      <c r="BF305" s="40">
        <v>1</v>
      </c>
      <c r="BG305" s="40">
        <v>0.55000000000000004</v>
      </c>
      <c r="BH305" s="40">
        <v>1</v>
      </c>
      <c r="BI305" s="40">
        <v>0.55000000000000004</v>
      </c>
      <c r="BJ305" s="40">
        <v>0</v>
      </c>
      <c r="BM305" s="40" t="s">
        <v>1</v>
      </c>
      <c r="BN305" s="58">
        <v>32</v>
      </c>
      <c r="BO305" s="58" t="s">
        <v>677</v>
      </c>
      <c r="BP305" s="58">
        <v>250</v>
      </c>
      <c r="BT305" s="59"/>
      <c r="BU305" s="59"/>
      <c r="BV305" s="59"/>
      <c r="BW305" s="59"/>
      <c r="BX305" s="59"/>
      <c r="BY305" s="59"/>
      <c r="BZ305" s="59"/>
      <c r="CA305" s="59"/>
      <c r="CB305" s="59"/>
      <c r="CC305" s="59"/>
      <c r="CD305" s="59"/>
      <c r="CE305" s="60"/>
      <c r="CF305" s="44" t="s">
        <v>12</v>
      </c>
      <c r="CR305" s="40">
        <v>0</v>
      </c>
      <c r="CS305" s="40">
        <v>0</v>
      </c>
      <c r="CT305" s="40">
        <v>0</v>
      </c>
      <c r="CU305" s="40">
        <v>1</v>
      </c>
      <c r="CV305" s="40">
        <v>0</v>
      </c>
      <c r="CW305" s="40">
        <v>0</v>
      </c>
      <c r="CX305" s="40">
        <v>0</v>
      </c>
      <c r="CY305" s="40">
        <v>0</v>
      </c>
      <c r="CZ305" s="40">
        <v>0</v>
      </c>
      <c r="DA305" s="40">
        <v>0</v>
      </c>
      <c r="DB305" s="40">
        <v>0</v>
      </c>
      <c r="DD305" s="40">
        <v>2</v>
      </c>
      <c r="DI305" s="40" t="s">
        <v>0</v>
      </c>
    </row>
    <row r="306" spans="1:113" s="40" customFormat="1" ht="15.75" thickBot="1" x14ac:dyDescent="0.3">
      <c r="A306" s="40">
        <v>528113</v>
      </c>
      <c r="B306" s="40" t="s">
        <v>6</v>
      </c>
      <c r="C306" s="53" t="s">
        <v>674</v>
      </c>
      <c r="D306" s="40">
        <v>32</v>
      </c>
      <c r="E306" s="40">
        <v>0</v>
      </c>
      <c r="F306" s="40">
        <v>32</v>
      </c>
      <c r="G306" s="40">
        <v>214</v>
      </c>
      <c r="H306" s="40">
        <v>0</v>
      </c>
      <c r="I306" s="40">
        <v>125</v>
      </c>
      <c r="J306" s="54" t="s">
        <v>752</v>
      </c>
      <c r="K306" s="54" t="s">
        <v>753</v>
      </c>
      <c r="L306" s="56">
        <v>45966</v>
      </c>
      <c r="M306" s="40">
        <v>0</v>
      </c>
      <c r="N306" s="40">
        <v>0</v>
      </c>
      <c r="O306" s="40">
        <v>0</v>
      </c>
      <c r="S306" s="40" t="b">
        <v>0</v>
      </c>
      <c r="T306" s="40">
        <v>0.01</v>
      </c>
      <c r="U306" s="52">
        <v>2.7000000480000002</v>
      </c>
      <c r="V306" s="40">
        <v>0.01</v>
      </c>
      <c r="W306" s="40">
        <v>0</v>
      </c>
      <c r="X306" s="40">
        <v>1000</v>
      </c>
      <c r="Z306" s="40">
        <v>10</v>
      </c>
      <c r="AB306" s="52">
        <v>250</v>
      </c>
      <c r="AD306" s="40">
        <v>10</v>
      </c>
      <c r="AF306" s="40">
        <v>2000</v>
      </c>
      <c r="AG306" s="40">
        <v>2</v>
      </c>
      <c r="AH306" s="40">
        <v>2.7200000289999999</v>
      </c>
      <c r="AI306" s="40">
        <v>470</v>
      </c>
      <c r="AJ306" s="40">
        <v>0</v>
      </c>
      <c r="AK306" s="40">
        <v>322</v>
      </c>
      <c r="AM306" s="40" t="s">
        <v>2</v>
      </c>
      <c r="AO306" s="40">
        <v>250</v>
      </c>
      <c r="AW306" s="40" t="b">
        <v>0</v>
      </c>
      <c r="BE306" s="244"/>
      <c r="BF306" s="40">
        <v>1</v>
      </c>
      <c r="BG306" s="40">
        <v>0.55000000000000004</v>
      </c>
      <c r="BH306" s="40">
        <v>1</v>
      </c>
      <c r="BI306" s="40">
        <v>0.55000000000000004</v>
      </c>
      <c r="BJ306" s="40">
        <v>0</v>
      </c>
      <c r="BM306" s="40" t="s">
        <v>1</v>
      </c>
      <c r="BN306" s="58">
        <v>32</v>
      </c>
      <c r="BO306" s="58" t="s">
        <v>677</v>
      </c>
      <c r="BP306" s="58">
        <v>250</v>
      </c>
      <c r="BT306" s="59"/>
      <c r="BU306" s="59"/>
      <c r="BV306" s="59"/>
      <c r="BW306" s="59"/>
      <c r="BX306" s="59"/>
      <c r="BY306" s="59"/>
      <c r="BZ306" s="59"/>
      <c r="CA306" s="59"/>
      <c r="CB306" s="59"/>
      <c r="CC306" s="59"/>
      <c r="CD306" s="59"/>
      <c r="CE306" s="60"/>
      <c r="CF306" s="44" t="s">
        <v>12</v>
      </c>
      <c r="CR306" s="40">
        <v>0</v>
      </c>
      <c r="CS306" s="40">
        <v>0</v>
      </c>
      <c r="CT306" s="40">
        <v>0</v>
      </c>
      <c r="CU306" s="40">
        <v>1</v>
      </c>
      <c r="CV306" s="40">
        <v>0</v>
      </c>
      <c r="CW306" s="40">
        <v>0</v>
      </c>
      <c r="CX306" s="40">
        <v>0</v>
      </c>
      <c r="CY306" s="40">
        <v>0</v>
      </c>
      <c r="CZ306" s="40">
        <v>0</v>
      </c>
      <c r="DA306" s="40">
        <v>0</v>
      </c>
      <c r="DB306" s="40">
        <v>0</v>
      </c>
      <c r="DD306" s="40">
        <v>2</v>
      </c>
      <c r="DI306" s="40" t="s">
        <v>0</v>
      </c>
    </row>
    <row r="307" spans="1:113" s="40" customFormat="1" ht="15.75" thickBot="1" x14ac:dyDescent="0.3">
      <c r="A307" s="40">
        <v>528114</v>
      </c>
      <c r="B307" s="40" t="s">
        <v>6</v>
      </c>
      <c r="C307" s="53" t="s">
        <v>674</v>
      </c>
      <c r="D307" s="40">
        <v>32</v>
      </c>
      <c r="E307" s="40">
        <v>0</v>
      </c>
      <c r="F307" s="40">
        <v>32</v>
      </c>
      <c r="G307" s="40">
        <v>215</v>
      </c>
      <c r="H307" s="40">
        <v>0</v>
      </c>
      <c r="I307" s="40">
        <v>125</v>
      </c>
      <c r="J307" s="54" t="s">
        <v>754</v>
      </c>
      <c r="K307" s="54" t="s">
        <v>755</v>
      </c>
      <c r="L307" s="56">
        <v>45966</v>
      </c>
      <c r="M307" s="40">
        <v>0</v>
      </c>
      <c r="N307" s="40">
        <v>0</v>
      </c>
      <c r="O307" s="40">
        <v>0</v>
      </c>
      <c r="S307" s="40" t="b">
        <v>0</v>
      </c>
      <c r="T307" s="40">
        <v>0.01</v>
      </c>
      <c r="U307" s="52">
        <v>2.7000000480000002</v>
      </c>
      <c r="V307" s="40">
        <v>0.01</v>
      </c>
      <c r="W307" s="40">
        <v>0</v>
      </c>
      <c r="X307" s="40">
        <v>1000</v>
      </c>
      <c r="Z307" s="40">
        <v>10</v>
      </c>
      <c r="AB307" s="52">
        <v>250</v>
      </c>
      <c r="AD307" s="40">
        <v>10</v>
      </c>
      <c r="AF307" s="40">
        <v>2000</v>
      </c>
      <c r="AG307" s="40">
        <v>2</v>
      </c>
      <c r="AH307" s="40">
        <v>2.7200000289999999</v>
      </c>
      <c r="AI307" s="40">
        <v>470</v>
      </c>
      <c r="AJ307" s="40">
        <v>0</v>
      </c>
      <c r="AK307" s="40">
        <v>322</v>
      </c>
      <c r="AM307" s="40" t="s">
        <v>2</v>
      </c>
      <c r="AO307" s="40">
        <v>250</v>
      </c>
      <c r="AW307" s="40" t="b">
        <v>0</v>
      </c>
      <c r="BE307" s="244"/>
      <c r="BF307" s="40">
        <v>1</v>
      </c>
      <c r="BG307" s="40">
        <v>0.55000000000000004</v>
      </c>
      <c r="BH307" s="40">
        <v>1</v>
      </c>
      <c r="BI307" s="40">
        <v>0.55000000000000004</v>
      </c>
      <c r="BJ307" s="40">
        <v>0</v>
      </c>
      <c r="BM307" s="40" t="s">
        <v>1</v>
      </c>
      <c r="BN307" s="58">
        <v>32</v>
      </c>
      <c r="BO307" s="58" t="s">
        <v>677</v>
      </c>
      <c r="BP307" s="58">
        <v>250</v>
      </c>
      <c r="BT307" s="59"/>
      <c r="BU307" s="59"/>
      <c r="BV307" s="59"/>
      <c r="BW307" s="59"/>
      <c r="BX307" s="59"/>
      <c r="BY307" s="59"/>
      <c r="BZ307" s="59"/>
      <c r="CA307" s="59"/>
      <c r="CB307" s="59"/>
      <c r="CC307" s="59"/>
      <c r="CD307" s="59"/>
      <c r="CE307" s="60"/>
      <c r="CF307" s="44" t="s">
        <v>12</v>
      </c>
      <c r="CR307" s="40">
        <v>0</v>
      </c>
      <c r="CS307" s="40">
        <v>0</v>
      </c>
      <c r="CT307" s="40">
        <v>0</v>
      </c>
      <c r="CU307" s="40">
        <v>1</v>
      </c>
      <c r="CV307" s="40">
        <v>0</v>
      </c>
      <c r="CW307" s="40">
        <v>0</v>
      </c>
      <c r="CX307" s="40">
        <v>0</v>
      </c>
      <c r="CY307" s="40">
        <v>0</v>
      </c>
      <c r="CZ307" s="40">
        <v>0</v>
      </c>
      <c r="DA307" s="40">
        <v>0</v>
      </c>
      <c r="DB307" s="40">
        <v>0</v>
      </c>
      <c r="DD307" s="40">
        <v>2</v>
      </c>
      <c r="DI307" s="40" t="s">
        <v>0</v>
      </c>
    </row>
    <row r="308" spans="1:113" s="40" customFormat="1" ht="15.75" thickBot="1" x14ac:dyDescent="0.3">
      <c r="A308" s="40">
        <v>528115</v>
      </c>
      <c r="B308" s="40" t="s">
        <v>6</v>
      </c>
      <c r="C308" s="53" t="s">
        <v>674</v>
      </c>
      <c r="D308" s="40">
        <v>32</v>
      </c>
      <c r="E308" s="40">
        <v>0</v>
      </c>
      <c r="F308" s="40">
        <v>32</v>
      </c>
      <c r="G308" s="40">
        <v>216</v>
      </c>
      <c r="H308" s="40">
        <v>0</v>
      </c>
      <c r="I308" s="40">
        <v>125</v>
      </c>
      <c r="J308" s="54" t="s">
        <v>756</v>
      </c>
      <c r="K308" s="54" t="s">
        <v>757</v>
      </c>
      <c r="L308" s="56">
        <v>45966</v>
      </c>
      <c r="M308" s="40">
        <v>0</v>
      </c>
      <c r="N308" s="40">
        <v>0</v>
      </c>
      <c r="O308" s="40">
        <v>0</v>
      </c>
      <c r="S308" s="40" t="b">
        <v>0</v>
      </c>
      <c r="T308" s="40">
        <v>0.01</v>
      </c>
      <c r="U308" s="52">
        <v>2.7000000480000002</v>
      </c>
      <c r="V308" s="40">
        <v>0.01</v>
      </c>
      <c r="W308" s="40">
        <v>0</v>
      </c>
      <c r="X308" s="40">
        <v>1000</v>
      </c>
      <c r="Z308" s="40">
        <v>10</v>
      </c>
      <c r="AB308" s="52">
        <v>250</v>
      </c>
      <c r="AD308" s="40">
        <v>10</v>
      </c>
      <c r="AF308" s="40">
        <v>2000</v>
      </c>
      <c r="AG308" s="40">
        <v>2</v>
      </c>
      <c r="AH308" s="40">
        <v>2.7200000289999999</v>
      </c>
      <c r="AI308" s="40">
        <v>470</v>
      </c>
      <c r="AJ308" s="40">
        <v>0</v>
      </c>
      <c r="AK308" s="40">
        <v>323</v>
      </c>
      <c r="AM308" s="40" t="s">
        <v>2</v>
      </c>
      <c r="AO308" s="40">
        <v>250</v>
      </c>
      <c r="AW308" s="40" t="b">
        <v>0</v>
      </c>
      <c r="BE308" s="244"/>
      <c r="BF308" s="40">
        <v>1</v>
      </c>
      <c r="BG308" s="40">
        <v>0.55000000000000004</v>
      </c>
      <c r="BH308" s="40">
        <v>1</v>
      </c>
      <c r="BI308" s="40">
        <v>0.55000000000000004</v>
      </c>
      <c r="BJ308" s="40">
        <v>0</v>
      </c>
      <c r="BM308" s="40" t="s">
        <v>1</v>
      </c>
      <c r="BN308" s="58">
        <v>32</v>
      </c>
      <c r="BO308" s="58" t="s">
        <v>677</v>
      </c>
      <c r="BP308" s="58">
        <v>250</v>
      </c>
      <c r="BT308" s="59"/>
      <c r="BU308" s="59"/>
      <c r="BV308" s="59"/>
      <c r="BW308" s="59"/>
      <c r="BX308" s="59"/>
      <c r="BY308" s="59"/>
      <c r="BZ308" s="59"/>
      <c r="CA308" s="59"/>
      <c r="CB308" s="59"/>
      <c r="CC308" s="59"/>
      <c r="CD308" s="59"/>
      <c r="CE308" s="60"/>
      <c r="CF308" s="44" t="s">
        <v>12</v>
      </c>
      <c r="CR308" s="40">
        <v>0</v>
      </c>
      <c r="CS308" s="40">
        <v>0</v>
      </c>
      <c r="CT308" s="40">
        <v>0</v>
      </c>
      <c r="CU308" s="40">
        <v>1</v>
      </c>
      <c r="CV308" s="40">
        <v>0</v>
      </c>
      <c r="CW308" s="40">
        <v>0</v>
      </c>
      <c r="CX308" s="40">
        <v>0</v>
      </c>
      <c r="CY308" s="40">
        <v>0</v>
      </c>
      <c r="CZ308" s="40">
        <v>0</v>
      </c>
      <c r="DA308" s="40">
        <v>0</v>
      </c>
      <c r="DB308" s="40">
        <v>0</v>
      </c>
      <c r="DD308" s="40">
        <v>2</v>
      </c>
      <c r="DI308" s="40" t="s">
        <v>0</v>
      </c>
    </row>
    <row r="309" spans="1:113" s="40" customFormat="1" ht="15.75" thickBot="1" x14ac:dyDescent="0.3">
      <c r="A309" s="40">
        <v>528116</v>
      </c>
      <c r="B309" s="40" t="s">
        <v>6</v>
      </c>
      <c r="C309" s="53" t="s">
        <v>674</v>
      </c>
      <c r="D309" s="40">
        <v>32</v>
      </c>
      <c r="E309" s="40">
        <v>0</v>
      </c>
      <c r="F309" s="40">
        <v>32</v>
      </c>
      <c r="G309" s="40">
        <v>217</v>
      </c>
      <c r="H309" s="40">
        <v>0</v>
      </c>
      <c r="I309" s="40">
        <v>125</v>
      </c>
      <c r="J309" s="54" t="s">
        <v>758</v>
      </c>
      <c r="K309" s="54" t="s">
        <v>759</v>
      </c>
      <c r="L309" s="56">
        <v>45966</v>
      </c>
      <c r="M309" s="40">
        <v>0</v>
      </c>
      <c r="N309" s="40">
        <v>0</v>
      </c>
      <c r="O309" s="40">
        <v>0</v>
      </c>
      <c r="S309" s="40" t="b">
        <v>0</v>
      </c>
      <c r="T309" s="40">
        <v>0.01</v>
      </c>
      <c r="U309" s="52">
        <v>2.7000000480000002</v>
      </c>
      <c r="V309" s="40">
        <v>0.01</v>
      </c>
      <c r="W309" s="40">
        <v>0</v>
      </c>
      <c r="X309" s="40">
        <v>1000</v>
      </c>
      <c r="Z309" s="40">
        <v>10</v>
      </c>
      <c r="AB309" s="52">
        <v>250</v>
      </c>
      <c r="AD309" s="40">
        <v>10</v>
      </c>
      <c r="AF309" s="40">
        <v>2000</v>
      </c>
      <c r="AG309" s="40">
        <v>2</v>
      </c>
      <c r="AH309" s="40">
        <v>2.7200000289999999</v>
      </c>
      <c r="AI309" s="40">
        <v>470</v>
      </c>
      <c r="AJ309" s="40">
        <v>0</v>
      </c>
      <c r="AK309" s="40">
        <v>323</v>
      </c>
      <c r="AM309" s="40" t="s">
        <v>2</v>
      </c>
      <c r="AO309" s="40">
        <v>250</v>
      </c>
      <c r="AW309" s="40" t="b">
        <v>0</v>
      </c>
      <c r="BE309" s="244"/>
      <c r="BF309" s="40">
        <v>1</v>
      </c>
      <c r="BG309" s="40">
        <v>0.55000000000000004</v>
      </c>
      <c r="BH309" s="40">
        <v>1</v>
      </c>
      <c r="BI309" s="40">
        <v>0.55000000000000004</v>
      </c>
      <c r="BJ309" s="40">
        <v>0</v>
      </c>
      <c r="BM309" s="40" t="s">
        <v>1</v>
      </c>
      <c r="BN309" s="58">
        <v>32</v>
      </c>
      <c r="BO309" s="58" t="s">
        <v>677</v>
      </c>
      <c r="BP309" s="58">
        <v>250</v>
      </c>
      <c r="BT309" s="59"/>
      <c r="BU309" s="59"/>
      <c r="BV309" s="59"/>
      <c r="BW309" s="59"/>
      <c r="BX309" s="59"/>
      <c r="BY309" s="59"/>
      <c r="BZ309" s="59"/>
      <c r="CA309" s="59"/>
      <c r="CB309" s="59"/>
      <c r="CC309" s="59"/>
      <c r="CD309" s="59"/>
      <c r="CE309" s="60"/>
      <c r="CF309" s="44" t="s">
        <v>12</v>
      </c>
      <c r="CR309" s="40">
        <v>0</v>
      </c>
      <c r="CS309" s="40">
        <v>0</v>
      </c>
      <c r="CT309" s="40">
        <v>0</v>
      </c>
      <c r="CU309" s="40">
        <v>1</v>
      </c>
      <c r="CV309" s="40">
        <v>0</v>
      </c>
      <c r="CW309" s="40">
        <v>0</v>
      </c>
      <c r="CX309" s="40">
        <v>0</v>
      </c>
      <c r="CY309" s="40">
        <v>0</v>
      </c>
      <c r="CZ309" s="40">
        <v>0</v>
      </c>
      <c r="DA309" s="40">
        <v>0</v>
      </c>
      <c r="DB309" s="40">
        <v>0</v>
      </c>
      <c r="DD309" s="40">
        <v>2</v>
      </c>
      <c r="DI309" s="40" t="s">
        <v>0</v>
      </c>
    </row>
    <row r="310" spans="1:113" s="40" customFormat="1" ht="15.75" thickBot="1" x14ac:dyDescent="0.3">
      <c r="A310" s="40">
        <v>528083</v>
      </c>
      <c r="B310" s="40" t="s">
        <v>6</v>
      </c>
      <c r="C310" s="53" t="s">
        <v>674</v>
      </c>
      <c r="D310" s="40">
        <v>32</v>
      </c>
      <c r="E310" s="40">
        <v>0</v>
      </c>
      <c r="F310" s="40">
        <v>32</v>
      </c>
      <c r="G310" s="40">
        <v>184</v>
      </c>
      <c r="H310" s="40">
        <v>0</v>
      </c>
      <c r="I310" s="40">
        <v>125</v>
      </c>
      <c r="J310" s="54" t="s">
        <v>760</v>
      </c>
      <c r="K310" s="54" t="s">
        <v>761</v>
      </c>
      <c r="L310" s="56">
        <v>45965</v>
      </c>
      <c r="M310" s="40">
        <v>0</v>
      </c>
      <c r="N310" s="40">
        <v>0</v>
      </c>
      <c r="O310" s="40">
        <v>0</v>
      </c>
      <c r="S310" s="40" t="b">
        <v>0</v>
      </c>
      <c r="T310" s="40">
        <v>0.01</v>
      </c>
      <c r="U310" s="52">
        <v>2.7000000480000002</v>
      </c>
      <c r="V310" s="40">
        <v>0.01</v>
      </c>
      <c r="W310" s="40">
        <v>0</v>
      </c>
      <c r="X310" s="40">
        <v>1000</v>
      </c>
      <c r="Z310" s="40">
        <v>10</v>
      </c>
      <c r="AB310" s="52">
        <v>250</v>
      </c>
      <c r="AD310" s="40">
        <v>10</v>
      </c>
      <c r="AF310" s="40">
        <v>2000</v>
      </c>
      <c r="AG310" s="40">
        <v>2</v>
      </c>
      <c r="AH310" s="40">
        <v>2.7300000190000002</v>
      </c>
      <c r="AI310" s="40">
        <v>478</v>
      </c>
      <c r="AJ310" s="40">
        <v>0</v>
      </c>
      <c r="AK310" s="40">
        <v>328</v>
      </c>
      <c r="AM310" s="40" t="s">
        <v>2</v>
      </c>
      <c r="AO310" s="40">
        <v>250</v>
      </c>
      <c r="AW310" s="40" t="b">
        <v>0</v>
      </c>
      <c r="BE310" s="244"/>
      <c r="BF310" s="40">
        <v>1</v>
      </c>
      <c r="BG310" s="40">
        <v>0.55000000000000004</v>
      </c>
      <c r="BH310" s="40">
        <v>1</v>
      </c>
      <c r="BI310" s="40">
        <v>0.55000000000000004</v>
      </c>
      <c r="BJ310" s="40">
        <v>0</v>
      </c>
      <c r="BM310" s="40" t="s">
        <v>1</v>
      </c>
      <c r="BN310" s="58">
        <v>32</v>
      </c>
      <c r="BO310" s="58" t="s">
        <v>677</v>
      </c>
      <c r="BP310" s="58">
        <v>250</v>
      </c>
      <c r="BT310" s="59"/>
      <c r="BU310" s="59"/>
      <c r="BV310" s="59"/>
      <c r="BW310" s="59"/>
      <c r="BX310" s="59"/>
      <c r="BY310" s="59"/>
      <c r="BZ310" s="59"/>
      <c r="CA310" s="59"/>
      <c r="CB310" s="59"/>
      <c r="CC310" s="59"/>
      <c r="CD310" s="59"/>
      <c r="CE310" s="60"/>
      <c r="CF310" s="44" t="s">
        <v>12</v>
      </c>
      <c r="CR310" s="40">
        <v>0</v>
      </c>
      <c r="CS310" s="40">
        <v>0</v>
      </c>
      <c r="CT310" s="40">
        <v>0</v>
      </c>
      <c r="CU310" s="40">
        <v>1</v>
      </c>
      <c r="CV310" s="40">
        <v>0</v>
      </c>
      <c r="CW310" s="40">
        <v>0</v>
      </c>
      <c r="CX310" s="40">
        <v>0</v>
      </c>
      <c r="CY310" s="40">
        <v>0</v>
      </c>
      <c r="CZ310" s="40">
        <v>0</v>
      </c>
      <c r="DA310" s="40">
        <v>0</v>
      </c>
      <c r="DB310" s="40">
        <v>0</v>
      </c>
      <c r="DD310" s="40">
        <v>2</v>
      </c>
      <c r="DI310" s="40" t="s">
        <v>0</v>
      </c>
    </row>
    <row r="311" spans="1:113" s="40" customFormat="1" ht="15.75" thickBot="1" x14ac:dyDescent="0.3">
      <c r="A311" s="40">
        <v>528084</v>
      </c>
      <c r="B311" s="40" t="s">
        <v>6</v>
      </c>
      <c r="C311" s="53" t="s">
        <v>674</v>
      </c>
      <c r="D311" s="40">
        <v>32</v>
      </c>
      <c r="E311" s="40">
        <v>0</v>
      </c>
      <c r="F311" s="40">
        <v>32</v>
      </c>
      <c r="G311" s="40">
        <v>185</v>
      </c>
      <c r="H311" s="40">
        <v>0</v>
      </c>
      <c r="I311" s="40">
        <v>125</v>
      </c>
      <c r="J311" s="54" t="s">
        <v>762</v>
      </c>
      <c r="K311" s="54" t="s">
        <v>763</v>
      </c>
      <c r="L311" s="56">
        <v>45965</v>
      </c>
      <c r="M311" s="40">
        <v>0</v>
      </c>
      <c r="N311" s="40">
        <v>0</v>
      </c>
      <c r="O311" s="40">
        <v>0</v>
      </c>
      <c r="S311" s="40" t="b">
        <v>0</v>
      </c>
      <c r="T311" s="40">
        <v>0.01</v>
      </c>
      <c r="U311" s="52">
        <v>2.7000000480000002</v>
      </c>
      <c r="V311" s="40">
        <v>0.01</v>
      </c>
      <c r="W311" s="40">
        <v>0</v>
      </c>
      <c r="X311" s="40">
        <v>1000</v>
      </c>
      <c r="Z311" s="40">
        <v>10</v>
      </c>
      <c r="AB311" s="52">
        <v>250</v>
      </c>
      <c r="AD311" s="40">
        <v>10</v>
      </c>
      <c r="AF311" s="40">
        <v>2000</v>
      </c>
      <c r="AG311" s="40">
        <v>2</v>
      </c>
      <c r="AH311" s="40">
        <v>2.7200000289999999</v>
      </c>
      <c r="AI311" s="40">
        <v>478</v>
      </c>
      <c r="AJ311" s="40">
        <v>0</v>
      </c>
      <c r="AK311" s="40">
        <v>330</v>
      </c>
      <c r="AM311" s="40" t="s">
        <v>2</v>
      </c>
      <c r="AO311" s="40">
        <v>250</v>
      </c>
      <c r="AW311" s="40" t="b">
        <v>0</v>
      </c>
      <c r="BE311" s="244"/>
      <c r="BF311" s="40">
        <v>1</v>
      </c>
      <c r="BG311" s="40">
        <v>0.55000000000000004</v>
      </c>
      <c r="BH311" s="40">
        <v>1</v>
      </c>
      <c r="BI311" s="40">
        <v>0.55000000000000004</v>
      </c>
      <c r="BJ311" s="40">
        <v>0</v>
      </c>
      <c r="BM311" s="40" t="s">
        <v>1</v>
      </c>
      <c r="BN311" s="58">
        <v>32</v>
      </c>
      <c r="BO311" s="58" t="s">
        <v>677</v>
      </c>
      <c r="BP311" s="58">
        <v>250</v>
      </c>
      <c r="BT311" s="59"/>
      <c r="BU311" s="59"/>
      <c r="BV311" s="59"/>
      <c r="BW311" s="59"/>
      <c r="BX311" s="59"/>
      <c r="BY311" s="59"/>
      <c r="BZ311" s="59"/>
      <c r="CA311" s="59"/>
      <c r="CB311" s="59"/>
      <c r="CC311" s="59"/>
      <c r="CD311" s="59"/>
      <c r="CE311" s="60"/>
      <c r="CF311" s="44" t="s">
        <v>12</v>
      </c>
      <c r="CR311" s="40">
        <v>0</v>
      </c>
      <c r="CS311" s="40">
        <v>0</v>
      </c>
      <c r="CT311" s="40">
        <v>0</v>
      </c>
      <c r="CU311" s="40">
        <v>1</v>
      </c>
      <c r="CV311" s="40">
        <v>0</v>
      </c>
      <c r="CW311" s="40">
        <v>0</v>
      </c>
      <c r="CX311" s="40">
        <v>0</v>
      </c>
      <c r="CY311" s="40">
        <v>0</v>
      </c>
      <c r="CZ311" s="40">
        <v>0</v>
      </c>
      <c r="DA311" s="40">
        <v>0</v>
      </c>
      <c r="DB311" s="40">
        <v>0</v>
      </c>
      <c r="DD311" s="40">
        <v>2</v>
      </c>
      <c r="DI311" s="40" t="s">
        <v>0</v>
      </c>
    </row>
    <row r="312" spans="1:113" s="40" customFormat="1" ht="15.75" thickBot="1" x14ac:dyDescent="0.3">
      <c r="A312" s="40">
        <v>528049</v>
      </c>
      <c r="B312" s="40" t="s">
        <v>6</v>
      </c>
      <c r="C312" s="53" t="s">
        <v>674</v>
      </c>
      <c r="D312" s="40">
        <v>32</v>
      </c>
      <c r="E312" s="40">
        <v>0</v>
      </c>
      <c r="F312" s="40">
        <v>32</v>
      </c>
      <c r="G312" s="40">
        <v>150</v>
      </c>
      <c r="H312" s="40">
        <v>0</v>
      </c>
      <c r="I312" s="40">
        <v>125</v>
      </c>
      <c r="J312" s="54" t="s">
        <v>764</v>
      </c>
      <c r="K312" s="54" t="s">
        <v>765</v>
      </c>
      <c r="L312" s="56">
        <v>45965</v>
      </c>
      <c r="M312" s="40">
        <v>0</v>
      </c>
      <c r="N312" s="40">
        <v>0</v>
      </c>
      <c r="O312" s="40">
        <v>0</v>
      </c>
      <c r="S312" s="40" t="b">
        <v>0</v>
      </c>
      <c r="T312" s="40">
        <v>0.01</v>
      </c>
      <c r="U312" s="52">
        <v>2.7000000480000002</v>
      </c>
      <c r="V312" s="40">
        <v>0.01</v>
      </c>
      <c r="W312" s="40">
        <v>0</v>
      </c>
      <c r="X312" s="40">
        <v>1000</v>
      </c>
      <c r="Z312" s="40">
        <v>10</v>
      </c>
      <c r="AB312" s="52">
        <v>250</v>
      </c>
      <c r="AD312" s="40">
        <v>10</v>
      </c>
      <c r="AF312" s="40">
        <v>2000</v>
      </c>
      <c r="AG312" s="40">
        <v>2</v>
      </c>
      <c r="AH312" s="40">
        <v>2.7300000190000002</v>
      </c>
      <c r="AI312" s="40">
        <v>474</v>
      </c>
      <c r="AJ312" s="40">
        <v>0</v>
      </c>
      <c r="AK312" s="40">
        <v>327</v>
      </c>
      <c r="AM312" s="40" t="s">
        <v>2</v>
      </c>
      <c r="AO312" s="40">
        <v>250</v>
      </c>
      <c r="AW312" s="40" t="b">
        <v>0</v>
      </c>
      <c r="BE312" s="244"/>
      <c r="BF312" s="40">
        <v>1</v>
      </c>
      <c r="BG312" s="40">
        <v>0.55000000000000004</v>
      </c>
      <c r="BH312" s="40">
        <v>1</v>
      </c>
      <c r="BI312" s="40">
        <v>0.55000000000000004</v>
      </c>
      <c r="BJ312" s="40">
        <v>0</v>
      </c>
      <c r="BM312" s="40" t="s">
        <v>1</v>
      </c>
      <c r="BN312" s="58">
        <v>32</v>
      </c>
      <c r="BO312" s="58" t="s">
        <v>677</v>
      </c>
      <c r="BP312" s="58">
        <v>250</v>
      </c>
      <c r="BT312" s="59"/>
      <c r="BU312" s="59"/>
      <c r="BV312" s="59"/>
      <c r="BW312" s="59"/>
      <c r="BX312" s="59"/>
      <c r="BY312" s="59"/>
      <c r="BZ312" s="59"/>
      <c r="CA312" s="59"/>
      <c r="CB312" s="59"/>
      <c r="CC312" s="59"/>
      <c r="CD312" s="59"/>
      <c r="CE312" s="60"/>
      <c r="CF312" s="44" t="s">
        <v>12</v>
      </c>
      <c r="CR312" s="40">
        <v>0</v>
      </c>
      <c r="CS312" s="40">
        <v>0</v>
      </c>
      <c r="CT312" s="40">
        <v>0</v>
      </c>
      <c r="CU312" s="40">
        <v>1</v>
      </c>
      <c r="CV312" s="40">
        <v>0</v>
      </c>
      <c r="CW312" s="40">
        <v>0</v>
      </c>
      <c r="CX312" s="40">
        <v>0</v>
      </c>
      <c r="CY312" s="40">
        <v>0</v>
      </c>
      <c r="CZ312" s="40">
        <v>0</v>
      </c>
      <c r="DA312" s="40">
        <v>0</v>
      </c>
      <c r="DB312" s="40">
        <v>0</v>
      </c>
      <c r="DD312" s="40">
        <v>2</v>
      </c>
      <c r="DI312" s="40" t="s">
        <v>0</v>
      </c>
    </row>
    <row r="313" spans="1:113" s="40" customFormat="1" ht="15.75" thickBot="1" x14ac:dyDescent="0.3">
      <c r="A313" s="40">
        <v>528050</v>
      </c>
      <c r="B313" s="40" t="s">
        <v>6</v>
      </c>
      <c r="C313" s="53" t="s">
        <v>674</v>
      </c>
      <c r="D313" s="40">
        <v>32</v>
      </c>
      <c r="E313" s="40">
        <v>0</v>
      </c>
      <c r="F313" s="40">
        <v>32</v>
      </c>
      <c r="G313" s="40">
        <v>151</v>
      </c>
      <c r="H313" s="40">
        <v>0</v>
      </c>
      <c r="I313" s="40">
        <v>125</v>
      </c>
      <c r="J313" s="54" t="s">
        <v>766</v>
      </c>
      <c r="K313" s="54" t="s">
        <v>767</v>
      </c>
      <c r="L313" s="56">
        <v>45965</v>
      </c>
      <c r="M313" s="40">
        <v>0</v>
      </c>
      <c r="N313" s="40">
        <v>0</v>
      </c>
      <c r="O313" s="40">
        <v>0</v>
      </c>
      <c r="S313" s="40" t="b">
        <v>0</v>
      </c>
      <c r="T313" s="40">
        <v>0.01</v>
      </c>
      <c r="U313" s="52">
        <v>2.7000000480000002</v>
      </c>
      <c r="V313" s="40">
        <v>0.01</v>
      </c>
      <c r="W313" s="40">
        <v>0</v>
      </c>
      <c r="X313" s="40">
        <v>1000</v>
      </c>
      <c r="Z313" s="40">
        <v>10</v>
      </c>
      <c r="AB313" s="52">
        <v>250</v>
      </c>
      <c r="AD313" s="40">
        <v>10</v>
      </c>
      <c r="AF313" s="40">
        <v>2000</v>
      </c>
      <c r="AG313" s="40">
        <v>2</v>
      </c>
      <c r="AH313" s="40">
        <v>2.7200000289999999</v>
      </c>
      <c r="AI313" s="40">
        <v>474</v>
      </c>
      <c r="AJ313" s="40">
        <v>0</v>
      </c>
      <c r="AK313" s="40">
        <v>327</v>
      </c>
      <c r="AM313" s="40" t="s">
        <v>2</v>
      </c>
      <c r="AO313" s="40">
        <v>250</v>
      </c>
      <c r="AW313" s="40" t="b">
        <v>0</v>
      </c>
      <c r="BE313" s="244"/>
      <c r="BF313" s="40">
        <v>1</v>
      </c>
      <c r="BG313" s="40">
        <v>0.55000000000000004</v>
      </c>
      <c r="BH313" s="40">
        <v>1</v>
      </c>
      <c r="BI313" s="40">
        <v>0.55000000000000004</v>
      </c>
      <c r="BJ313" s="40">
        <v>0</v>
      </c>
      <c r="BM313" s="40" t="s">
        <v>1</v>
      </c>
      <c r="BN313" s="58">
        <v>32</v>
      </c>
      <c r="BO313" s="58" t="s">
        <v>677</v>
      </c>
      <c r="BP313" s="58">
        <v>250</v>
      </c>
      <c r="BT313" s="59"/>
      <c r="BU313" s="59"/>
      <c r="BV313" s="59"/>
      <c r="BW313" s="59"/>
      <c r="BX313" s="59"/>
      <c r="BY313" s="59"/>
      <c r="BZ313" s="59"/>
      <c r="CA313" s="59"/>
      <c r="CB313" s="59"/>
      <c r="CC313" s="59"/>
      <c r="CD313" s="59"/>
      <c r="CE313" s="60"/>
      <c r="CF313" s="44" t="s">
        <v>12</v>
      </c>
      <c r="CR313" s="40">
        <v>0</v>
      </c>
      <c r="CS313" s="40">
        <v>0</v>
      </c>
      <c r="CT313" s="40">
        <v>0</v>
      </c>
      <c r="CU313" s="40">
        <v>1</v>
      </c>
      <c r="CV313" s="40">
        <v>0</v>
      </c>
      <c r="CW313" s="40">
        <v>0</v>
      </c>
      <c r="CX313" s="40">
        <v>0</v>
      </c>
      <c r="CY313" s="40">
        <v>0</v>
      </c>
      <c r="CZ313" s="40">
        <v>0</v>
      </c>
      <c r="DA313" s="40">
        <v>0</v>
      </c>
      <c r="DB313" s="40">
        <v>0</v>
      </c>
      <c r="DD313" s="40">
        <v>2</v>
      </c>
      <c r="DI313" s="40" t="s">
        <v>0</v>
      </c>
    </row>
    <row r="314" spans="1:113" s="40" customFormat="1" ht="15.75" thickBot="1" x14ac:dyDescent="0.3">
      <c r="A314" s="40">
        <v>528051</v>
      </c>
      <c r="B314" s="40" t="s">
        <v>6</v>
      </c>
      <c r="C314" s="53" t="s">
        <v>674</v>
      </c>
      <c r="D314" s="40">
        <v>32</v>
      </c>
      <c r="E314" s="40">
        <v>0</v>
      </c>
      <c r="F314" s="40">
        <v>32</v>
      </c>
      <c r="G314" s="40">
        <v>152</v>
      </c>
      <c r="H314" s="40">
        <v>0</v>
      </c>
      <c r="I314" s="40">
        <v>125</v>
      </c>
      <c r="J314" s="54" t="s">
        <v>768</v>
      </c>
      <c r="K314" s="54" t="s">
        <v>769</v>
      </c>
      <c r="L314" s="56">
        <v>45965</v>
      </c>
      <c r="M314" s="40">
        <v>0</v>
      </c>
      <c r="N314" s="40">
        <v>0</v>
      </c>
      <c r="O314" s="40">
        <v>0</v>
      </c>
      <c r="S314" s="40" t="b">
        <v>0</v>
      </c>
      <c r="T314" s="40">
        <v>0.01</v>
      </c>
      <c r="U314" s="52">
        <v>2.7000000480000002</v>
      </c>
      <c r="V314" s="40">
        <v>0.01</v>
      </c>
      <c r="W314" s="40">
        <v>0</v>
      </c>
      <c r="X314" s="40">
        <v>1000</v>
      </c>
      <c r="Z314" s="40">
        <v>10</v>
      </c>
      <c r="AB314" s="52">
        <v>250</v>
      </c>
      <c r="AD314" s="40">
        <v>10</v>
      </c>
      <c r="AF314" s="40">
        <v>2000</v>
      </c>
      <c r="AG314" s="40">
        <v>2</v>
      </c>
      <c r="AH314" s="40">
        <v>2.7200000289999999</v>
      </c>
      <c r="AI314" s="40">
        <v>474</v>
      </c>
      <c r="AJ314" s="40">
        <v>0</v>
      </c>
      <c r="AK314" s="40">
        <v>325</v>
      </c>
      <c r="AM314" s="40" t="s">
        <v>2</v>
      </c>
      <c r="AO314" s="40">
        <v>250</v>
      </c>
      <c r="AW314" s="40" t="b">
        <v>0</v>
      </c>
      <c r="BE314" s="244"/>
      <c r="BF314" s="40">
        <v>1</v>
      </c>
      <c r="BG314" s="40">
        <v>0.55000000000000004</v>
      </c>
      <c r="BH314" s="40">
        <v>1</v>
      </c>
      <c r="BI314" s="40">
        <v>0.55000000000000004</v>
      </c>
      <c r="BJ314" s="40">
        <v>0</v>
      </c>
      <c r="BM314" s="40" t="s">
        <v>1</v>
      </c>
      <c r="BN314" s="58">
        <v>32</v>
      </c>
      <c r="BO314" s="58" t="s">
        <v>677</v>
      </c>
      <c r="BP314" s="58">
        <v>250</v>
      </c>
      <c r="BT314" s="59"/>
      <c r="BU314" s="59"/>
      <c r="BV314" s="59"/>
      <c r="BW314" s="59"/>
      <c r="BX314" s="59"/>
      <c r="BY314" s="59"/>
      <c r="BZ314" s="59"/>
      <c r="CA314" s="59"/>
      <c r="CB314" s="59"/>
      <c r="CC314" s="59"/>
      <c r="CD314" s="59"/>
      <c r="CE314" s="60"/>
      <c r="CF314" s="44" t="s">
        <v>12</v>
      </c>
      <c r="CR314" s="40">
        <v>0</v>
      </c>
      <c r="CS314" s="40">
        <v>0</v>
      </c>
      <c r="CT314" s="40">
        <v>0</v>
      </c>
      <c r="CU314" s="40">
        <v>1</v>
      </c>
      <c r="CV314" s="40">
        <v>0</v>
      </c>
      <c r="CW314" s="40">
        <v>0</v>
      </c>
      <c r="CX314" s="40">
        <v>0</v>
      </c>
      <c r="CY314" s="40">
        <v>0</v>
      </c>
      <c r="CZ314" s="40">
        <v>0</v>
      </c>
      <c r="DA314" s="40">
        <v>0</v>
      </c>
      <c r="DB314" s="40">
        <v>0</v>
      </c>
      <c r="DD314" s="40">
        <v>2</v>
      </c>
      <c r="DI314" s="40" t="s">
        <v>0</v>
      </c>
    </row>
    <row r="315" spans="1:113" s="40" customFormat="1" ht="15.75" thickBot="1" x14ac:dyDescent="0.3">
      <c r="A315" s="40">
        <v>528052</v>
      </c>
      <c r="B315" s="40" t="s">
        <v>6</v>
      </c>
      <c r="C315" s="53" t="s">
        <v>674</v>
      </c>
      <c r="D315" s="40">
        <v>32</v>
      </c>
      <c r="E315" s="40">
        <v>0</v>
      </c>
      <c r="F315" s="40">
        <v>32</v>
      </c>
      <c r="G315" s="40">
        <v>153</v>
      </c>
      <c r="H315" s="40">
        <v>0</v>
      </c>
      <c r="I315" s="40">
        <v>125</v>
      </c>
      <c r="J315" s="54" t="s">
        <v>770</v>
      </c>
      <c r="K315" s="54" t="s">
        <v>771</v>
      </c>
      <c r="L315" s="56">
        <v>45965</v>
      </c>
      <c r="M315" s="40">
        <v>0</v>
      </c>
      <c r="N315" s="40">
        <v>0</v>
      </c>
      <c r="O315" s="40">
        <v>0</v>
      </c>
      <c r="S315" s="40" t="b">
        <v>0</v>
      </c>
      <c r="T315" s="40">
        <v>0.01</v>
      </c>
      <c r="U315" s="52">
        <v>2.7000000480000002</v>
      </c>
      <c r="V315" s="40">
        <v>0.01</v>
      </c>
      <c r="W315" s="40">
        <v>0</v>
      </c>
      <c r="X315" s="40">
        <v>1000</v>
      </c>
      <c r="Z315" s="40">
        <v>10</v>
      </c>
      <c r="AB315" s="52">
        <v>250</v>
      </c>
      <c r="AD315" s="40">
        <v>10</v>
      </c>
      <c r="AF315" s="40">
        <v>2000</v>
      </c>
      <c r="AG315" s="40">
        <v>2</v>
      </c>
      <c r="AH315" s="40">
        <v>2.7200000289999999</v>
      </c>
      <c r="AI315" s="40">
        <v>474</v>
      </c>
      <c r="AJ315" s="40">
        <v>0</v>
      </c>
      <c r="AK315" s="40">
        <v>327</v>
      </c>
      <c r="AM315" s="40" t="s">
        <v>2</v>
      </c>
      <c r="AO315" s="40">
        <v>250</v>
      </c>
      <c r="AW315" s="40" t="b">
        <v>0</v>
      </c>
      <c r="BE315" s="244"/>
      <c r="BF315" s="40">
        <v>1</v>
      </c>
      <c r="BG315" s="40">
        <v>0.55000000000000004</v>
      </c>
      <c r="BH315" s="40">
        <v>1</v>
      </c>
      <c r="BI315" s="40">
        <v>0.55000000000000004</v>
      </c>
      <c r="BJ315" s="40">
        <v>0</v>
      </c>
      <c r="BM315" s="40" t="s">
        <v>1</v>
      </c>
      <c r="BN315" s="58">
        <v>32</v>
      </c>
      <c r="BO315" s="58" t="s">
        <v>677</v>
      </c>
      <c r="BP315" s="58">
        <v>250</v>
      </c>
      <c r="BT315" s="59"/>
      <c r="BU315" s="59"/>
      <c r="BV315" s="59"/>
      <c r="BW315" s="59"/>
      <c r="BX315" s="59"/>
      <c r="BY315" s="59"/>
      <c r="BZ315" s="59"/>
      <c r="CA315" s="59"/>
      <c r="CB315" s="59"/>
      <c r="CC315" s="59"/>
      <c r="CD315" s="59"/>
      <c r="CE315" s="60"/>
      <c r="CF315" s="44" t="s">
        <v>12</v>
      </c>
      <c r="CR315" s="40">
        <v>0</v>
      </c>
      <c r="CS315" s="40">
        <v>0</v>
      </c>
      <c r="CT315" s="40">
        <v>0</v>
      </c>
      <c r="CU315" s="40">
        <v>1</v>
      </c>
      <c r="CV315" s="40">
        <v>0</v>
      </c>
      <c r="CW315" s="40">
        <v>0</v>
      </c>
      <c r="CX315" s="40">
        <v>0</v>
      </c>
      <c r="CY315" s="40">
        <v>0</v>
      </c>
      <c r="CZ315" s="40">
        <v>0</v>
      </c>
      <c r="DA315" s="40">
        <v>0</v>
      </c>
      <c r="DB315" s="40">
        <v>0</v>
      </c>
      <c r="DD315" s="40">
        <v>2</v>
      </c>
      <c r="DI315" s="40" t="s">
        <v>0</v>
      </c>
    </row>
    <row r="316" spans="1:113" s="40" customFormat="1" ht="15.75" thickBot="1" x14ac:dyDescent="0.3">
      <c r="A316" s="40">
        <v>528053</v>
      </c>
      <c r="B316" s="40" t="s">
        <v>6</v>
      </c>
      <c r="C316" s="53" t="s">
        <v>674</v>
      </c>
      <c r="D316" s="40">
        <v>32</v>
      </c>
      <c r="E316" s="40">
        <v>0</v>
      </c>
      <c r="F316" s="40">
        <v>32</v>
      </c>
      <c r="G316" s="40">
        <v>154</v>
      </c>
      <c r="H316" s="40">
        <v>0</v>
      </c>
      <c r="I316" s="40">
        <v>125</v>
      </c>
      <c r="J316" s="54" t="s">
        <v>772</v>
      </c>
      <c r="K316" s="54" t="s">
        <v>773</v>
      </c>
      <c r="L316" s="56">
        <v>45965</v>
      </c>
      <c r="M316" s="40">
        <v>0</v>
      </c>
      <c r="N316" s="40">
        <v>0</v>
      </c>
      <c r="O316" s="40">
        <v>0</v>
      </c>
      <c r="S316" s="40" t="b">
        <v>0</v>
      </c>
      <c r="T316" s="40">
        <v>0.01</v>
      </c>
      <c r="U316" s="52">
        <v>2.7000000480000002</v>
      </c>
      <c r="V316" s="40">
        <v>0.01</v>
      </c>
      <c r="W316" s="40">
        <v>0</v>
      </c>
      <c r="X316" s="40">
        <v>1000</v>
      </c>
      <c r="Z316" s="40">
        <v>10</v>
      </c>
      <c r="AB316" s="52">
        <v>250</v>
      </c>
      <c r="AD316" s="40">
        <v>10</v>
      </c>
      <c r="AF316" s="40">
        <v>2000</v>
      </c>
      <c r="AG316" s="40">
        <v>2</v>
      </c>
      <c r="AH316" s="40">
        <v>2.7200000289999999</v>
      </c>
      <c r="AI316" s="40">
        <v>478</v>
      </c>
      <c r="AJ316" s="40">
        <v>0</v>
      </c>
      <c r="AK316" s="40">
        <v>327</v>
      </c>
      <c r="AM316" s="40" t="s">
        <v>2</v>
      </c>
      <c r="AO316" s="40">
        <v>250</v>
      </c>
      <c r="AW316" s="40" t="b">
        <v>0</v>
      </c>
      <c r="BE316" s="244"/>
      <c r="BF316" s="40">
        <v>1</v>
      </c>
      <c r="BG316" s="40">
        <v>0.55000000000000004</v>
      </c>
      <c r="BH316" s="40">
        <v>1</v>
      </c>
      <c r="BI316" s="40">
        <v>0.55000000000000004</v>
      </c>
      <c r="BJ316" s="40">
        <v>0</v>
      </c>
      <c r="BM316" s="40" t="s">
        <v>1</v>
      </c>
      <c r="BN316" s="58">
        <v>32</v>
      </c>
      <c r="BO316" s="58" t="s">
        <v>677</v>
      </c>
      <c r="BP316" s="58">
        <v>250</v>
      </c>
      <c r="BT316" s="59"/>
      <c r="BU316" s="59"/>
      <c r="BV316" s="59"/>
      <c r="BW316" s="59"/>
      <c r="BX316" s="59"/>
      <c r="BY316" s="59"/>
      <c r="BZ316" s="59"/>
      <c r="CA316" s="59"/>
      <c r="CB316" s="59"/>
      <c r="CC316" s="59"/>
      <c r="CD316" s="59"/>
      <c r="CE316" s="60"/>
      <c r="CF316" s="44" t="s">
        <v>12</v>
      </c>
      <c r="CR316" s="40">
        <v>0</v>
      </c>
      <c r="CS316" s="40">
        <v>0</v>
      </c>
      <c r="CT316" s="40">
        <v>0</v>
      </c>
      <c r="CU316" s="40">
        <v>1</v>
      </c>
      <c r="CV316" s="40">
        <v>0</v>
      </c>
      <c r="CW316" s="40">
        <v>0</v>
      </c>
      <c r="CX316" s="40">
        <v>0</v>
      </c>
      <c r="CY316" s="40">
        <v>0</v>
      </c>
      <c r="CZ316" s="40">
        <v>0</v>
      </c>
      <c r="DA316" s="40">
        <v>0</v>
      </c>
      <c r="DB316" s="40">
        <v>0</v>
      </c>
      <c r="DD316" s="40">
        <v>2</v>
      </c>
      <c r="DI316" s="40" t="s">
        <v>0</v>
      </c>
    </row>
    <row r="317" spans="1:113" s="40" customFormat="1" ht="15.75" thickBot="1" x14ac:dyDescent="0.3">
      <c r="A317" s="40">
        <v>528054</v>
      </c>
      <c r="B317" s="40" t="s">
        <v>6</v>
      </c>
      <c r="C317" s="53" t="s">
        <v>674</v>
      </c>
      <c r="D317" s="40">
        <v>32</v>
      </c>
      <c r="E317" s="40">
        <v>0</v>
      </c>
      <c r="F317" s="40">
        <v>32</v>
      </c>
      <c r="G317" s="40">
        <v>155</v>
      </c>
      <c r="H317" s="40">
        <v>0</v>
      </c>
      <c r="I317" s="40">
        <v>125</v>
      </c>
      <c r="J317" s="54" t="s">
        <v>774</v>
      </c>
      <c r="K317" s="54" t="s">
        <v>775</v>
      </c>
      <c r="L317" s="56">
        <v>45965</v>
      </c>
      <c r="M317" s="40">
        <v>0</v>
      </c>
      <c r="N317" s="40">
        <v>0</v>
      </c>
      <c r="O317" s="40">
        <v>0</v>
      </c>
      <c r="S317" s="40" t="b">
        <v>0</v>
      </c>
      <c r="T317" s="40">
        <v>0.01</v>
      </c>
      <c r="U317" s="52">
        <v>2.7000000480000002</v>
      </c>
      <c r="V317" s="40">
        <v>0.01</v>
      </c>
      <c r="W317" s="40">
        <v>0</v>
      </c>
      <c r="X317" s="40">
        <v>1000</v>
      </c>
      <c r="Z317" s="40">
        <v>10</v>
      </c>
      <c r="AB317" s="52">
        <v>250</v>
      </c>
      <c r="AD317" s="40">
        <v>10</v>
      </c>
      <c r="AF317" s="40">
        <v>2000</v>
      </c>
      <c r="AG317" s="40">
        <v>2</v>
      </c>
      <c r="AH317" s="40">
        <v>2.7200000289999999</v>
      </c>
      <c r="AI317" s="40">
        <v>478</v>
      </c>
      <c r="AJ317" s="40">
        <v>0</v>
      </c>
      <c r="AK317" s="40">
        <v>328</v>
      </c>
      <c r="AM317" s="40" t="s">
        <v>2</v>
      </c>
      <c r="AO317" s="40">
        <v>250</v>
      </c>
      <c r="AW317" s="40" t="b">
        <v>0</v>
      </c>
      <c r="BE317" s="244"/>
      <c r="BF317" s="40">
        <v>1</v>
      </c>
      <c r="BG317" s="40">
        <v>0.55000000000000004</v>
      </c>
      <c r="BH317" s="40">
        <v>1</v>
      </c>
      <c r="BI317" s="40">
        <v>0.55000000000000004</v>
      </c>
      <c r="BJ317" s="40">
        <v>0</v>
      </c>
      <c r="BM317" s="40" t="s">
        <v>1</v>
      </c>
      <c r="BN317" s="58">
        <v>32</v>
      </c>
      <c r="BO317" s="58" t="s">
        <v>677</v>
      </c>
      <c r="BP317" s="58">
        <v>250</v>
      </c>
      <c r="BT317" s="59"/>
      <c r="BU317" s="59"/>
      <c r="BV317" s="59"/>
      <c r="BW317" s="59"/>
      <c r="BX317" s="59"/>
      <c r="BY317" s="59"/>
      <c r="BZ317" s="59"/>
      <c r="CA317" s="59"/>
      <c r="CB317" s="59"/>
      <c r="CC317" s="59"/>
      <c r="CD317" s="59"/>
      <c r="CE317" s="60"/>
      <c r="CF317" s="44" t="s">
        <v>12</v>
      </c>
      <c r="CR317" s="40">
        <v>0</v>
      </c>
      <c r="CS317" s="40">
        <v>0</v>
      </c>
      <c r="CT317" s="40">
        <v>0</v>
      </c>
      <c r="CU317" s="40">
        <v>1</v>
      </c>
      <c r="CV317" s="40">
        <v>0</v>
      </c>
      <c r="CW317" s="40">
        <v>0</v>
      </c>
      <c r="CX317" s="40">
        <v>0</v>
      </c>
      <c r="CY317" s="40">
        <v>0</v>
      </c>
      <c r="CZ317" s="40">
        <v>0</v>
      </c>
      <c r="DA317" s="40">
        <v>0</v>
      </c>
      <c r="DB317" s="40">
        <v>0</v>
      </c>
      <c r="DD317" s="40">
        <v>2</v>
      </c>
      <c r="DI317" s="40" t="s">
        <v>0</v>
      </c>
    </row>
    <row r="318" spans="1:113" s="40" customFormat="1" ht="15.75" thickBot="1" x14ac:dyDescent="0.3">
      <c r="A318" s="40">
        <v>528025</v>
      </c>
      <c r="B318" s="40" t="s">
        <v>6</v>
      </c>
      <c r="C318" s="53" t="s">
        <v>674</v>
      </c>
      <c r="D318" s="40">
        <v>32</v>
      </c>
      <c r="E318" s="40">
        <v>0</v>
      </c>
      <c r="F318" s="40">
        <v>32</v>
      </c>
      <c r="G318" s="40">
        <v>126</v>
      </c>
      <c r="H318" s="40">
        <v>0</v>
      </c>
      <c r="I318" s="40">
        <v>125</v>
      </c>
      <c r="J318" s="54" t="s">
        <v>776</v>
      </c>
      <c r="K318" s="54" t="s">
        <v>777</v>
      </c>
      <c r="L318" s="56">
        <v>45965</v>
      </c>
      <c r="M318" s="40">
        <v>0</v>
      </c>
      <c r="N318" s="40">
        <v>0</v>
      </c>
      <c r="O318" s="40">
        <v>0</v>
      </c>
      <c r="S318" s="40" t="b">
        <v>0</v>
      </c>
      <c r="T318" s="40">
        <v>0.01</v>
      </c>
      <c r="U318" s="52">
        <v>2.7000000480000002</v>
      </c>
      <c r="V318" s="40">
        <v>0.01</v>
      </c>
      <c r="W318" s="40">
        <v>0</v>
      </c>
      <c r="X318" s="40">
        <v>1000</v>
      </c>
      <c r="Z318" s="40">
        <v>10</v>
      </c>
      <c r="AB318" s="52">
        <v>250</v>
      </c>
      <c r="AD318" s="40">
        <v>10</v>
      </c>
      <c r="AF318" s="40">
        <v>2000</v>
      </c>
      <c r="AG318" s="40">
        <v>2</v>
      </c>
      <c r="AH318" s="40">
        <v>2.7200000289999999</v>
      </c>
      <c r="AI318" s="40">
        <v>470</v>
      </c>
      <c r="AJ318" s="40">
        <v>0</v>
      </c>
      <c r="AK318" s="40">
        <v>322</v>
      </c>
      <c r="AM318" s="40" t="s">
        <v>2</v>
      </c>
      <c r="AO318" s="40">
        <v>250</v>
      </c>
      <c r="AW318" s="40" t="b">
        <v>0</v>
      </c>
      <c r="BE318" s="244"/>
      <c r="BF318" s="40">
        <v>1</v>
      </c>
      <c r="BG318" s="40">
        <v>0.55000000000000004</v>
      </c>
      <c r="BH318" s="40">
        <v>1</v>
      </c>
      <c r="BI318" s="40">
        <v>0.55000000000000004</v>
      </c>
      <c r="BJ318" s="40">
        <v>0</v>
      </c>
      <c r="BM318" s="40" t="s">
        <v>1</v>
      </c>
      <c r="BN318" s="58">
        <v>32</v>
      </c>
      <c r="BO318" s="58" t="s">
        <v>677</v>
      </c>
      <c r="BP318" s="58">
        <v>250</v>
      </c>
      <c r="BT318" s="59"/>
      <c r="BU318" s="59"/>
      <c r="BV318" s="59"/>
      <c r="BW318" s="59"/>
      <c r="BX318" s="59"/>
      <c r="BY318" s="59"/>
      <c r="BZ318" s="59"/>
      <c r="CA318" s="59"/>
      <c r="CB318" s="59"/>
      <c r="CC318" s="59"/>
      <c r="CD318" s="59"/>
      <c r="CE318" s="60"/>
      <c r="CF318" s="44" t="s">
        <v>12</v>
      </c>
      <c r="CR318" s="40">
        <v>0</v>
      </c>
      <c r="CS318" s="40">
        <v>0</v>
      </c>
      <c r="CT318" s="40">
        <v>0</v>
      </c>
      <c r="CU318" s="40">
        <v>1</v>
      </c>
      <c r="CV318" s="40">
        <v>0</v>
      </c>
      <c r="CW318" s="40">
        <v>0</v>
      </c>
      <c r="CX318" s="40">
        <v>0</v>
      </c>
      <c r="CY318" s="40">
        <v>0</v>
      </c>
      <c r="CZ318" s="40">
        <v>0</v>
      </c>
      <c r="DA318" s="40">
        <v>0</v>
      </c>
      <c r="DB318" s="40">
        <v>0</v>
      </c>
      <c r="DD318" s="40">
        <v>2</v>
      </c>
      <c r="DI318" s="40" t="s">
        <v>0</v>
      </c>
    </row>
    <row r="319" spans="1:113" s="40" customFormat="1" ht="15.75" thickBot="1" x14ac:dyDescent="0.3">
      <c r="A319" s="40">
        <v>528026</v>
      </c>
      <c r="B319" s="40" t="s">
        <v>6</v>
      </c>
      <c r="C319" s="53" t="s">
        <v>674</v>
      </c>
      <c r="D319" s="40">
        <v>32</v>
      </c>
      <c r="E319" s="40">
        <v>0</v>
      </c>
      <c r="F319" s="40">
        <v>32</v>
      </c>
      <c r="G319" s="40">
        <v>127</v>
      </c>
      <c r="H319" s="40">
        <v>0</v>
      </c>
      <c r="I319" s="40">
        <v>125</v>
      </c>
      <c r="J319" s="54" t="s">
        <v>778</v>
      </c>
      <c r="K319" s="54" t="s">
        <v>779</v>
      </c>
      <c r="L319" s="56">
        <v>45965</v>
      </c>
      <c r="M319" s="40">
        <v>0</v>
      </c>
      <c r="N319" s="40">
        <v>0</v>
      </c>
      <c r="O319" s="40">
        <v>0</v>
      </c>
      <c r="S319" s="40" t="b">
        <v>0</v>
      </c>
      <c r="T319" s="40">
        <v>0.01</v>
      </c>
      <c r="U319" s="52">
        <v>2.7000000480000002</v>
      </c>
      <c r="V319" s="40">
        <v>0.01</v>
      </c>
      <c r="W319" s="40">
        <v>0</v>
      </c>
      <c r="X319" s="40">
        <v>1000</v>
      </c>
      <c r="Z319" s="40">
        <v>10</v>
      </c>
      <c r="AB319" s="52">
        <v>250</v>
      </c>
      <c r="AD319" s="40">
        <v>10</v>
      </c>
      <c r="AF319" s="40">
        <v>2000</v>
      </c>
      <c r="AG319" s="40">
        <v>2</v>
      </c>
      <c r="AH319" s="40">
        <v>2.7200000289999999</v>
      </c>
      <c r="AI319" s="40">
        <v>470</v>
      </c>
      <c r="AJ319" s="40">
        <v>0</v>
      </c>
      <c r="AK319" s="40">
        <v>324</v>
      </c>
      <c r="AM319" s="40" t="s">
        <v>2</v>
      </c>
      <c r="AO319" s="40">
        <v>250</v>
      </c>
      <c r="AW319" s="40" t="b">
        <v>0</v>
      </c>
      <c r="BE319" s="244"/>
      <c r="BF319" s="40">
        <v>1</v>
      </c>
      <c r="BG319" s="40">
        <v>0.55000000000000004</v>
      </c>
      <c r="BH319" s="40">
        <v>1</v>
      </c>
      <c r="BI319" s="40">
        <v>0.55000000000000004</v>
      </c>
      <c r="BJ319" s="40">
        <v>0</v>
      </c>
      <c r="BM319" s="40" t="s">
        <v>1</v>
      </c>
      <c r="BN319" s="58">
        <v>32</v>
      </c>
      <c r="BO319" s="58" t="s">
        <v>677</v>
      </c>
      <c r="BP319" s="58">
        <v>250</v>
      </c>
      <c r="BT319" s="59"/>
      <c r="BU319" s="59"/>
      <c r="BV319" s="59"/>
      <c r="BW319" s="59"/>
      <c r="BX319" s="59"/>
      <c r="BY319" s="59"/>
      <c r="BZ319" s="59"/>
      <c r="CA319" s="59"/>
      <c r="CB319" s="59"/>
      <c r="CC319" s="59"/>
      <c r="CD319" s="59"/>
      <c r="CE319" s="60"/>
      <c r="CF319" s="44" t="s">
        <v>12</v>
      </c>
      <c r="CR319" s="40">
        <v>0</v>
      </c>
      <c r="CS319" s="40">
        <v>0</v>
      </c>
      <c r="CT319" s="40">
        <v>0</v>
      </c>
      <c r="CU319" s="40">
        <v>1</v>
      </c>
      <c r="CV319" s="40">
        <v>0</v>
      </c>
      <c r="CW319" s="40">
        <v>0</v>
      </c>
      <c r="CX319" s="40">
        <v>0</v>
      </c>
      <c r="CY319" s="40">
        <v>0</v>
      </c>
      <c r="CZ319" s="40">
        <v>0</v>
      </c>
      <c r="DA319" s="40">
        <v>0</v>
      </c>
      <c r="DB319" s="40">
        <v>0</v>
      </c>
      <c r="DD319" s="40">
        <v>2</v>
      </c>
      <c r="DI319" s="40" t="s">
        <v>0</v>
      </c>
    </row>
    <row r="320" spans="1:113" s="40" customFormat="1" ht="15.75" thickBot="1" x14ac:dyDescent="0.3">
      <c r="A320" s="40">
        <v>528027</v>
      </c>
      <c r="B320" s="40" t="s">
        <v>6</v>
      </c>
      <c r="C320" s="53" t="s">
        <v>674</v>
      </c>
      <c r="D320" s="40">
        <v>32</v>
      </c>
      <c r="E320" s="40">
        <v>0</v>
      </c>
      <c r="F320" s="40">
        <v>32</v>
      </c>
      <c r="G320" s="40">
        <v>128</v>
      </c>
      <c r="H320" s="40">
        <v>0</v>
      </c>
      <c r="I320" s="40">
        <v>125</v>
      </c>
      <c r="J320" s="54" t="s">
        <v>780</v>
      </c>
      <c r="K320" s="54" t="s">
        <v>781</v>
      </c>
      <c r="L320" s="56">
        <v>45965</v>
      </c>
      <c r="M320" s="40">
        <v>0</v>
      </c>
      <c r="N320" s="40">
        <v>0</v>
      </c>
      <c r="O320" s="40">
        <v>0</v>
      </c>
      <c r="S320" s="40" t="b">
        <v>0</v>
      </c>
      <c r="T320" s="40">
        <v>0.01</v>
      </c>
      <c r="U320" s="52">
        <v>2.7000000480000002</v>
      </c>
      <c r="V320" s="40">
        <v>0.01</v>
      </c>
      <c r="W320" s="40">
        <v>0</v>
      </c>
      <c r="X320" s="40">
        <v>1000</v>
      </c>
      <c r="Z320" s="40">
        <v>10</v>
      </c>
      <c r="AB320" s="52">
        <v>250</v>
      </c>
      <c r="AD320" s="40">
        <v>10</v>
      </c>
      <c r="AF320" s="40">
        <v>2000</v>
      </c>
      <c r="AG320" s="40">
        <v>2</v>
      </c>
      <c r="AH320" s="40">
        <v>2.7200000289999999</v>
      </c>
      <c r="AI320" s="40">
        <v>474</v>
      </c>
      <c r="AJ320" s="40">
        <v>0</v>
      </c>
      <c r="AK320" s="40">
        <v>324</v>
      </c>
      <c r="AM320" s="40" t="s">
        <v>2</v>
      </c>
      <c r="AO320" s="40">
        <v>250</v>
      </c>
      <c r="AW320" s="40" t="b">
        <v>0</v>
      </c>
      <c r="BE320" s="244"/>
      <c r="BF320" s="40">
        <v>1</v>
      </c>
      <c r="BG320" s="40">
        <v>0.55000000000000004</v>
      </c>
      <c r="BH320" s="40">
        <v>1</v>
      </c>
      <c r="BI320" s="40">
        <v>0.55000000000000004</v>
      </c>
      <c r="BJ320" s="40">
        <v>0</v>
      </c>
      <c r="BM320" s="40" t="s">
        <v>1</v>
      </c>
      <c r="BN320" s="58">
        <v>32</v>
      </c>
      <c r="BO320" s="58" t="s">
        <v>677</v>
      </c>
      <c r="BP320" s="58">
        <v>250</v>
      </c>
      <c r="BT320" s="59"/>
      <c r="BU320" s="59"/>
      <c r="BV320" s="59"/>
      <c r="BW320" s="59"/>
      <c r="BX320" s="59"/>
      <c r="BY320" s="59"/>
      <c r="BZ320" s="59"/>
      <c r="CA320" s="59"/>
      <c r="CB320" s="59"/>
      <c r="CC320" s="59"/>
      <c r="CD320" s="59"/>
      <c r="CE320" s="60"/>
      <c r="CF320" s="44" t="s">
        <v>12</v>
      </c>
      <c r="CR320" s="40">
        <v>0</v>
      </c>
      <c r="CS320" s="40">
        <v>0</v>
      </c>
      <c r="CT320" s="40">
        <v>0</v>
      </c>
      <c r="CU320" s="40">
        <v>1</v>
      </c>
      <c r="CV320" s="40">
        <v>0</v>
      </c>
      <c r="CW320" s="40">
        <v>0</v>
      </c>
      <c r="CX320" s="40">
        <v>0</v>
      </c>
      <c r="CY320" s="40">
        <v>0</v>
      </c>
      <c r="CZ320" s="40">
        <v>0</v>
      </c>
      <c r="DA320" s="40">
        <v>0</v>
      </c>
      <c r="DB320" s="40">
        <v>0</v>
      </c>
      <c r="DD320" s="40">
        <v>2</v>
      </c>
      <c r="DI320" s="40" t="s">
        <v>0</v>
      </c>
    </row>
    <row r="321" spans="1:113" s="40" customFormat="1" ht="15.75" thickBot="1" x14ac:dyDescent="0.3">
      <c r="A321" s="40">
        <v>528000</v>
      </c>
      <c r="B321" s="40" t="s">
        <v>6</v>
      </c>
      <c r="C321" s="53" t="s">
        <v>674</v>
      </c>
      <c r="D321" s="40">
        <v>32</v>
      </c>
      <c r="E321" s="40">
        <v>0</v>
      </c>
      <c r="F321" s="40">
        <v>32</v>
      </c>
      <c r="G321" s="40">
        <v>101</v>
      </c>
      <c r="H321" s="40">
        <v>0</v>
      </c>
      <c r="I321" s="40">
        <v>125</v>
      </c>
      <c r="J321" s="54" t="s">
        <v>782</v>
      </c>
      <c r="K321" s="54" t="s">
        <v>783</v>
      </c>
      <c r="L321" s="56">
        <v>45965</v>
      </c>
      <c r="M321" s="40">
        <v>0</v>
      </c>
      <c r="N321" s="40">
        <v>0</v>
      </c>
      <c r="O321" s="40">
        <v>0</v>
      </c>
      <c r="S321" s="40" t="b">
        <v>0</v>
      </c>
      <c r="T321" s="40">
        <v>0.01</v>
      </c>
      <c r="U321" s="52">
        <v>2.7000000480000002</v>
      </c>
      <c r="V321" s="40">
        <v>0.01</v>
      </c>
      <c r="W321" s="40">
        <v>0</v>
      </c>
      <c r="X321" s="40">
        <v>1000</v>
      </c>
      <c r="Z321" s="40">
        <v>10</v>
      </c>
      <c r="AB321" s="52">
        <v>250</v>
      </c>
      <c r="AD321" s="40">
        <v>10</v>
      </c>
      <c r="AF321" s="40">
        <v>2000</v>
      </c>
      <c r="AG321" s="40">
        <v>2</v>
      </c>
      <c r="AH321" s="40">
        <v>2.7300000190000002</v>
      </c>
      <c r="AI321" s="40">
        <v>491</v>
      </c>
      <c r="AJ321" s="40">
        <v>0</v>
      </c>
      <c r="AK321" s="40">
        <v>339</v>
      </c>
      <c r="AM321" s="40" t="s">
        <v>2</v>
      </c>
      <c r="AO321" s="40">
        <v>250</v>
      </c>
      <c r="AW321" s="40" t="b">
        <v>0</v>
      </c>
      <c r="BE321" s="244"/>
      <c r="BF321" s="40">
        <v>1</v>
      </c>
      <c r="BG321" s="40">
        <v>0.55000000000000004</v>
      </c>
      <c r="BH321" s="40">
        <v>1</v>
      </c>
      <c r="BI321" s="40">
        <v>0.55000000000000004</v>
      </c>
      <c r="BJ321" s="40">
        <v>0</v>
      </c>
      <c r="BM321" s="40" t="s">
        <v>1</v>
      </c>
      <c r="BN321" s="58">
        <v>32</v>
      </c>
      <c r="BO321" s="58" t="s">
        <v>677</v>
      </c>
      <c r="BP321" s="58">
        <v>250</v>
      </c>
      <c r="BT321" s="59"/>
      <c r="BU321" s="59"/>
      <c r="BV321" s="59"/>
      <c r="BW321" s="59"/>
      <c r="BX321" s="59"/>
      <c r="BY321" s="59"/>
      <c r="BZ321" s="59"/>
      <c r="CA321" s="59"/>
      <c r="CB321" s="59"/>
      <c r="CC321" s="59"/>
      <c r="CD321" s="59"/>
      <c r="CE321" s="60"/>
      <c r="CF321" s="44" t="s">
        <v>12</v>
      </c>
      <c r="CR321" s="40">
        <v>0</v>
      </c>
      <c r="CS321" s="40">
        <v>0</v>
      </c>
      <c r="CT321" s="40">
        <v>0</v>
      </c>
      <c r="CU321" s="40">
        <v>1</v>
      </c>
      <c r="CV321" s="40">
        <v>0</v>
      </c>
      <c r="CW321" s="40">
        <v>0</v>
      </c>
      <c r="CX321" s="40">
        <v>0</v>
      </c>
      <c r="CY321" s="40">
        <v>0</v>
      </c>
      <c r="CZ321" s="40">
        <v>0</v>
      </c>
      <c r="DA321" s="40">
        <v>0</v>
      </c>
      <c r="DB321" s="40">
        <v>0</v>
      </c>
      <c r="DD321" s="40">
        <v>2</v>
      </c>
      <c r="DI321" s="40" t="s">
        <v>0</v>
      </c>
    </row>
    <row r="322" spans="1:113" s="40" customFormat="1" ht="15.75" thickBot="1" x14ac:dyDescent="0.3">
      <c r="A322" s="40">
        <v>528001</v>
      </c>
      <c r="B322" s="40" t="s">
        <v>6</v>
      </c>
      <c r="C322" s="53" t="s">
        <v>674</v>
      </c>
      <c r="D322" s="40">
        <v>32</v>
      </c>
      <c r="E322" s="40">
        <v>0</v>
      </c>
      <c r="F322" s="40">
        <v>32</v>
      </c>
      <c r="G322" s="40">
        <v>102</v>
      </c>
      <c r="H322" s="40">
        <v>0</v>
      </c>
      <c r="I322" s="40">
        <v>125</v>
      </c>
      <c r="J322" s="54" t="s">
        <v>784</v>
      </c>
      <c r="K322" s="54" t="s">
        <v>785</v>
      </c>
      <c r="L322" s="56">
        <v>45965</v>
      </c>
      <c r="M322" s="40">
        <v>0</v>
      </c>
      <c r="N322" s="40">
        <v>0</v>
      </c>
      <c r="O322" s="40">
        <v>0</v>
      </c>
      <c r="S322" s="40" t="b">
        <v>0</v>
      </c>
      <c r="T322" s="40">
        <v>0.01</v>
      </c>
      <c r="U322" s="52">
        <v>2.7000000480000002</v>
      </c>
      <c r="V322" s="40">
        <v>0.01</v>
      </c>
      <c r="W322" s="40">
        <v>0</v>
      </c>
      <c r="X322" s="40">
        <v>1000</v>
      </c>
      <c r="Z322" s="40">
        <v>10</v>
      </c>
      <c r="AB322" s="52">
        <v>250</v>
      </c>
      <c r="AD322" s="40">
        <v>10</v>
      </c>
      <c r="AF322" s="40">
        <v>2000</v>
      </c>
      <c r="AG322" s="40">
        <v>2</v>
      </c>
      <c r="AH322" s="40">
        <v>2.7200000289999999</v>
      </c>
      <c r="AI322" s="40">
        <v>478</v>
      </c>
      <c r="AJ322" s="40">
        <v>0</v>
      </c>
      <c r="AK322" s="40">
        <v>327</v>
      </c>
      <c r="AM322" s="40" t="s">
        <v>2</v>
      </c>
      <c r="AO322" s="40">
        <v>250</v>
      </c>
      <c r="AW322" s="40" t="b">
        <v>0</v>
      </c>
      <c r="BE322" s="244"/>
      <c r="BF322" s="40">
        <v>1</v>
      </c>
      <c r="BG322" s="40">
        <v>0.55000000000000004</v>
      </c>
      <c r="BH322" s="40">
        <v>1</v>
      </c>
      <c r="BI322" s="40">
        <v>0.55000000000000004</v>
      </c>
      <c r="BJ322" s="40">
        <v>0</v>
      </c>
      <c r="BM322" s="40" t="s">
        <v>1</v>
      </c>
      <c r="BN322" s="58">
        <v>32</v>
      </c>
      <c r="BO322" s="58" t="s">
        <v>677</v>
      </c>
      <c r="BP322" s="58">
        <v>250</v>
      </c>
      <c r="BT322" s="59"/>
      <c r="BU322" s="59"/>
      <c r="BV322" s="59"/>
      <c r="BW322" s="59"/>
      <c r="BX322" s="59"/>
      <c r="BY322" s="59"/>
      <c r="BZ322" s="59"/>
      <c r="CA322" s="59"/>
      <c r="CB322" s="59"/>
      <c r="CC322" s="59"/>
      <c r="CD322" s="59"/>
      <c r="CE322" s="60"/>
      <c r="CF322" s="44" t="s">
        <v>12</v>
      </c>
      <c r="CR322" s="40">
        <v>0</v>
      </c>
      <c r="CS322" s="40">
        <v>0</v>
      </c>
      <c r="CT322" s="40">
        <v>0</v>
      </c>
      <c r="CU322" s="40">
        <v>1</v>
      </c>
      <c r="CV322" s="40">
        <v>0</v>
      </c>
      <c r="CW322" s="40">
        <v>0</v>
      </c>
      <c r="CX322" s="40">
        <v>0</v>
      </c>
      <c r="CY322" s="40">
        <v>0</v>
      </c>
      <c r="CZ322" s="40">
        <v>0</v>
      </c>
      <c r="DA322" s="40">
        <v>0</v>
      </c>
      <c r="DB322" s="40">
        <v>0</v>
      </c>
      <c r="DD322" s="40">
        <v>2</v>
      </c>
      <c r="DI322" s="40" t="s">
        <v>0</v>
      </c>
    </row>
    <row r="323" spans="1:113" s="40" customFormat="1" ht="15.75" thickBot="1" x14ac:dyDescent="0.3">
      <c r="A323" s="40">
        <v>528002</v>
      </c>
      <c r="B323" s="40" t="s">
        <v>6</v>
      </c>
      <c r="C323" s="53" t="s">
        <v>674</v>
      </c>
      <c r="D323" s="40">
        <v>32</v>
      </c>
      <c r="E323" s="40">
        <v>0</v>
      </c>
      <c r="F323" s="40">
        <v>32</v>
      </c>
      <c r="G323" s="40">
        <v>103</v>
      </c>
      <c r="H323" s="40">
        <v>0</v>
      </c>
      <c r="I323" s="40">
        <v>125</v>
      </c>
      <c r="J323" s="54" t="s">
        <v>786</v>
      </c>
      <c r="K323" s="54" t="s">
        <v>787</v>
      </c>
      <c r="L323" s="56">
        <v>45965</v>
      </c>
      <c r="M323" s="40">
        <v>0</v>
      </c>
      <c r="N323" s="40">
        <v>0</v>
      </c>
      <c r="O323" s="40">
        <v>0</v>
      </c>
      <c r="S323" s="40" t="b">
        <v>0</v>
      </c>
      <c r="T323" s="40">
        <v>0.01</v>
      </c>
      <c r="U323" s="52">
        <v>2.7000000480000002</v>
      </c>
      <c r="V323" s="40">
        <v>0.01</v>
      </c>
      <c r="W323" s="40">
        <v>0</v>
      </c>
      <c r="X323" s="40">
        <v>1000</v>
      </c>
      <c r="Z323" s="40">
        <v>10</v>
      </c>
      <c r="AB323" s="52">
        <v>250</v>
      </c>
      <c r="AD323" s="40">
        <v>10</v>
      </c>
      <c r="AF323" s="40">
        <v>2000</v>
      </c>
      <c r="AG323" s="40">
        <v>2</v>
      </c>
      <c r="AH323" s="40">
        <v>2.7200000289999999</v>
      </c>
      <c r="AI323" s="40">
        <v>478</v>
      </c>
      <c r="AJ323" s="40">
        <v>0</v>
      </c>
      <c r="AK323" s="40">
        <v>331</v>
      </c>
      <c r="AM323" s="40" t="s">
        <v>2</v>
      </c>
      <c r="AO323" s="40">
        <v>250</v>
      </c>
      <c r="AW323" s="40" t="b">
        <v>0</v>
      </c>
      <c r="BE323" s="244"/>
      <c r="BF323" s="40">
        <v>1</v>
      </c>
      <c r="BG323" s="40">
        <v>0.55000000000000004</v>
      </c>
      <c r="BH323" s="40">
        <v>1</v>
      </c>
      <c r="BI323" s="40">
        <v>0.55000000000000004</v>
      </c>
      <c r="BJ323" s="40">
        <v>0</v>
      </c>
      <c r="BM323" s="40" t="s">
        <v>1</v>
      </c>
      <c r="BN323" s="58">
        <v>32</v>
      </c>
      <c r="BO323" s="58" t="s">
        <v>677</v>
      </c>
      <c r="BP323" s="58">
        <v>250</v>
      </c>
      <c r="BT323" s="59"/>
      <c r="BU323" s="59"/>
      <c r="BV323" s="59"/>
      <c r="BW323" s="59"/>
      <c r="BX323" s="59"/>
      <c r="BY323" s="59"/>
      <c r="BZ323" s="59"/>
      <c r="CA323" s="59"/>
      <c r="CB323" s="59"/>
      <c r="CC323" s="59"/>
      <c r="CD323" s="59"/>
      <c r="CE323" s="60"/>
      <c r="CF323" s="44" t="s">
        <v>12</v>
      </c>
      <c r="CR323" s="40">
        <v>0</v>
      </c>
      <c r="CS323" s="40">
        <v>0</v>
      </c>
      <c r="CT323" s="40">
        <v>0</v>
      </c>
      <c r="CU323" s="40">
        <v>1</v>
      </c>
      <c r="CV323" s="40">
        <v>0</v>
      </c>
      <c r="CW323" s="40">
        <v>0</v>
      </c>
      <c r="CX323" s="40">
        <v>0</v>
      </c>
      <c r="CY323" s="40">
        <v>0</v>
      </c>
      <c r="CZ323" s="40">
        <v>0</v>
      </c>
      <c r="DA323" s="40">
        <v>0</v>
      </c>
      <c r="DB323" s="40">
        <v>0</v>
      </c>
      <c r="DD323" s="40">
        <v>2</v>
      </c>
      <c r="DI323" s="40" t="s">
        <v>0</v>
      </c>
    </row>
    <row r="324" spans="1:113" s="40" customFormat="1" ht="15.75" thickBot="1" x14ac:dyDescent="0.3">
      <c r="A324" s="40">
        <v>528003</v>
      </c>
      <c r="B324" s="40" t="s">
        <v>6</v>
      </c>
      <c r="C324" s="53" t="s">
        <v>674</v>
      </c>
      <c r="D324" s="40">
        <v>32</v>
      </c>
      <c r="E324" s="40">
        <v>0</v>
      </c>
      <c r="F324" s="40">
        <v>32</v>
      </c>
      <c r="G324" s="40">
        <v>104</v>
      </c>
      <c r="H324" s="40">
        <v>0</v>
      </c>
      <c r="I324" s="40">
        <v>125</v>
      </c>
      <c r="J324" s="54" t="s">
        <v>788</v>
      </c>
      <c r="K324" s="54" t="s">
        <v>789</v>
      </c>
      <c r="L324" s="56">
        <v>45965</v>
      </c>
      <c r="M324" s="40">
        <v>0</v>
      </c>
      <c r="N324" s="40">
        <v>0</v>
      </c>
      <c r="O324" s="40">
        <v>0</v>
      </c>
      <c r="S324" s="40" t="b">
        <v>0</v>
      </c>
      <c r="T324" s="40">
        <v>0.01</v>
      </c>
      <c r="U324" s="52">
        <v>2.7000000480000002</v>
      </c>
      <c r="V324" s="40">
        <v>0.01</v>
      </c>
      <c r="W324" s="40">
        <v>0</v>
      </c>
      <c r="X324" s="40">
        <v>1000</v>
      </c>
      <c r="Z324" s="40">
        <v>10</v>
      </c>
      <c r="AB324" s="52">
        <v>250</v>
      </c>
      <c r="AD324" s="40">
        <v>10</v>
      </c>
      <c r="AF324" s="40">
        <v>2000</v>
      </c>
      <c r="AG324" s="40">
        <v>2</v>
      </c>
      <c r="AH324" s="40">
        <v>2.7200000289999999</v>
      </c>
      <c r="AI324" s="40">
        <v>482</v>
      </c>
      <c r="AJ324" s="40">
        <v>0</v>
      </c>
      <c r="AK324" s="40">
        <v>332</v>
      </c>
      <c r="AM324" s="40" t="s">
        <v>2</v>
      </c>
      <c r="AO324" s="40">
        <v>250</v>
      </c>
      <c r="AW324" s="40" t="b">
        <v>0</v>
      </c>
      <c r="BE324" s="244"/>
      <c r="BF324" s="40">
        <v>1</v>
      </c>
      <c r="BG324" s="40">
        <v>0.55000000000000004</v>
      </c>
      <c r="BH324" s="40">
        <v>1</v>
      </c>
      <c r="BI324" s="40">
        <v>0.55000000000000004</v>
      </c>
      <c r="BJ324" s="40">
        <v>0</v>
      </c>
      <c r="BM324" s="40" t="s">
        <v>1</v>
      </c>
      <c r="BN324" s="58">
        <v>32</v>
      </c>
      <c r="BO324" s="58" t="s">
        <v>677</v>
      </c>
      <c r="BP324" s="58">
        <v>250</v>
      </c>
      <c r="BT324" s="59"/>
      <c r="BU324" s="59"/>
      <c r="BV324" s="59"/>
      <c r="BW324" s="59"/>
      <c r="BX324" s="59"/>
      <c r="BY324" s="59"/>
      <c r="BZ324" s="59"/>
      <c r="CA324" s="59"/>
      <c r="CB324" s="59"/>
      <c r="CC324" s="59"/>
      <c r="CD324" s="59"/>
      <c r="CE324" s="60"/>
      <c r="CF324" s="44" t="s">
        <v>12</v>
      </c>
      <c r="CR324" s="40">
        <v>0</v>
      </c>
      <c r="CS324" s="40">
        <v>0</v>
      </c>
      <c r="CT324" s="40">
        <v>0</v>
      </c>
      <c r="CU324" s="40">
        <v>1</v>
      </c>
      <c r="CV324" s="40">
        <v>0</v>
      </c>
      <c r="CW324" s="40">
        <v>0</v>
      </c>
      <c r="CX324" s="40">
        <v>0</v>
      </c>
      <c r="CY324" s="40">
        <v>0</v>
      </c>
      <c r="CZ324" s="40">
        <v>0</v>
      </c>
      <c r="DA324" s="40">
        <v>0</v>
      </c>
      <c r="DB324" s="40">
        <v>0</v>
      </c>
      <c r="DD324" s="40">
        <v>2</v>
      </c>
      <c r="DI324" s="40" t="s">
        <v>0</v>
      </c>
    </row>
    <row r="325" spans="1:113" s="40" customFormat="1" ht="15.75" thickBot="1" x14ac:dyDescent="0.3">
      <c r="A325" s="40">
        <v>527978</v>
      </c>
      <c r="B325" s="40" t="s">
        <v>6</v>
      </c>
      <c r="C325" s="53" t="s">
        <v>674</v>
      </c>
      <c r="D325" s="40">
        <v>32</v>
      </c>
      <c r="E325" s="40">
        <v>0</v>
      </c>
      <c r="F325" s="40">
        <v>32</v>
      </c>
      <c r="G325" s="40">
        <v>79</v>
      </c>
      <c r="H325" s="40">
        <v>0</v>
      </c>
      <c r="I325" s="40">
        <v>125</v>
      </c>
      <c r="J325" s="54" t="s">
        <v>790</v>
      </c>
      <c r="K325" s="54" t="s">
        <v>791</v>
      </c>
      <c r="L325" s="56">
        <v>45965</v>
      </c>
      <c r="M325" s="40">
        <v>0</v>
      </c>
      <c r="N325" s="40">
        <v>0</v>
      </c>
      <c r="O325" s="40">
        <v>0</v>
      </c>
      <c r="S325" s="40" t="b">
        <v>0</v>
      </c>
      <c r="T325" s="40">
        <v>0.01</v>
      </c>
      <c r="U325" s="52">
        <v>2.7000000480000002</v>
      </c>
      <c r="V325" s="40">
        <v>0.01</v>
      </c>
      <c r="W325" s="40">
        <v>0</v>
      </c>
      <c r="X325" s="40">
        <v>1000</v>
      </c>
      <c r="Z325" s="40">
        <v>10</v>
      </c>
      <c r="AB325" s="52">
        <v>250</v>
      </c>
      <c r="AD325" s="40">
        <v>10</v>
      </c>
      <c r="AF325" s="40">
        <v>2000</v>
      </c>
      <c r="AG325" s="40">
        <v>2</v>
      </c>
      <c r="AH325" s="40">
        <v>2.7200000289999999</v>
      </c>
      <c r="AI325" s="40">
        <v>470</v>
      </c>
      <c r="AJ325" s="40">
        <v>0</v>
      </c>
      <c r="AK325" s="40">
        <v>322</v>
      </c>
      <c r="AM325" s="40" t="s">
        <v>2</v>
      </c>
      <c r="AO325" s="40">
        <v>250</v>
      </c>
      <c r="AW325" s="40" t="b">
        <v>0</v>
      </c>
      <c r="BE325" s="244"/>
      <c r="BF325" s="40">
        <v>1</v>
      </c>
      <c r="BG325" s="40">
        <v>0.55000000000000004</v>
      </c>
      <c r="BH325" s="40">
        <v>1</v>
      </c>
      <c r="BI325" s="40">
        <v>0.55000000000000004</v>
      </c>
      <c r="BJ325" s="40">
        <v>0</v>
      </c>
      <c r="BM325" s="40" t="s">
        <v>1</v>
      </c>
      <c r="BN325" s="58">
        <v>32</v>
      </c>
      <c r="BO325" s="58" t="s">
        <v>677</v>
      </c>
      <c r="BP325" s="58">
        <v>250</v>
      </c>
      <c r="BT325" s="59"/>
      <c r="BU325" s="59"/>
      <c r="BV325" s="59"/>
      <c r="BW325" s="59"/>
      <c r="BX325" s="59"/>
      <c r="BY325" s="59"/>
      <c r="BZ325" s="59"/>
      <c r="CA325" s="59"/>
      <c r="CB325" s="59"/>
      <c r="CC325" s="59"/>
      <c r="CD325" s="59"/>
      <c r="CE325" s="60"/>
      <c r="CF325" s="44" t="s">
        <v>12</v>
      </c>
      <c r="CR325" s="40">
        <v>0</v>
      </c>
      <c r="CS325" s="40">
        <v>0</v>
      </c>
      <c r="CT325" s="40">
        <v>0</v>
      </c>
      <c r="CU325" s="40">
        <v>1</v>
      </c>
      <c r="CV325" s="40">
        <v>0</v>
      </c>
      <c r="CW325" s="40">
        <v>0</v>
      </c>
      <c r="CX325" s="40">
        <v>0</v>
      </c>
      <c r="CY325" s="40">
        <v>0</v>
      </c>
      <c r="CZ325" s="40">
        <v>0</v>
      </c>
      <c r="DA325" s="40">
        <v>0</v>
      </c>
      <c r="DB325" s="40">
        <v>0</v>
      </c>
      <c r="DD325" s="40">
        <v>2</v>
      </c>
      <c r="DI325" s="40" t="s">
        <v>0</v>
      </c>
    </row>
    <row r="326" spans="1:113" s="40" customFormat="1" ht="15.75" thickBot="1" x14ac:dyDescent="0.3">
      <c r="A326" s="40">
        <v>527979</v>
      </c>
      <c r="B326" s="40" t="s">
        <v>6</v>
      </c>
      <c r="C326" s="53" t="s">
        <v>674</v>
      </c>
      <c r="D326" s="40">
        <v>32</v>
      </c>
      <c r="E326" s="40">
        <v>0</v>
      </c>
      <c r="F326" s="40">
        <v>32</v>
      </c>
      <c r="G326" s="40">
        <v>80</v>
      </c>
      <c r="H326" s="40">
        <v>0</v>
      </c>
      <c r="I326" s="40">
        <v>125</v>
      </c>
      <c r="J326" s="54" t="s">
        <v>792</v>
      </c>
      <c r="K326" s="54" t="s">
        <v>793</v>
      </c>
      <c r="L326" s="56">
        <v>45965</v>
      </c>
      <c r="M326" s="40">
        <v>0</v>
      </c>
      <c r="N326" s="40">
        <v>0</v>
      </c>
      <c r="O326" s="40">
        <v>0</v>
      </c>
      <c r="S326" s="40" t="b">
        <v>0</v>
      </c>
      <c r="T326" s="40">
        <v>0.01</v>
      </c>
      <c r="U326" s="52">
        <v>2.7000000480000002</v>
      </c>
      <c r="V326" s="40">
        <v>0.01</v>
      </c>
      <c r="W326" s="40">
        <v>0</v>
      </c>
      <c r="X326" s="40">
        <v>1000</v>
      </c>
      <c r="Z326" s="40">
        <v>10</v>
      </c>
      <c r="AB326" s="52">
        <v>250</v>
      </c>
      <c r="AD326" s="40">
        <v>10</v>
      </c>
      <c r="AF326" s="40">
        <v>2000</v>
      </c>
      <c r="AG326" s="40">
        <v>2</v>
      </c>
      <c r="AH326" s="40">
        <v>2.7200000289999999</v>
      </c>
      <c r="AI326" s="40">
        <v>465</v>
      </c>
      <c r="AJ326" s="40">
        <v>0</v>
      </c>
      <c r="AK326" s="40">
        <v>319</v>
      </c>
      <c r="AM326" s="40" t="s">
        <v>2</v>
      </c>
      <c r="AO326" s="40">
        <v>250</v>
      </c>
      <c r="AW326" s="40" t="b">
        <v>0</v>
      </c>
      <c r="BE326" s="244"/>
      <c r="BF326" s="40">
        <v>1</v>
      </c>
      <c r="BG326" s="40">
        <v>0.55000000000000004</v>
      </c>
      <c r="BH326" s="40">
        <v>1</v>
      </c>
      <c r="BI326" s="40">
        <v>0.55000000000000004</v>
      </c>
      <c r="BJ326" s="40">
        <v>0</v>
      </c>
      <c r="BM326" s="40" t="s">
        <v>1</v>
      </c>
      <c r="BN326" s="58">
        <v>32</v>
      </c>
      <c r="BO326" s="58" t="s">
        <v>677</v>
      </c>
      <c r="BP326" s="58">
        <v>250</v>
      </c>
      <c r="BT326" s="59"/>
      <c r="BU326" s="59"/>
      <c r="BV326" s="59"/>
      <c r="BW326" s="59"/>
      <c r="BX326" s="59"/>
      <c r="BY326" s="59"/>
      <c r="BZ326" s="59"/>
      <c r="CA326" s="59"/>
      <c r="CB326" s="59"/>
      <c r="CC326" s="59"/>
      <c r="CD326" s="59"/>
      <c r="CE326" s="60"/>
      <c r="CF326" s="44" t="s">
        <v>12</v>
      </c>
      <c r="CR326" s="40">
        <v>0</v>
      </c>
      <c r="CS326" s="40">
        <v>0</v>
      </c>
      <c r="CT326" s="40">
        <v>0</v>
      </c>
      <c r="CU326" s="40">
        <v>1</v>
      </c>
      <c r="CV326" s="40">
        <v>0</v>
      </c>
      <c r="CW326" s="40">
        <v>0</v>
      </c>
      <c r="CX326" s="40">
        <v>0</v>
      </c>
      <c r="CY326" s="40">
        <v>0</v>
      </c>
      <c r="CZ326" s="40">
        <v>0</v>
      </c>
      <c r="DA326" s="40">
        <v>0</v>
      </c>
      <c r="DB326" s="40">
        <v>0</v>
      </c>
      <c r="DD326" s="40">
        <v>2</v>
      </c>
      <c r="DI326" s="40" t="s">
        <v>0</v>
      </c>
    </row>
    <row r="327" spans="1:113" s="40" customFormat="1" ht="15.75" thickBot="1" x14ac:dyDescent="0.3">
      <c r="A327" s="40">
        <v>527980</v>
      </c>
      <c r="B327" s="40" t="s">
        <v>6</v>
      </c>
      <c r="C327" s="53" t="s">
        <v>674</v>
      </c>
      <c r="D327" s="40">
        <v>32</v>
      </c>
      <c r="E327" s="40">
        <v>0</v>
      </c>
      <c r="F327" s="40">
        <v>32</v>
      </c>
      <c r="G327" s="40">
        <v>81</v>
      </c>
      <c r="H327" s="40">
        <v>0</v>
      </c>
      <c r="I327" s="40">
        <v>125</v>
      </c>
      <c r="J327" s="54" t="s">
        <v>794</v>
      </c>
      <c r="K327" s="54" t="s">
        <v>795</v>
      </c>
      <c r="L327" s="56">
        <v>45965</v>
      </c>
      <c r="M327" s="40">
        <v>0</v>
      </c>
      <c r="N327" s="40">
        <v>0</v>
      </c>
      <c r="O327" s="40">
        <v>0</v>
      </c>
      <c r="S327" s="40" t="b">
        <v>0</v>
      </c>
      <c r="T327" s="40">
        <v>0.01</v>
      </c>
      <c r="U327" s="52">
        <v>2.7000000480000002</v>
      </c>
      <c r="V327" s="40">
        <v>0.01</v>
      </c>
      <c r="W327" s="40">
        <v>0</v>
      </c>
      <c r="X327" s="40">
        <v>1000</v>
      </c>
      <c r="Z327" s="40">
        <v>10</v>
      </c>
      <c r="AB327" s="52">
        <v>250</v>
      </c>
      <c r="AD327" s="40">
        <v>10</v>
      </c>
      <c r="AF327" s="40">
        <v>2000</v>
      </c>
      <c r="AG327" s="40">
        <v>2</v>
      </c>
      <c r="AH327" s="40">
        <v>2.7200000289999999</v>
      </c>
      <c r="AI327" s="40">
        <v>470</v>
      </c>
      <c r="AJ327" s="40">
        <v>0</v>
      </c>
      <c r="AK327" s="40">
        <v>323</v>
      </c>
      <c r="AM327" s="40" t="s">
        <v>2</v>
      </c>
      <c r="AO327" s="40">
        <v>250</v>
      </c>
      <c r="AW327" s="40" t="b">
        <v>0</v>
      </c>
      <c r="BE327" s="244"/>
      <c r="BF327" s="40">
        <v>1</v>
      </c>
      <c r="BG327" s="40">
        <v>0.55000000000000004</v>
      </c>
      <c r="BH327" s="40">
        <v>1</v>
      </c>
      <c r="BI327" s="40">
        <v>0.55000000000000004</v>
      </c>
      <c r="BJ327" s="40">
        <v>0</v>
      </c>
      <c r="BM327" s="40" t="s">
        <v>1</v>
      </c>
      <c r="BN327" s="58">
        <v>32</v>
      </c>
      <c r="BO327" s="58" t="s">
        <v>677</v>
      </c>
      <c r="BP327" s="58">
        <v>250</v>
      </c>
      <c r="BT327" s="59"/>
      <c r="BU327" s="59"/>
      <c r="BV327" s="59"/>
      <c r="BW327" s="59"/>
      <c r="BX327" s="59"/>
      <c r="BY327" s="59"/>
      <c r="BZ327" s="59"/>
      <c r="CA327" s="59"/>
      <c r="CB327" s="59"/>
      <c r="CC327" s="59"/>
      <c r="CD327" s="59"/>
      <c r="CE327" s="60"/>
      <c r="CF327" s="44" t="s">
        <v>12</v>
      </c>
      <c r="CR327" s="40">
        <v>0</v>
      </c>
      <c r="CS327" s="40">
        <v>0</v>
      </c>
      <c r="CT327" s="40">
        <v>0</v>
      </c>
      <c r="CU327" s="40">
        <v>1</v>
      </c>
      <c r="CV327" s="40">
        <v>0</v>
      </c>
      <c r="CW327" s="40">
        <v>0</v>
      </c>
      <c r="CX327" s="40">
        <v>0</v>
      </c>
      <c r="CY327" s="40">
        <v>0</v>
      </c>
      <c r="CZ327" s="40">
        <v>0</v>
      </c>
      <c r="DA327" s="40">
        <v>0</v>
      </c>
      <c r="DB327" s="40">
        <v>0</v>
      </c>
      <c r="DD327" s="40">
        <v>2</v>
      </c>
      <c r="DI327" s="40" t="s">
        <v>0</v>
      </c>
    </row>
    <row r="328" spans="1:113" s="40" customFormat="1" ht="15.75" thickBot="1" x14ac:dyDescent="0.3">
      <c r="A328" s="40">
        <v>527953</v>
      </c>
      <c r="B328" s="40" t="s">
        <v>6</v>
      </c>
      <c r="C328" s="53" t="s">
        <v>674</v>
      </c>
      <c r="D328" s="40">
        <v>32</v>
      </c>
      <c r="E328" s="40">
        <v>0</v>
      </c>
      <c r="F328" s="40">
        <v>32</v>
      </c>
      <c r="G328" s="40">
        <v>54</v>
      </c>
      <c r="H328" s="40">
        <v>0</v>
      </c>
      <c r="I328" s="40">
        <v>125</v>
      </c>
      <c r="J328" s="54" t="s">
        <v>796</v>
      </c>
      <c r="K328" s="54" t="s">
        <v>797</v>
      </c>
      <c r="L328" s="56">
        <v>45965</v>
      </c>
      <c r="M328" s="40">
        <v>0</v>
      </c>
      <c r="N328" s="40">
        <v>0</v>
      </c>
      <c r="O328" s="40">
        <v>0</v>
      </c>
      <c r="S328" s="40" t="b">
        <v>0</v>
      </c>
      <c r="T328" s="40">
        <v>0.01</v>
      </c>
      <c r="U328" s="52">
        <v>2.7000000480000002</v>
      </c>
      <c r="V328" s="40">
        <v>0.01</v>
      </c>
      <c r="W328" s="40">
        <v>0</v>
      </c>
      <c r="X328" s="40">
        <v>1000</v>
      </c>
      <c r="Z328" s="40">
        <v>10</v>
      </c>
      <c r="AB328" s="52">
        <v>250</v>
      </c>
      <c r="AD328" s="40">
        <v>10</v>
      </c>
      <c r="AF328" s="40">
        <v>2000</v>
      </c>
      <c r="AG328" s="40">
        <v>2</v>
      </c>
      <c r="AH328" s="40">
        <v>2.7300000190000002</v>
      </c>
      <c r="AI328" s="40">
        <v>487</v>
      </c>
      <c r="AJ328" s="40">
        <v>0</v>
      </c>
      <c r="AK328" s="40">
        <v>334</v>
      </c>
      <c r="AM328" s="40" t="s">
        <v>2</v>
      </c>
      <c r="AO328" s="40">
        <v>250</v>
      </c>
      <c r="AW328" s="40" t="b">
        <v>0</v>
      </c>
      <c r="BE328" s="244"/>
      <c r="BF328" s="40">
        <v>1</v>
      </c>
      <c r="BG328" s="40">
        <v>0.55000000000000004</v>
      </c>
      <c r="BH328" s="40">
        <v>1</v>
      </c>
      <c r="BI328" s="40">
        <v>0.55000000000000004</v>
      </c>
      <c r="BJ328" s="40">
        <v>0</v>
      </c>
      <c r="BM328" s="40" t="s">
        <v>1</v>
      </c>
      <c r="BN328" s="58">
        <v>32</v>
      </c>
      <c r="BO328" s="58" t="s">
        <v>677</v>
      </c>
      <c r="BP328" s="58">
        <v>250</v>
      </c>
      <c r="BT328" s="59"/>
      <c r="BU328" s="59"/>
      <c r="BV328" s="59"/>
      <c r="BW328" s="59"/>
      <c r="BX328" s="59"/>
      <c r="BY328" s="59"/>
      <c r="BZ328" s="59"/>
      <c r="CA328" s="59"/>
      <c r="CB328" s="59"/>
      <c r="CC328" s="59"/>
      <c r="CD328" s="59"/>
      <c r="CE328" s="60"/>
      <c r="CF328" s="44" t="s">
        <v>12</v>
      </c>
      <c r="CR328" s="40">
        <v>0</v>
      </c>
      <c r="CS328" s="40">
        <v>0</v>
      </c>
      <c r="CT328" s="40">
        <v>0</v>
      </c>
      <c r="CU328" s="40">
        <v>1</v>
      </c>
      <c r="CV328" s="40">
        <v>0</v>
      </c>
      <c r="CW328" s="40">
        <v>0</v>
      </c>
      <c r="CX328" s="40">
        <v>0</v>
      </c>
      <c r="CY328" s="40">
        <v>0</v>
      </c>
      <c r="CZ328" s="40">
        <v>0</v>
      </c>
      <c r="DA328" s="40">
        <v>0</v>
      </c>
      <c r="DB328" s="40">
        <v>0</v>
      </c>
      <c r="DD328" s="40">
        <v>2</v>
      </c>
      <c r="DI328" s="40" t="s">
        <v>0</v>
      </c>
    </row>
    <row r="329" spans="1:113" s="40" customFormat="1" ht="15.75" thickBot="1" x14ac:dyDescent="0.3">
      <c r="A329" s="40">
        <v>527954</v>
      </c>
      <c r="B329" s="40" t="s">
        <v>6</v>
      </c>
      <c r="C329" s="53" t="s">
        <v>674</v>
      </c>
      <c r="D329" s="40">
        <v>32</v>
      </c>
      <c r="E329" s="40">
        <v>0</v>
      </c>
      <c r="F329" s="40">
        <v>32</v>
      </c>
      <c r="G329" s="40">
        <v>55</v>
      </c>
      <c r="H329" s="40">
        <v>0</v>
      </c>
      <c r="I329" s="40">
        <v>125</v>
      </c>
      <c r="J329" s="54" t="s">
        <v>798</v>
      </c>
      <c r="K329" s="54" t="s">
        <v>799</v>
      </c>
      <c r="L329" s="56">
        <v>45965</v>
      </c>
      <c r="M329" s="40">
        <v>0</v>
      </c>
      <c r="N329" s="40">
        <v>0</v>
      </c>
      <c r="O329" s="40">
        <v>0</v>
      </c>
      <c r="S329" s="40" t="b">
        <v>0</v>
      </c>
      <c r="T329" s="40">
        <v>0.01</v>
      </c>
      <c r="U329" s="52">
        <v>2.7000000480000002</v>
      </c>
      <c r="V329" s="40">
        <v>0.01</v>
      </c>
      <c r="W329" s="40">
        <v>0</v>
      </c>
      <c r="X329" s="40">
        <v>1000</v>
      </c>
      <c r="Z329" s="40">
        <v>10</v>
      </c>
      <c r="AB329" s="52">
        <v>250</v>
      </c>
      <c r="AD329" s="40">
        <v>10</v>
      </c>
      <c r="AF329" s="40">
        <v>2000</v>
      </c>
      <c r="AG329" s="40">
        <v>2</v>
      </c>
      <c r="AH329" s="40">
        <v>2.7200000289999999</v>
      </c>
      <c r="AI329" s="40">
        <v>474</v>
      </c>
      <c r="AJ329" s="40">
        <v>0</v>
      </c>
      <c r="AK329" s="40">
        <v>325</v>
      </c>
      <c r="AM329" s="40" t="s">
        <v>2</v>
      </c>
      <c r="AO329" s="40">
        <v>250</v>
      </c>
      <c r="AW329" s="40" t="b">
        <v>0</v>
      </c>
      <c r="BE329" s="244"/>
      <c r="BF329" s="40">
        <v>1</v>
      </c>
      <c r="BG329" s="40">
        <v>0.55000000000000004</v>
      </c>
      <c r="BH329" s="40">
        <v>1</v>
      </c>
      <c r="BI329" s="40">
        <v>0.55000000000000004</v>
      </c>
      <c r="BJ329" s="40">
        <v>0</v>
      </c>
      <c r="BM329" s="40" t="s">
        <v>1</v>
      </c>
      <c r="BN329" s="58">
        <v>32</v>
      </c>
      <c r="BO329" s="58" t="s">
        <v>677</v>
      </c>
      <c r="BP329" s="58">
        <v>250</v>
      </c>
      <c r="BT329" s="59"/>
      <c r="BU329" s="59"/>
      <c r="BV329" s="59"/>
      <c r="BW329" s="59"/>
      <c r="BX329" s="59"/>
      <c r="BY329" s="59"/>
      <c r="BZ329" s="59"/>
      <c r="CA329" s="59"/>
      <c r="CB329" s="59"/>
      <c r="CC329" s="59"/>
      <c r="CD329" s="59"/>
      <c r="CE329" s="60"/>
      <c r="CF329" s="44" t="s">
        <v>12</v>
      </c>
      <c r="CR329" s="40">
        <v>0</v>
      </c>
      <c r="CS329" s="40">
        <v>0</v>
      </c>
      <c r="CT329" s="40">
        <v>0</v>
      </c>
      <c r="CU329" s="40">
        <v>1</v>
      </c>
      <c r="CV329" s="40">
        <v>0</v>
      </c>
      <c r="CW329" s="40">
        <v>0</v>
      </c>
      <c r="CX329" s="40">
        <v>0</v>
      </c>
      <c r="CY329" s="40">
        <v>0</v>
      </c>
      <c r="CZ329" s="40">
        <v>0</v>
      </c>
      <c r="DA329" s="40">
        <v>0</v>
      </c>
      <c r="DB329" s="40">
        <v>0</v>
      </c>
      <c r="DD329" s="40">
        <v>2</v>
      </c>
      <c r="DI329" s="40" t="s">
        <v>0</v>
      </c>
    </row>
    <row r="330" spans="1:113" s="40" customFormat="1" ht="15.75" thickBot="1" x14ac:dyDescent="0.3">
      <c r="A330" s="40">
        <v>527955</v>
      </c>
      <c r="B330" s="40" t="s">
        <v>6</v>
      </c>
      <c r="C330" s="53" t="s">
        <v>674</v>
      </c>
      <c r="D330" s="40">
        <v>32</v>
      </c>
      <c r="E330" s="40">
        <v>0</v>
      </c>
      <c r="F330" s="40">
        <v>32</v>
      </c>
      <c r="G330" s="40">
        <v>56</v>
      </c>
      <c r="H330" s="40">
        <v>0</v>
      </c>
      <c r="I330" s="40">
        <v>125</v>
      </c>
      <c r="J330" s="54" t="s">
        <v>800</v>
      </c>
      <c r="K330" s="54" t="s">
        <v>801</v>
      </c>
      <c r="L330" s="56">
        <v>45965</v>
      </c>
      <c r="M330" s="40">
        <v>0</v>
      </c>
      <c r="N330" s="40">
        <v>0</v>
      </c>
      <c r="O330" s="40">
        <v>0</v>
      </c>
      <c r="S330" s="40" t="b">
        <v>0</v>
      </c>
      <c r="T330" s="40">
        <v>0.01</v>
      </c>
      <c r="U330" s="52">
        <v>2.7000000480000002</v>
      </c>
      <c r="V330" s="40">
        <v>0.01</v>
      </c>
      <c r="W330" s="40">
        <v>0</v>
      </c>
      <c r="X330" s="40">
        <v>1000</v>
      </c>
      <c r="Z330" s="40">
        <v>10</v>
      </c>
      <c r="AB330" s="52">
        <v>250</v>
      </c>
      <c r="AD330" s="40">
        <v>10</v>
      </c>
      <c r="AF330" s="40">
        <v>2000</v>
      </c>
      <c r="AG330" s="40">
        <v>2</v>
      </c>
      <c r="AH330" s="40">
        <v>2.7200000289999999</v>
      </c>
      <c r="AI330" s="40">
        <v>474</v>
      </c>
      <c r="AJ330" s="40">
        <v>0</v>
      </c>
      <c r="AK330" s="40">
        <v>326</v>
      </c>
      <c r="AM330" s="40" t="s">
        <v>2</v>
      </c>
      <c r="AO330" s="40">
        <v>250</v>
      </c>
      <c r="AW330" s="40" t="b">
        <v>0</v>
      </c>
      <c r="BE330" s="244"/>
      <c r="BF330" s="40">
        <v>1</v>
      </c>
      <c r="BG330" s="40">
        <v>0.55000000000000004</v>
      </c>
      <c r="BH330" s="40">
        <v>1</v>
      </c>
      <c r="BI330" s="40">
        <v>0.55000000000000004</v>
      </c>
      <c r="BJ330" s="40">
        <v>0</v>
      </c>
      <c r="BM330" s="40" t="s">
        <v>1</v>
      </c>
      <c r="BN330" s="58">
        <v>32</v>
      </c>
      <c r="BO330" s="58" t="s">
        <v>677</v>
      </c>
      <c r="BP330" s="58">
        <v>250</v>
      </c>
      <c r="BT330" s="59"/>
      <c r="BU330" s="59"/>
      <c r="BV330" s="59"/>
      <c r="BW330" s="59"/>
      <c r="BX330" s="59"/>
      <c r="BY330" s="59"/>
      <c r="BZ330" s="59"/>
      <c r="CA330" s="59"/>
      <c r="CB330" s="59"/>
      <c r="CC330" s="59"/>
      <c r="CD330" s="59"/>
      <c r="CE330" s="60"/>
      <c r="CF330" s="44" t="s">
        <v>12</v>
      </c>
      <c r="CR330" s="40">
        <v>0</v>
      </c>
      <c r="CS330" s="40">
        <v>0</v>
      </c>
      <c r="CT330" s="40">
        <v>0</v>
      </c>
      <c r="CU330" s="40">
        <v>1</v>
      </c>
      <c r="CV330" s="40">
        <v>0</v>
      </c>
      <c r="CW330" s="40">
        <v>0</v>
      </c>
      <c r="CX330" s="40">
        <v>0</v>
      </c>
      <c r="CY330" s="40">
        <v>0</v>
      </c>
      <c r="CZ330" s="40">
        <v>0</v>
      </c>
      <c r="DA330" s="40">
        <v>0</v>
      </c>
      <c r="DB330" s="40">
        <v>0</v>
      </c>
      <c r="DD330" s="40">
        <v>2</v>
      </c>
      <c r="DI330" s="40" t="s">
        <v>0</v>
      </c>
    </row>
    <row r="331" spans="1:113" s="40" customFormat="1" ht="15.75" thickBot="1" x14ac:dyDescent="0.3">
      <c r="A331" s="40">
        <v>527956</v>
      </c>
      <c r="B331" s="40" t="s">
        <v>6</v>
      </c>
      <c r="C331" s="53" t="s">
        <v>674</v>
      </c>
      <c r="D331" s="40">
        <v>32</v>
      </c>
      <c r="E331" s="40">
        <v>0</v>
      </c>
      <c r="F331" s="40">
        <v>32</v>
      </c>
      <c r="G331" s="40">
        <v>57</v>
      </c>
      <c r="H331" s="40">
        <v>0</v>
      </c>
      <c r="I331" s="40">
        <v>125</v>
      </c>
      <c r="J331" s="54" t="s">
        <v>802</v>
      </c>
      <c r="K331" s="54" t="s">
        <v>803</v>
      </c>
      <c r="L331" s="56">
        <v>45965</v>
      </c>
      <c r="M331" s="40">
        <v>0</v>
      </c>
      <c r="N331" s="40">
        <v>0</v>
      </c>
      <c r="O331" s="40">
        <v>0</v>
      </c>
      <c r="S331" s="40" t="b">
        <v>0</v>
      </c>
      <c r="T331" s="40">
        <v>0.01</v>
      </c>
      <c r="U331" s="52">
        <v>2.7000000480000002</v>
      </c>
      <c r="V331" s="40">
        <v>0.01</v>
      </c>
      <c r="W331" s="40">
        <v>0</v>
      </c>
      <c r="X331" s="40">
        <v>1000</v>
      </c>
      <c r="Z331" s="40">
        <v>10</v>
      </c>
      <c r="AB331" s="52">
        <v>250</v>
      </c>
      <c r="AD331" s="40">
        <v>10</v>
      </c>
      <c r="AF331" s="40">
        <v>2000</v>
      </c>
      <c r="AG331" s="40">
        <v>2</v>
      </c>
      <c r="AH331" s="40">
        <v>2.7200000289999999</v>
      </c>
      <c r="AI331" s="40">
        <v>478</v>
      </c>
      <c r="AJ331" s="40">
        <v>0</v>
      </c>
      <c r="AK331" s="40">
        <v>329</v>
      </c>
      <c r="AM331" s="40" t="s">
        <v>2</v>
      </c>
      <c r="AO331" s="40">
        <v>250</v>
      </c>
      <c r="AW331" s="40" t="b">
        <v>0</v>
      </c>
      <c r="BE331" s="244"/>
      <c r="BF331" s="40">
        <v>1</v>
      </c>
      <c r="BG331" s="40">
        <v>0.55000000000000004</v>
      </c>
      <c r="BH331" s="40">
        <v>1</v>
      </c>
      <c r="BI331" s="40">
        <v>0.55000000000000004</v>
      </c>
      <c r="BJ331" s="40">
        <v>0</v>
      </c>
      <c r="BM331" s="40" t="s">
        <v>1</v>
      </c>
      <c r="BN331" s="58">
        <v>32</v>
      </c>
      <c r="BO331" s="58" t="s">
        <v>677</v>
      </c>
      <c r="BP331" s="58">
        <v>250</v>
      </c>
      <c r="BT331" s="59"/>
      <c r="BU331" s="59"/>
      <c r="BV331" s="59"/>
      <c r="BW331" s="59"/>
      <c r="BX331" s="59"/>
      <c r="BY331" s="59"/>
      <c r="BZ331" s="59"/>
      <c r="CA331" s="59"/>
      <c r="CB331" s="59"/>
      <c r="CC331" s="59"/>
      <c r="CD331" s="59"/>
      <c r="CE331" s="60"/>
      <c r="CF331" s="44" t="s">
        <v>12</v>
      </c>
      <c r="CR331" s="40">
        <v>0</v>
      </c>
      <c r="CS331" s="40">
        <v>0</v>
      </c>
      <c r="CT331" s="40">
        <v>0</v>
      </c>
      <c r="CU331" s="40">
        <v>1</v>
      </c>
      <c r="CV331" s="40">
        <v>0</v>
      </c>
      <c r="CW331" s="40">
        <v>0</v>
      </c>
      <c r="CX331" s="40">
        <v>0</v>
      </c>
      <c r="CY331" s="40">
        <v>0</v>
      </c>
      <c r="CZ331" s="40">
        <v>0</v>
      </c>
      <c r="DA331" s="40">
        <v>0</v>
      </c>
      <c r="DB331" s="40">
        <v>0</v>
      </c>
      <c r="DD331" s="40">
        <v>2</v>
      </c>
      <c r="DI331" s="40" t="s">
        <v>0</v>
      </c>
    </row>
    <row r="332" spans="1:113" s="40" customFormat="1" ht="15.75" thickBot="1" x14ac:dyDescent="0.3">
      <c r="A332" s="40">
        <v>527931</v>
      </c>
      <c r="B332" s="40" t="s">
        <v>6</v>
      </c>
      <c r="C332" s="53" t="s">
        <v>674</v>
      </c>
      <c r="D332" s="40">
        <v>32</v>
      </c>
      <c r="E332" s="40">
        <v>0</v>
      </c>
      <c r="F332" s="40">
        <v>32</v>
      </c>
      <c r="G332" s="40">
        <v>32</v>
      </c>
      <c r="H332" s="40">
        <v>0</v>
      </c>
      <c r="I332" s="40">
        <v>125</v>
      </c>
      <c r="J332" s="54" t="s">
        <v>804</v>
      </c>
      <c r="K332" s="54" t="s">
        <v>805</v>
      </c>
      <c r="L332" s="56">
        <v>45965</v>
      </c>
      <c r="M332" s="40">
        <v>0</v>
      </c>
      <c r="N332" s="40">
        <v>0</v>
      </c>
      <c r="O332" s="40">
        <v>0</v>
      </c>
      <c r="S332" s="40" t="b">
        <v>0</v>
      </c>
      <c r="T332" s="40">
        <v>0.01</v>
      </c>
      <c r="U332" s="52">
        <v>2.7000000480000002</v>
      </c>
      <c r="V332" s="40">
        <v>0.01</v>
      </c>
      <c r="W332" s="40">
        <v>0</v>
      </c>
      <c r="X332" s="40">
        <v>1000</v>
      </c>
      <c r="Z332" s="40">
        <v>10</v>
      </c>
      <c r="AB332" s="52">
        <v>250</v>
      </c>
      <c r="AD332" s="40">
        <v>10</v>
      </c>
      <c r="AF332" s="40">
        <v>2000</v>
      </c>
      <c r="AG332" s="40">
        <v>2</v>
      </c>
      <c r="AH332" s="40">
        <v>2.7200000289999999</v>
      </c>
      <c r="AI332" s="40">
        <v>474</v>
      </c>
      <c r="AJ332" s="40">
        <v>0</v>
      </c>
      <c r="AK332" s="40">
        <v>327</v>
      </c>
      <c r="AM332" s="40" t="s">
        <v>2</v>
      </c>
      <c r="AO332" s="40">
        <v>250</v>
      </c>
      <c r="AW332" s="40" t="b">
        <v>0</v>
      </c>
      <c r="BE332" s="244"/>
      <c r="BF332" s="40">
        <v>1</v>
      </c>
      <c r="BG332" s="40">
        <v>0.55000000000000004</v>
      </c>
      <c r="BH332" s="40">
        <v>1</v>
      </c>
      <c r="BI332" s="40">
        <v>0.55000000000000004</v>
      </c>
      <c r="BJ332" s="40">
        <v>0</v>
      </c>
      <c r="BM332" s="40" t="s">
        <v>1</v>
      </c>
      <c r="BN332" s="58">
        <v>32</v>
      </c>
      <c r="BO332" s="58" t="s">
        <v>677</v>
      </c>
      <c r="BP332" s="58">
        <v>250</v>
      </c>
      <c r="BT332" s="59"/>
      <c r="BU332" s="59"/>
      <c r="BV332" s="59"/>
      <c r="BW332" s="59"/>
      <c r="BX332" s="59"/>
      <c r="BY332" s="59"/>
      <c r="BZ332" s="59"/>
      <c r="CA332" s="59"/>
      <c r="CB332" s="59"/>
      <c r="CC332" s="59"/>
      <c r="CD332" s="59"/>
      <c r="CE332" s="60"/>
      <c r="CF332" s="44" t="s">
        <v>12</v>
      </c>
      <c r="CR332" s="40">
        <v>0</v>
      </c>
      <c r="CS332" s="40">
        <v>0</v>
      </c>
      <c r="CT332" s="40">
        <v>0</v>
      </c>
      <c r="CU332" s="40">
        <v>1</v>
      </c>
      <c r="CV332" s="40">
        <v>0</v>
      </c>
      <c r="CW332" s="40">
        <v>0</v>
      </c>
      <c r="CX332" s="40">
        <v>0</v>
      </c>
      <c r="CY332" s="40">
        <v>0</v>
      </c>
      <c r="CZ332" s="40">
        <v>0</v>
      </c>
      <c r="DA332" s="40">
        <v>0</v>
      </c>
      <c r="DB332" s="40">
        <v>0</v>
      </c>
      <c r="DD332" s="40">
        <v>2</v>
      </c>
      <c r="DI332" s="40" t="s">
        <v>0</v>
      </c>
    </row>
    <row r="333" spans="1:113" s="40" customFormat="1" ht="15.75" thickBot="1" x14ac:dyDescent="0.3">
      <c r="A333" s="40">
        <v>527932</v>
      </c>
      <c r="B333" s="40" t="s">
        <v>6</v>
      </c>
      <c r="C333" s="53" t="s">
        <v>674</v>
      </c>
      <c r="D333" s="40">
        <v>32</v>
      </c>
      <c r="E333" s="40">
        <v>0</v>
      </c>
      <c r="F333" s="40">
        <v>32</v>
      </c>
      <c r="G333" s="40">
        <v>33</v>
      </c>
      <c r="H333" s="40">
        <v>0</v>
      </c>
      <c r="I333" s="40">
        <v>125</v>
      </c>
      <c r="J333" s="54" t="s">
        <v>806</v>
      </c>
      <c r="K333" s="54" t="s">
        <v>807</v>
      </c>
      <c r="L333" s="56">
        <v>45965</v>
      </c>
      <c r="M333" s="40">
        <v>0</v>
      </c>
      <c r="N333" s="40">
        <v>0</v>
      </c>
      <c r="O333" s="40">
        <v>0</v>
      </c>
      <c r="S333" s="40" t="b">
        <v>0</v>
      </c>
      <c r="T333" s="40">
        <v>0.01</v>
      </c>
      <c r="U333" s="52">
        <v>2.7000000480000002</v>
      </c>
      <c r="V333" s="40">
        <v>0.01</v>
      </c>
      <c r="W333" s="40">
        <v>0</v>
      </c>
      <c r="X333" s="40">
        <v>1000</v>
      </c>
      <c r="Z333" s="40">
        <v>10</v>
      </c>
      <c r="AB333" s="52">
        <v>250</v>
      </c>
      <c r="AD333" s="40">
        <v>10</v>
      </c>
      <c r="AF333" s="40">
        <v>2000</v>
      </c>
      <c r="AG333" s="40">
        <v>2</v>
      </c>
      <c r="AH333" s="40">
        <v>2.7200000289999999</v>
      </c>
      <c r="AI333" s="40">
        <v>474</v>
      </c>
      <c r="AJ333" s="40">
        <v>0</v>
      </c>
      <c r="AK333" s="40">
        <v>325</v>
      </c>
      <c r="AM333" s="40" t="s">
        <v>2</v>
      </c>
      <c r="AO333" s="40">
        <v>250</v>
      </c>
      <c r="AW333" s="40" t="b">
        <v>0</v>
      </c>
      <c r="BE333" s="244"/>
      <c r="BF333" s="40">
        <v>1</v>
      </c>
      <c r="BG333" s="40">
        <v>0.55000000000000004</v>
      </c>
      <c r="BH333" s="40">
        <v>1</v>
      </c>
      <c r="BI333" s="40">
        <v>0.55000000000000004</v>
      </c>
      <c r="BJ333" s="40">
        <v>0</v>
      </c>
      <c r="BM333" s="40" t="s">
        <v>1</v>
      </c>
      <c r="BN333" s="58">
        <v>32</v>
      </c>
      <c r="BO333" s="58" t="s">
        <v>677</v>
      </c>
      <c r="BP333" s="58">
        <v>250</v>
      </c>
      <c r="BT333" s="59"/>
      <c r="BU333" s="59"/>
      <c r="BV333" s="59"/>
      <c r="BW333" s="59"/>
      <c r="BX333" s="59"/>
      <c r="BY333" s="59"/>
      <c r="BZ333" s="59"/>
      <c r="CA333" s="59"/>
      <c r="CB333" s="59"/>
      <c r="CC333" s="59"/>
      <c r="CD333" s="59"/>
      <c r="CE333" s="60"/>
      <c r="CF333" s="44" t="s">
        <v>12</v>
      </c>
      <c r="CR333" s="40">
        <v>0</v>
      </c>
      <c r="CS333" s="40">
        <v>0</v>
      </c>
      <c r="CT333" s="40">
        <v>0</v>
      </c>
      <c r="CU333" s="40">
        <v>1</v>
      </c>
      <c r="CV333" s="40">
        <v>0</v>
      </c>
      <c r="CW333" s="40">
        <v>0</v>
      </c>
      <c r="CX333" s="40">
        <v>0</v>
      </c>
      <c r="CY333" s="40">
        <v>0</v>
      </c>
      <c r="CZ333" s="40">
        <v>0</v>
      </c>
      <c r="DA333" s="40">
        <v>0</v>
      </c>
      <c r="DB333" s="40">
        <v>0</v>
      </c>
      <c r="DD333" s="40">
        <v>2</v>
      </c>
      <c r="DI333" s="40" t="s">
        <v>0</v>
      </c>
    </row>
    <row r="334" spans="1:113" s="40" customFormat="1" ht="15.75" thickBot="1" x14ac:dyDescent="0.3">
      <c r="A334" s="40">
        <v>527933</v>
      </c>
      <c r="B334" s="40" t="s">
        <v>6</v>
      </c>
      <c r="C334" s="53" t="s">
        <v>674</v>
      </c>
      <c r="D334" s="40">
        <v>32</v>
      </c>
      <c r="E334" s="40">
        <v>0</v>
      </c>
      <c r="F334" s="40">
        <v>32</v>
      </c>
      <c r="G334" s="40">
        <v>34</v>
      </c>
      <c r="H334" s="40">
        <v>0</v>
      </c>
      <c r="I334" s="40">
        <v>125</v>
      </c>
      <c r="J334" s="54" t="s">
        <v>808</v>
      </c>
      <c r="K334" s="54" t="s">
        <v>809</v>
      </c>
      <c r="L334" s="56">
        <v>45965</v>
      </c>
      <c r="M334" s="40">
        <v>0</v>
      </c>
      <c r="N334" s="40">
        <v>0</v>
      </c>
      <c r="O334" s="40">
        <v>0</v>
      </c>
      <c r="S334" s="40" t="b">
        <v>0</v>
      </c>
      <c r="T334" s="40">
        <v>0.01</v>
      </c>
      <c r="U334" s="52">
        <v>2.7000000480000002</v>
      </c>
      <c r="V334" s="40">
        <v>0.01</v>
      </c>
      <c r="W334" s="40">
        <v>0</v>
      </c>
      <c r="X334" s="40">
        <v>1000</v>
      </c>
      <c r="Z334" s="40">
        <v>10</v>
      </c>
      <c r="AB334" s="52">
        <v>250</v>
      </c>
      <c r="AD334" s="40">
        <v>10</v>
      </c>
      <c r="AF334" s="40">
        <v>2000</v>
      </c>
      <c r="AG334" s="40">
        <v>2</v>
      </c>
      <c r="AH334" s="40">
        <v>2.7200000289999999</v>
      </c>
      <c r="AI334" s="40">
        <v>470</v>
      </c>
      <c r="AJ334" s="40">
        <v>0</v>
      </c>
      <c r="AK334" s="40">
        <v>325</v>
      </c>
      <c r="AM334" s="40" t="s">
        <v>2</v>
      </c>
      <c r="AO334" s="40">
        <v>250</v>
      </c>
      <c r="AW334" s="40" t="b">
        <v>0</v>
      </c>
      <c r="BE334" s="244"/>
      <c r="BF334" s="40">
        <v>1</v>
      </c>
      <c r="BG334" s="40">
        <v>0.55000000000000004</v>
      </c>
      <c r="BH334" s="40">
        <v>1</v>
      </c>
      <c r="BI334" s="40">
        <v>0.55000000000000004</v>
      </c>
      <c r="BJ334" s="40">
        <v>0</v>
      </c>
      <c r="BM334" s="40" t="s">
        <v>1</v>
      </c>
      <c r="BN334" s="58">
        <v>32</v>
      </c>
      <c r="BO334" s="58" t="s">
        <v>677</v>
      </c>
      <c r="BP334" s="58">
        <v>250</v>
      </c>
      <c r="BT334" s="59"/>
      <c r="BU334" s="59"/>
      <c r="BV334" s="59"/>
      <c r="BW334" s="59"/>
      <c r="BX334" s="59"/>
      <c r="BY334" s="59"/>
      <c r="BZ334" s="59"/>
      <c r="CA334" s="59"/>
      <c r="CB334" s="59"/>
      <c r="CC334" s="59"/>
      <c r="CD334" s="59"/>
      <c r="CE334" s="60"/>
      <c r="CF334" s="44" t="s">
        <v>12</v>
      </c>
      <c r="CR334" s="40">
        <v>0</v>
      </c>
      <c r="CS334" s="40">
        <v>0</v>
      </c>
      <c r="CT334" s="40">
        <v>0</v>
      </c>
      <c r="CU334" s="40">
        <v>1</v>
      </c>
      <c r="CV334" s="40">
        <v>0</v>
      </c>
      <c r="CW334" s="40">
        <v>0</v>
      </c>
      <c r="CX334" s="40">
        <v>0</v>
      </c>
      <c r="CY334" s="40">
        <v>0</v>
      </c>
      <c r="CZ334" s="40">
        <v>0</v>
      </c>
      <c r="DA334" s="40">
        <v>0</v>
      </c>
      <c r="DB334" s="40">
        <v>0</v>
      </c>
      <c r="DD334" s="40">
        <v>2</v>
      </c>
      <c r="DI334" s="40" t="s">
        <v>0</v>
      </c>
    </row>
    <row r="335" spans="1:113" s="40" customFormat="1" ht="15.75" thickBot="1" x14ac:dyDescent="0.3">
      <c r="A335" s="40">
        <v>527904</v>
      </c>
      <c r="B335" s="40" t="s">
        <v>6</v>
      </c>
      <c r="C335" s="53" t="s">
        <v>674</v>
      </c>
      <c r="D335" s="40">
        <v>32</v>
      </c>
      <c r="E335" s="40">
        <v>0</v>
      </c>
      <c r="F335" s="40">
        <v>32</v>
      </c>
      <c r="G335" s="40">
        <v>5</v>
      </c>
      <c r="H335" s="40">
        <v>0</v>
      </c>
      <c r="I335" s="40">
        <v>125</v>
      </c>
      <c r="J335" s="54" t="s">
        <v>810</v>
      </c>
      <c r="K335" s="54" t="s">
        <v>811</v>
      </c>
      <c r="L335" s="56">
        <v>45965</v>
      </c>
      <c r="M335" s="40">
        <v>0</v>
      </c>
      <c r="N335" s="40">
        <v>0</v>
      </c>
      <c r="O335" s="40">
        <v>0</v>
      </c>
      <c r="S335" s="40" t="b">
        <v>0</v>
      </c>
      <c r="T335" s="40">
        <v>0.01</v>
      </c>
      <c r="U335" s="52">
        <v>2.7000000480000002</v>
      </c>
      <c r="V335" s="40">
        <v>0.01</v>
      </c>
      <c r="W335" s="40">
        <v>0</v>
      </c>
      <c r="X335" s="40">
        <v>1000</v>
      </c>
      <c r="Z335" s="40">
        <v>10</v>
      </c>
      <c r="AB335" s="52">
        <v>250</v>
      </c>
      <c r="AD335" s="40">
        <v>10</v>
      </c>
      <c r="AF335" s="40">
        <v>2000</v>
      </c>
      <c r="AG335" s="40">
        <v>2</v>
      </c>
      <c r="AH335" s="40">
        <v>2.710000038</v>
      </c>
      <c r="AI335" s="40">
        <v>436</v>
      </c>
      <c r="AJ335" s="40">
        <v>0</v>
      </c>
      <c r="AK335" s="40">
        <v>298</v>
      </c>
      <c r="AM335" s="40" t="s">
        <v>2</v>
      </c>
      <c r="AO335" s="40">
        <v>250</v>
      </c>
      <c r="AW335" s="40" t="b">
        <v>0</v>
      </c>
      <c r="BE335" s="244"/>
      <c r="BF335" s="40">
        <v>1</v>
      </c>
      <c r="BG335" s="40">
        <v>0.55000000000000004</v>
      </c>
      <c r="BH335" s="40">
        <v>1</v>
      </c>
      <c r="BI335" s="40">
        <v>0.55000000000000004</v>
      </c>
      <c r="BJ335" s="40">
        <v>0</v>
      </c>
      <c r="BM335" s="40" t="s">
        <v>1</v>
      </c>
      <c r="BN335" s="58">
        <v>32</v>
      </c>
      <c r="BO335" s="58" t="s">
        <v>677</v>
      </c>
      <c r="BP335" s="58">
        <v>250</v>
      </c>
      <c r="BT335" s="59"/>
      <c r="BU335" s="59"/>
      <c r="BV335" s="59"/>
      <c r="BW335" s="59"/>
      <c r="BX335" s="59"/>
      <c r="BY335" s="59"/>
      <c r="BZ335" s="59"/>
      <c r="CA335" s="59"/>
      <c r="CB335" s="59"/>
      <c r="CC335" s="59"/>
      <c r="CD335" s="59"/>
      <c r="CE335" s="60"/>
      <c r="CF335" s="44" t="s">
        <v>12</v>
      </c>
      <c r="CR335" s="40">
        <v>0</v>
      </c>
      <c r="CS335" s="40">
        <v>0</v>
      </c>
      <c r="CT335" s="40">
        <v>0</v>
      </c>
      <c r="CU335" s="40">
        <v>1</v>
      </c>
      <c r="CV335" s="40">
        <v>0</v>
      </c>
      <c r="CW335" s="40">
        <v>0</v>
      </c>
      <c r="CX335" s="40">
        <v>0</v>
      </c>
      <c r="CY335" s="40">
        <v>0</v>
      </c>
      <c r="CZ335" s="40">
        <v>0</v>
      </c>
      <c r="DA335" s="40">
        <v>0</v>
      </c>
      <c r="DB335" s="40">
        <v>0</v>
      </c>
      <c r="DD335" s="40">
        <v>2</v>
      </c>
      <c r="DI335" s="40" t="s">
        <v>0</v>
      </c>
    </row>
    <row r="336" spans="1:113" s="40" customFormat="1" ht="15.75" thickBot="1" x14ac:dyDescent="0.3">
      <c r="A336" s="40">
        <v>527905</v>
      </c>
      <c r="B336" s="40" t="s">
        <v>6</v>
      </c>
      <c r="C336" s="53" t="s">
        <v>674</v>
      </c>
      <c r="D336" s="40">
        <v>32</v>
      </c>
      <c r="E336" s="40">
        <v>0</v>
      </c>
      <c r="F336" s="40">
        <v>32</v>
      </c>
      <c r="G336" s="40">
        <v>6</v>
      </c>
      <c r="H336" s="40">
        <v>0</v>
      </c>
      <c r="I336" s="40">
        <v>125</v>
      </c>
      <c r="J336" s="54" t="s">
        <v>812</v>
      </c>
      <c r="K336" s="54" t="s">
        <v>813</v>
      </c>
      <c r="L336" s="56">
        <v>45965</v>
      </c>
      <c r="M336" s="40">
        <v>0</v>
      </c>
      <c r="N336" s="40">
        <v>0</v>
      </c>
      <c r="O336" s="40">
        <v>0</v>
      </c>
      <c r="S336" s="40" t="b">
        <v>0</v>
      </c>
      <c r="T336" s="40">
        <v>0.01</v>
      </c>
      <c r="U336" s="52">
        <v>2.7000000480000002</v>
      </c>
      <c r="V336" s="40">
        <v>0.01</v>
      </c>
      <c r="W336" s="40">
        <v>0</v>
      </c>
      <c r="X336" s="40">
        <v>1000</v>
      </c>
      <c r="Z336" s="40">
        <v>10</v>
      </c>
      <c r="AB336" s="52">
        <v>250</v>
      </c>
      <c r="AD336" s="40">
        <v>10</v>
      </c>
      <c r="AF336" s="40">
        <v>2000</v>
      </c>
      <c r="AG336" s="40">
        <v>2</v>
      </c>
      <c r="AH336" s="40">
        <v>2.7000000480000002</v>
      </c>
      <c r="AI336" s="40">
        <v>423</v>
      </c>
      <c r="AJ336" s="40">
        <v>0</v>
      </c>
      <c r="AK336" s="40">
        <v>291</v>
      </c>
      <c r="AM336" s="40" t="s">
        <v>2</v>
      </c>
      <c r="AO336" s="40">
        <v>250</v>
      </c>
      <c r="AW336" s="40" t="b">
        <v>0</v>
      </c>
      <c r="BE336" s="244"/>
      <c r="BF336" s="40">
        <v>1</v>
      </c>
      <c r="BG336" s="40">
        <v>0.55000000000000004</v>
      </c>
      <c r="BH336" s="40">
        <v>1</v>
      </c>
      <c r="BI336" s="40">
        <v>0.55000000000000004</v>
      </c>
      <c r="BJ336" s="40">
        <v>0</v>
      </c>
      <c r="BM336" s="40" t="s">
        <v>1</v>
      </c>
      <c r="BN336" s="58">
        <v>32</v>
      </c>
      <c r="BO336" s="58" t="s">
        <v>677</v>
      </c>
      <c r="BP336" s="58">
        <v>250</v>
      </c>
      <c r="BT336" s="59"/>
      <c r="BU336" s="59"/>
      <c r="BV336" s="59"/>
      <c r="BW336" s="59"/>
      <c r="BX336" s="59"/>
      <c r="BY336" s="59"/>
      <c r="BZ336" s="59"/>
      <c r="CA336" s="59"/>
      <c r="CB336" s="59"/>
      <c r="CC336" s="59"/>
      <c r="CD336" s="59"/>
      <c r="CE336" s="60"/>
      <c r="CF336" s="44" t="s">
        <v>12</v>
      </c>
      <c r="CR336" s="40">
        <v>0</v>
      </c>
      <c r="CS336" s="40">
        <v>0</v>
      </c>
      <c r="CT336" s="40">
        <v>0</v>
      </c>
      <c r="CU336" s="40">
        <v>1</v>
      </c>
      <c r="CV336" s="40">
        <v>0</v>
      </c>
      <c r="CW336" s="40">
        <v>0</v>
      </c>
      <c r="CX336" s="40">
        <v>0</v>
      </c>
      <c r="CY336" s="40">
        <v>0</v>
      </c>
      <c r="CZ336" s="40">
        <v>0</v>
      </c>
      <c r="DA336" s="40">
        <v>0</v>
      </c>
      <c r="DB336" s="40">
        <v>0</v>
      </c>
      <c r="DD336" s="40">
        <v>2</v>
      </c>
      <c r="DI336" s="40" t="s">
        <v>0</v>
      </c>
    </row>
    <row r="337" spans="1:113" s="40" customFormat="1" ht="15.75" thickBot="1" x14ac:dyDescent="0.3">
      <c r="A337" s="40">
        <v>527906</v>
      </c>
      <c r="B337" s="40" t="s">
        <v>6</v>
      </c>
      <c r="C337" s="53" t="s">
        <v>674</v>
      </c>
      <c r="D337" s="40">
        <v>32</v>
      </c>
      <c r="E337" s="40">
        <v>0</v>
      </c>
      <c r="F337" s="40">
        <v>32</v>
      </c>
      <c r="G337" s="40">
        <v>7</v>
      </c>
      <c r="H337" s="40">
        <v>0</v>
      </c>
      <c r="I337" s="40">
        <v>125</v>
      </c>
      <c r="J337" s="54" t="s">
        <v>814</v>
      </c>
      <c r="K337" s="54" t="s">
        <v>815</v>
      </c>
      <c r="L337" s="56">
        <v>45965</v>
      </c>
      <c r="M337" s="40">
        <v>0</v>
      </c>
      <c r="N337" s="40">
        <v>0</v>
      </c>
      <c r="O337" s="40">
        <v>0</v>
      </c>
      <c r="S337" s="40" t="b">
        <v>0</v>
      </c>
      <c r="T337" s="40">
        <v>0.01</v>
      </c>
      <c r="U337" s="52">
        <v>2.7000000480000002</v>
      </c>
      <c r="V337" s="40">
        <v>0.01</v>
      </c>
      <c r="W337" s="40">
        <v>0</v>
      </c>
      <c r="X337" s="40">
        <v>1000</v>
      </c>
      <c r="Z337" s="40">
        <v>10</v>
      </c>
      <c r="AB337" s="52">
        <v>250</v>
      </c>
      <c r="AD337" s="40">
        <v>10</v>
      </c>
      <c r="AF337" s="40">
        <v>2000</v>
      </c>
      <c r="AG337" s="40">
        <v>2</v>
      </c>
      <c r="AH337" s="40">
        <v>2.7300000190000002</v>
      </c>
      <c r="AI337" s="40">
        <v>499</v>
      </c>
      <c r="AJ337" s="40">
        <v>0</v>
      </c>
      <c r="AK337" s="40">
        <v>343</v>
      </c>
      <c r="AM337" s="40" t="s">
        <v>2</v>
      </c>
      <c r="AO337" s="40">
        <v>250</v>
      </c>
      <c r="AW337" s="40" t="b">
        <v>0</v>
      </c>
      <c r="BE337" s="244"/>
      <c r="BF337" s="40">
        <v>1</v>
      </c>
      <c r="BG337" s="40">
        <v>0.55000000000000004</v>
      </c>
      <c r="BH337" s="40">
        <v>1</v>
      </c>
      <c r="BI337" s="40">
        <v>0.55000000000000004</v>
      </c>
      <c r="BJ337" s="40">
        <v>0</v>
      </c>
      <c r="BM337" s="40" t="s">
        <v>1</v>
      </c>
      <c r="BN337" s="58">
        <v>32</v>
      </c>
      <c r="BO337" s="58" t="s">
        <v>677</v>
      </c>
      <c r="BP337" s="58">
        <v>250</v>
      </c>
      <c r="BT337" s="59"/>
      <c r="BU337" s="59"/>
      <c r="BV337" s="59"/>
      <c r="BW337" s="59"/>
      <c r="BX337" s="59"/>
      <c r="BY337" s="59"/>
      <c r="BZ337" s="59"/>
      <c r="CA337" s="59"/>
      <c r="CB337" s="59"/>
      <c r="CC337" s="59"/>
      <c r="CD337" s="59"/>
      <c r="CE337" s="60"/>
      <c r="CF337" s="44" t="s">
        <v>12</v>
      </c>
      <c r="CR337" s="40">
        <v>0</v>
      </c>
      <c r="CS337" s="40">
        <v>0</v>
      </c>
      <c r="CT337" s="40">
        <v>0</v>
      </c>
      <c r="CU337" s="40">
        <v>1</v>
      </c>
      <c r="CV337" s="40">
        <v>0</v>
      </c>
      <c r="CW337" s="40">
        <v>0</v>
      </c>
      <c r="CX337" s="40">
        <v>0</v>
      </c>
      <c r="CY337" s="40">
        <v>0</v>
      </c>
      <c r="CZ337" s="40">
        <v>0</v>
      </c>
      <c r="DA337" s="40">
        <v>0</v>
      </c>
      <c r="DB337" s="40">
        <v>0</v>
      </c>
      <c r="DD337" s="40">
        <v>2</v>
      </c>
      <c r="DI337" s="40" t="s">
        <v>0</v>
      </c>
    </row>
    <row r="338" spans="1:113" s="40" customFormat="1" ht="15.75" thickBot="1" x14ac:dyDescent="0.3">
      <c r="A338" s="40">
        <v>527907</v>
      </c>
      <c r="B338" s="40" t="s">
        <v>6</v>
      </c>
      <c r="C338" s="53" t="s">
        <v>674</v>
      </c>
      <c r="D338" s="40">
        <v>32</v>
      </c>
      <c r="E338" s="40">
        <v>0</v>
      </c>
      <c r="F338" s="40">
        <v>32</v>
      </c>
      <c r="G338" s="40">
        <v>8</v>
      </c>
      <c r="H338" s="40">
        <v>0</v>
      </c>
      <c r="I338" s="40">
        <v>125</v>
      </c>
      <c r="J338" s="54" t="s">
        <v>816</v>
      </c>
      <c r="K338" s="54" t="s">
        <v>817</v>
      </c>
      <c r="L338" s="56">
        <v>45965</v>
      </c>
      <c r="M338" s="40">
        <v>0</v>
      </c>
      <c r="N338" s="40">
        <v>0</v>
      </c>
      <c r="O338" s="40">
        <v>0</v>
      </c>
      <c r="S338" s="40" t="b">
        <v>0</v>
      </c>
      <c r="T338" s="40">
        <v>0.01</v>
      </c>
      <c r="U338" s="52">
        <v>2.7000000480000002</v>
      </c>
      <c r="V338" s="40">
        <v>0.01</v>
      </c>
      <c r="W338" s="40">
        <v>0</v>
      </c>
      <c r="X338" s="40">
        <v>1000</v>
      </c>
      <c r="Z338" s="40">
        <v>10</v>
      </c>
      <c r="AB338" s="52">
        <v>250</v>
      </c>
      <c r="AD338" s="40">
        <v>10</v>
      </c>
      <c r="AF338" s="40">
        <v>2000</v>
      </c>
      <c r="AG338" s="40">
        <v>2</v>
      </c>
      <c r="AH338" s="40">
        <v>2.7200000289999999</v>
      </c>
      <c r="AI338" s="40">
        <v>487</v>
      </c>
      <c r="AJ338" s="40">
        <v>0</v>
      </c>
      <c r="AK338" s="40">
        <v>335</v>
      </c>
      <c r="AM338" s="40" t="s">
        <v>2</v>
      </c>
      <c r="AO338" s="40">
        <v>250</v>
      </c>
      <c r="AW338" s="40" t="b">
        <v>0</v>
      </c>
      <c r="BE338" s="244"/>
      <c r="BF338" s="40">
        <v>1</v>
      </c>
      <c r="BG338" s="40">
        <v>0.55000000000000004</v>
      </c>
      <c r="BH338" s="40">
        <v>1</v>
      </c>
      <c r="BI338" s="40">
        <v>0.55000000000000004</v>
      </c>
      <c r="BJ338" s="40">
        <v>0</v>
      </c>
      <c r="BM338" s="40" t="s">
        <v>1</v>
      </c>
      <c r="BN338" s="58">
        <v>32</v>
      </c>
      <c r="BO338" s="58" t="s">
        <v>677</v>
      </c>
      <c r="BP338" s="58">
        <v>250</v>
      </c>
      <c r="BT338" s="59"/>
      <c r="BU338" s="59"/>
      <c r="BV338" s="59"/>
      <c r="BW338" s="59"/>
      <c r="BX338" s="59"/>
      <c r="BY338" s="59"/>
      <c r="BZ338" s="59"/>
      <c r="CA338" s="59"/>
      <c r="CB338" s="59"/>
      <c r="CC338" s="59"/>
      <c r="CD338" s="59"/>
      <c r="CE338" s="60"/>
      <c r="CF338" s="44" t="s">
        <v>12</v>
      </c>
      <c r="CR338" s="40">
        <v>0</v>
      </c>
      <c r="CS338" s="40">
        <v>0</v>
      </c>
      <c r="CT338" s="40">
        <v>0</v>
      </c>
      <c r="CU338" s="40">
        <v>1</v>
      </c>
      <c r="CV338" s="40">
        <v>0</v>
      </c>
      <c r="CW338" s="40">
        <v>0</v>
      </c>
      <c r="CX338" s="40">
        <v>0</v>
      </c>
      <c r="CY338" s="40">
        <v>0</v>
      </c>
      <c r="CZ338" s="40">
        <v>0</v>
      </c>
      <c r="DA338" s="40">
        <v>0</v>
      </c>
      <c r="DB338" s="40">
        <v>0</v>
      </c>
      <c r="DD338" s="40">
        <v>2</v>
      </c>
      <c r="DI338" s="40" t="s">
        <v>0</v>
      </c>
    </row>
    <row r="339" spans="1:113" s="40" customFormat="1" ht="15.75" thickBot="1" x14ac:dyDescent="0.3">
      <c r="A339" s="40">
        <v>527908</v>
      </c>
      <c r="B339" s="40" t="s">
        <v>6</v>
      </c>
      <c r="C339" s="53" t="s">
        <v>674</v>
      </c>
      <c r="D339" s="40">
        <v>32</v>
      </c>
      <c r="E339" s="40">
        <v>0</v>
      </c>
      <c r="F339" s="40">
        <v>32</v>
      </c>
      <c r="G339" s="40">
        <v>9</v>
      </c>
      <c r="H339" s="40">
        <v>0</v>
      </c>
      <c r="I339" s="40">
        <v>125</v>
      </c>
      <c r="J339" s="54" t="s">
        <v>818</v>
      </c>
      <c r="K339" s="54" t="s">
        <v>819</v>
      </c>
      <c r="L339" s="56">
        <v>45965</v>
      </c>
      <c r="M339" s="40">
        <v>0</v>
      </c>
      <c r="N339" s="40">
        <v>0</v>
      </c>
      <c r="O339" s="40">
        <v>0</v>
      </c>
      <c r="S339" s="40" t="b">
        <v>0</v>
      </c>
      <c r="T339" s="40">
        <v>0.01</v>
      </c>
      <c r="U339" s="52">
        <v>2.7000000480000002</v>
      </c>
      <c r="V339" s="40">
        <v>0.01</v>
      </c>
      <c r="W339" s="40">
        <v>0</v>
      </c>
      <c r="X339" s="40">
        <v>1000</v>
      </c>
      <c r="Z339" s="40">
        <v>10</v>
      </c>
      <c r="AB339" s="52">
        <v>250</v>
      </c>
      <c r="AD339" s="40">
        <v>10</v>
      </c>
      <c r="AF339" s="40">
        <v>2000</v>
      </c>
      <c r="AG339" s="40">
        <v>2</v>
      </c>
      <c r="AH339" s="40">
        <v>2.7300000190000002</v>
      </c>
      <c r="AI339" s="40">
        <v>487</v>
      </c>
      <c r="AJ339" s="40">
        <v>0</v>
      </c>
      <c r="AK339" s="40">
        <v>336</v>
      </c>
      <c r="AM339" s="40" t="s">
        <v>2</v>
      </c>
      <c r="AO339" s="40">
        <v>250</v>
      </c>
      <c r="AW339" s="40" t="b">
        <v>0</v>
      </c>
      <c r="BE339" s="244"/>
      <c r="BF339" s="40">
        <v>1</v>
      </c>
      <c r="BG339" s="40">
        <v>0.55000000000000004</v>
      </c>
      <c r="BH339" s="40">
        <v>1</v>
      </c>
      <c r="BI339" s="40">
        <v>0.55000000000000004</v>
      </c>
      <c r="BJ339" s="40">
        <v>0</v>
      </c>
      <c r="BM339" s="40" t="s">
        <v>1</v>
      </c>
      <c r="BN339" s="58">
        <v>32</v>
      </c>
      <c r="BO339" s="58" t="s">
        <v>677</v>
      </c>
      <c r="BP339" s="58">
        <v>250</v>
      </c>
      <c r="BT339" s="59"/>
      <c r="BU339" s="59"/>
      <c r="BV339" s="59"/>
      <c r="BW339" s="59"/>
      <c r="BX339" s="59"/>
      <c r="BY339" s="59"/>
      <c r="BZ339" s="59"/>
      <c r="CA339" s="59"/>
      <c r="CB339" s="59"/>
      <c r="CC339" s="59"/>
      <c r="CD339" s="59"/>
      <c r="CE339" s="60"/>
      <c r="CF339" s="44" t="s">
        <v>12</v>
      </c>
      <c r="CR339" s="40">
        <v>0</v>
      </c>
      <c r="CS339" s="40">
        <v>0</v>
      </c>
      <c r="CT339" s="40">
        <v>0</v>
      </c>
      <c r="CU339" s="40">
        <v>1</v>
      </c>
      <c r="CV339" s="40">
        <v>0</v>
      </c>
      <c r="CW339" s="40">
        <v>0</v>
      </c>
      <c r="CX339" s="40">
        <v>0</v>
      </c>
      <c r="CY339" s="40">
        <v>0</v>
      </c>
      <c r="CZ339" s="40">
        <v>0</v>
      </c>
      <c r="DA339" s="40">
        <v>0</v>
      </c>
      <c r="DB339" s="40">
        <v>0</v>
      </c>
      <c r="DD339" s="40">
        <v>2</v>
      </c>
      <c r="DI339" s="40" t="s">
        <v>0</v>
      </c>
    </row>
    <row r="340" spans="1:113" s="40" customFormat="1" ht="15.75" thickBot="1" x14ac:dyDescent="0.3">
      <c r="A340" s="40">
        <v>527909</v>
      </c>
      <c r="B340" s="40" t="s">
        <v>6</v>
      </c>
      <c r="C340" s="53" t="s">
        <v>674</v>
      </c>
      <c r="D340" s="40">
        <v>32</v>
      </c>
      <c r="E340" s="40">
        <v>0</v>
      </c>
      <c r="F340" s="40">
        <v>32</v>
      </c>
      <c r="G340" s="40">
        <v>10</v>
      </c>
      <c r="H340" s="40">
        <v>0</v>
      </c>
      <c r="I340" s="40">
        <v>125</v>
      </c>
      <c r="J340" s="54" t="s">
        <v>820</v>
      </c>
      <c r="K340" s="54" t="s">
        <v>821</v>
      </c>
      <c r="L340" s="56">
        <v>45965</v>
      </c>
      <c r="M340" s="40">
        <v>0</v>
      </c>
      <c r="N340" s="40">
        <v>0</v>
      </c>
      <c r="O340" s="40">
        <v>0</v>
      </c>
      <c r="S340" s="40" t="b">
        <v>0</v>
      </c>
      <c r="T340" s="40">
        <v>0.01</v>
      </c>
      <c r="U340" s="52">
        <v>2.7000000480000002</v>
      </c>
      <c r="V340" s="40">
        <v>0.01</v>
      </c>
      <c r="W340" s="40">
        <v>0</v>
      </c>
      <c r="X340" s="40">
        <v>1000</v>
      </c>
      <c r="Z340" s="40">
        <v>10</v>
      </c>
      <c r="AB340" s="52">
        <v>250</v>
      </c>
      <c r="AD340" s="40">
        <v>10</v>
      </c>
      <c r="AF340" s="40">
        <v>2000</v>
      </c>
      <c r="AG340" s="40">
        <v>2</v>
      </c>
      <c r="AH340" s="40">
        <v>2.7300000190000002</v>
      </c>
      <c r="AI340" s="40">
        <v>491</v>
      </c>
      <c r="AJ340" s="40">
        <v>0</v>
      </c>
      <c r="AK340" s="40">
        <v>336</v>
      </c>
      <c r="AM340" s="40" t="s">
        <v>2</v>
      </c>
      <c r="AO340" s="40">
        <v>250</v>
      </c>
      <c r="AW340" s="40" t="b">
        <v>0</v>
      </c>
      <c r="BE340" s="244"/>
      <c r="BF340" s="40">
        <v>1</v>
      </c>
      <c r="BG340" s="40">
        <v>0.55000000000000004</v>
      </c>
      <c r="BH340" s="40">
        <v>1</v>
      </c>
      <c r="BI340" s="40">
        <v>0.55000000000000004</v>
      </c>
      <c r="BJ340" s="40">
        <v>0</v>
      </c>
      <c r="BM340" s="40" t="s">
        <v>1</v>
      </c>
      <c r="BN340" s="58">
        <v>32</v>
      </c>
      <c r="BO340" s="58" t="s">
        <v>677</v>
      </c>
      <c r="BP340" s="58">
        <v>250</v>
      </c>
      <c r="BT340" s="59"/>
      <c r="BU340" s="59"/>
      <c r="BV340" s="59"/>
      <c r="BW340" s="59"/>
      <c r="BX340" s="59"/>
      <c r="BY340" s="59"/>
      <c r="BZ340" s="59"/>
      <c r="CA340" s="59"/>
      <c r="CB340" s="59"/>
      <c r="CC340" s="59"/>
      <c r="CD340" s="59"/>
      <c r="CE340" s="60"/>
      <c r="CF340" s="44" t="s">
        <v>12</v>
      </c>
      <c r="CR340" s="40">
        <v>0</v>
      </c>
      <c r="CS340" s="40">
        <v>0</v>
      </c>
      <c r="CT340" s="40">
        <v>0</v>
      </c>
      <c r="CU340" s="40">
        <v>1</v>
      </c>
      <c r="CV340" s="40">
        <v>0</v>
      </c>
      <c r="CW340" s="40">
        <v>0</v>
      </c>
      <c r="CX340" s="40">
        <v>0</v>
      </c>
      <c r="CY340" s="40">
        <v>0</v>
      </c>
      <c r="CZ340" s="40">
        <v>0</v>
      </c>
      <c r="DA340" s="40">
        <v>0</v>
      </c>
      <c r="DB340" s="40">
        <v>0</v>
      </c>
      <c r="DD340" s="40">
        <v>2</v>
      </c>
      <c r="DI340" s="40" t="s">
        <v>0</v>
      </c>
    </row>
    <row r="341" spans="1:113" s="229" customFormat="1" ht="15.75" customHeight="1" thickBot="1" x14ac:dyDescent="0.3">
      <c r="A341" s="225">
        <v>560651</v>
      </c>
      <c r="B341" s="225" t="s">
        <v>6</v>
      </c>
      <c r="C341" s="226" t="s">
        <v>822</v>
      </c>
      <c r="D341" s="225">
        <v>48</v>
      </c>
      <c r="E341" s="225">
        <v>0</v>
      </c>
      <c r="F341" s="225">
        <v>48</v>
      </c>
      <c r="G341" s="225">
        <v>422</v>
      </c>
      <c r="H341" s="225">
        <v>0</v>
      </c>
      <c r="I341" s="225">
        <v>25</v>
      </c>
      <c r="J341" s="227" t="s">
        <v>823</v>
      </c>
      <c r="K341" s="227" t="s">
        <v>824</v>
      </c>
      <c r="L341" s="228">
        <v>46037.079965277801</v>
      </c>
      <c r="M341" s="225">
        <v>0</v>
      </c>
      <c r="N341" s="225">
        <v>0</v>
      </c>
      <c r="O341" s="225">
        <v>0</v>
      </c>
      <c r="R341" s="225" t="s">
        <v>24</v>
      </c>
      <c r="S341" s="225" t="b">
        <v>0</v>
      </c>
      <c r="T341" s="230">
        <v>0.01</v>
      </c>
      <c r="U341" s="231">
        <v>5.5</v>
      </c>
      <c r="V341" s="230">
        <v>0.01</v>
      </c>
      <c r="W341" s="230">
        <v>0</v>
      </c>
      <c r="X341" s="225">
        <v>1000</v>
      </c>
      <c r="Z341" s="225">
        <v>10</v>
      </c>
      <c r="AB341" s="232">
        <v>50</v>
      </c>
      <c r="AD341" s="225">
        <v>10</v>
      </c>
      <c r="AF341" s="225">
        <v>2000</v>
      </c>
      <c r="AG341" s="225">
        <v>2</v>
      </c>
      <c r="AH341" s="225">
        <v>5.67</v>
      </c>
      <c r="AI341" s="225">
        <v>660</v>
      </c>
      <c r="AJ341" s="225">
        <v>0</v>
      </c>
      <c r="AK341" s="225">
        <v>165</v>
      </c>
      <c r="AM341" s="225" t="s">
        <v>2</v>
      </c>
      <c r="AO341" s="225">
        <v>50</v>
      </c>
      <c r="AW341" s="225" t="b">
        <v>0</v>
      </c>
      <c r="AZ341" s="225" t="s">
        <v>24</v>
      </c>
      <c r="BE341" s="248"/>
      <c r="BF341" s="229">
        <v>0.9</v>
      </c>
      <c r="BG341" s="229">
        <v>0.55000000000000004</v>
      </c>
      <c r="BH341" s="229" t="s">
        <v>671</v>
      </c>
      <c r="BI341" s="229">
        <v>0.55000000000000004</v>
      </c>
      <c r="BJ341" s="229">
        <v>0</v>
      </c>
      <c r="BK341" s="119">
        <v>5.5</v>
      </c>
      <c r="BL341" s="119">
        <v>6</v>
      </c>
      <c r="BM341" s="40" t="s">
        <v>1</v>
      </c>
      <c r="BN341" s="240">
        <v>48</v>
      </c>
      <c r="BO341" s="241">
        <v>5.5</v>
      </c>
      <c r="BP341" s="58">
        <v>250</v>
      </c>
      <c r="BT341" s="59"/>
      <c r="BU341" s="59"/>
      <c r="BV341" s="59"/>
      <c r="BW341" s="59"/>
      <c r="BX341" s="59"/>
      <c r="BY341" s="59"/>
      <c r="BZ341" s="59"/>
      <c r="CA341" s="59"/>
      <c r="CB341" s="59"/>
      <c r="CC341" s="59"/>
      <c r="CD341" s="59"/>
      <c r="CE341" s="60"/>
      <c r="CF341" s="76" t="s">
        <v>90</v>
      </c>
      <c r="CR341" s="40">
        <v>0</v>
      </c>
      <c r="CS341" s="67">
        <v>0</v>
      </c>
      <c r="CT341" s="67">
        <v>0</v>
      </c>
      <c r="CU341" s="40">
        <v>0</v>
      </c>
      <c r="CV341" s="67">
        <v>0</v>
      </c>
      <c r="CW341" s="67">
        <v>0</v>
      </c>
      <c r="CX341" s="67">
        <v>0</v>
      </c>
      <c r="CY341" s="67">
        <v>0</v>
      </c>
      <c r="CZ341" s="67">
        <v>0</v>
      </c>
      <c r="DA341" s="67">
        <v>0</v>
      </c>
      <c r="DB341" s="67">
        <v>0</v>
      </c>
      <c r="DD341" s="229">
        <v>0</v>
      </c>
      <c r="DI341" s="40" t="s">
        <v>0</v>
      </c>
    </row>
    <row r="342" spans="1:113" s="119" customFormat="1" ht="15.75" customHeight="1" thickBot="1" x14ac:dyDescent="0.3">
      <c r="A342" s="233">
        <v>560650</v>
      </c>
      <c r="B342" s="233" t="s">
        <v>6</v>
      </c>
      <c r="C342" s="234" t="s">
        <v>822</v>
      </c>
      <c r="D342" s="233">
        <v>48</v>
      </c>
      <c r="E342" s="233">
        <v>0</v>
      </c>
      <c r="F342" s="233">
        <v>48</v>
      </c>
      <c r="G342" s="233">
        <v>421</v>
      </c>
      <c r="H342" s="233">
        <v>0</v>
      </c>
      <c r="I342" s="233">
        <v>25</v>
      </c>
      <c r="J342" s="235" t="s">
        <v>825</v>
      </c>
      <c r="K342" s="235" t="s">
        <v>826</v>
      </c>
      <c r="L342" s="236">
        <v>46037.079918981501</v>
      </c>
      <c r="M342" s="233">
        <v>0</v>
      </c>
      <c r="N342" s="233">
        <v>0</v>
      </c>
      <c r="O342" s="233">
        <v>0</v>
      </c>
      <c r="R342" s="233" t="s">
        <v>24</v>
      </c>
      <c r="S342" s="233" t="b">
        <v>0</v>
      </c>
      <c r="T342" s="237">
        <v>0.01</v>
      </c>
      <c r="U342" s="238">
        <v>5.5</v>
      </c>
      <c r="V342" s="237">
        <v>0.01</v>
      </c>
      <c r="W342" s="237">
        <v>0</v>
      </c>
      <c r="X342" s="233">
        <v>1000</v>
      </c>
      <c r="Z342" s="233">
        <v>10</v>
      </c>
      <c r="AB342" s="239">
        <v>50</v>
      </c>
      <c r="AD342" s="233">
        <v>10</v>
      </c>
      <c r="AF342" s="233">
        <v>2000</v>
      </c>
      <c r="AG342" s="233">
        <v>2</v>
      </c>
      <c r="AH342" s="233">
        <v>5.68</v>
      </c>
      <c r="AI342" s="233">
        <v>673</v>
      </c>
      <c r="AJ342" s="233">
        <v>0</v>
      </c>
      <c r="AK342" s="233">
        <v>170</v>
      </c>
      <c r="AM342" s="233" t="s">
        <v>2</v>
      </c>
      <c r="AO342" s="233">
        <v>50</v>
      </c>
      <c r="AW342" s="233" t="b">
        <v>0</v>
      </c>
      <c r="AZ342" s="233" t="s">
        <v>24</v>
      </c>
      <c r="BE342" s="246"/>
      <c r="BF342" s="229">
        <v>0.9</v>
      </c>
      <c r="BG342" s="229">
        <v>0.55000000000000004</v>
      </c>
      <c r="BH342" s="229" t="s">
        <v>671</v>
      </c>
      <c r="BI342" s="229">
        <v>0.55000000000000004</v>
      </c>
      <c r="BJ342" s="229">
        <v>0</v>
      </c>
      <c r="BK342" s="119">
        <v>5.5</v>
      </c>
      <c r="BL342" s="119">
        <v>6</v>
      </c>
      <c r="BM342" s="40" t="s">
        <v>1</v>
      </c>
      <c r="BN342" s="240">
        <v>48</v>
      </c>
      <c r="BO342" s="242">
        <v>5.5</v>
      </c>
      <c r="BP342" s="58">
        <v>250</v>
      </c>
      <c r="BT342" s="59"/>
      <c r="BU342" s="59"/>
      <c r="BV342" s="59"/>
      <c r="BW342" s="59"/>
      <c r="BX342" s="59"/>
      <c r="BY342" s="59"/>
      <c r="BZ342" s="59"/>
      <c r="CA342" s="59"/>
      <c r="CB342" s="59"/>
      <c r="CC342" s="59"/>
      <c r="CD342" s="59"/>
      <c r="CE342" s="60"/>
      <c r="CF342" s="76" t="s">
        <v>90</v>
      </c>
      <c r="CR342" s="40">
        <v>0</v>
      </c>
      <c r="CS342" s="67">
        <v>0</v>
      </c>
      <c r="CT342" s="67">
        <v>0</v>
      </c>
      <c r="CU342" s="40">
        <v>0</v>
      </c>
      <c r="CV342" s="67">
        <v>0</v>
      </c>
      <c r="CW342" s="67">
        <v>0</v>
      </c>
      <c r="CX342" s="67">
        <v>0</v>
      </c>
      <c r="CY342" s="67">
        <v>0</v>
      </c>
      <c r="CZ342" s="67">
        <v>0</v>
      </c>
      <c r="DA342" s="67">
        <v>0</v>
      </c>
      <c r="DB342" s="67">
        <v>0</v>
      </c>
      <c r="DD342" s="229">
        <v>0</v>
      </c>
      <c r="DI342" s="40" t="s">
        <v>0</v>
      </c>
    </row>
    <row r="343" spans="1:113" s="119" customFormat="1" ht="15.75" customHeight="1" thickBot="1" x14ac:dyDescent="0.3">
      <c r="A343" s="233">
        <v>560649</v>
      </c>
      <c r="B343" s="233" t="s">
        <v>6</v>
      </c>
      <c r="C343" s="234" t="s">
        <v>822</v>
      </c>
      <c r="D343" s="233">
        <v>48</v>
      </c>
      <c r="E343" s="233">
        <v>0</v>
      </c>
      <c r="F343" s="233">
        <v>48</v>
      </c>
      <c r="G343" s="233">
        <v>420</v>
      </c>
      <c r="H343" s="233">
        <v>0</v>
      </c>
      <c r="I343" s="233">
        <v>25</v>
      </c>
      <c r="J343" s="235" t="s">
        <v>827</v>
      </c>
      <c r="K343" s="235" t="s">
        <v>828</v>
      </c>
      <c r="L343" s="236">
        <v>46037.079849537004</v>
      </c>
      <c r="M343" s="233">
        <v>0</v>
      </c>
      <c r="N343" s="233">
        <v>0</v>
      </c>
      <c r="O343" s="233">
        <v>0</v>
      </c>
      <c r="R343" s="233" t="s">
        <v>24</v>
      </c>
      <c r="S343" s="233" t="b">
        <v>0</v>
      </c>
      <c r="T343" s="237">
        <v>0.01</v>
      </c>
      <c r="U343" s="238">
        <v>5.5</v>
      </c>
      <c r="V343" s="237">
        <v>0.01</v>
      </c>
      <c r="W343" s="237">
        <v>0</v>
      </c>
      <c r="X343" s="233">
        <v>1000</v>
      </c>
      <c r="Z343" s="233">
        <v>10</v>
      </c>
      <c r="AB343" s="239">
        <v>50</v>
      </c>
      <c r="AD343" s="233">
        <v>10</v>
      </c>
      <c r="AF343" s="233">
        <v>2000</v>
      </c>
      <c r="AG343" s="233">
        <v>2</v>
      </c>
      <c r="AH343" s="233">
        <v>5.69</v>
      </c>
      <c r="AI343" s="233">
        <v>694</v>
      </c>
      <c r="AJ343" s="233">
        <v>0</v>
      </c>
      <c r="AK343" s="233">
        <v>174</v>
      </c>
      <c r="AM343" s="233" t="s">
        <v>2</v>
      </c>
      <c r="AO343" s="233">
        <v>50</v>
      </c>
      <c r="AW343" s="233" t="b">
        <v>0</v>
      </c>
      <c r="AZ343" s="233" t="s">
        <v>24</v>
      </c>
      <c r="BE343" s="246"/>
      <c r="BF343" s="229">
        <v>0.9</v>
      </c>
      <c r="BG343" s="229">
        <v>0.55000000000000004</v>
      </c>
      <c r="BH343" s="229" t="s">
        <v>671</v>
      </c>
      <c r="BI343" s="229">
        <v>0.55000000000000004</v>
      </c>
      <c r="BJ343" s="229">
        <v>0</v>
      </c>
      <c r="BK343" s="119">
        <v>5.5</v>
      </c>
      <c r="BL343" s="119">
        <v>6</v>
      </c>
      <c r="BM343" s="40" t="s">
        <v>1</v>
      </c>
      <c r="BN343" s="240">
        <v>48</v>
      </c>
      <c r="BO343" s="242">
        <v>5.5</v>
      </c>
      <c r="BP343" s="58">
        <v>250</v>
      </c>
      <c r="BT343" s="59"/>
      <c r="BU343" s="59"/>
      <c r="BV343" s="59"/>
      <c r="BW343" s="59"/>
      <c r="BX343" s="59"/>
      <c r="BY343" s="59"/>
      <c r="BZ343" s="59"/>
      <c r="CA343" s="59"/>
      <c r="CB343" s="59"/>
      <c r="CC343" s="59"/>
      <c r="CD343" s="59"/>
      <c r="CE343" s="60"/>
      <c r="CF343" s="76" t="s">
        <v>90</v>
      </c>
      <c r="CR343" s="40">
        <v>0</v>
      </c>
      <c r="CS343" s="67">
        <v>0</v>
      </c>
      <c r="CT343" s="67">
        <v>0</v>
      </c>
      <c r="CU343" s="40">
        <v>0</v>
      </c>
      <c r="CV343" s="67">
        <v>0</v>
      </c>
      <c r="CW343" s="67">
        <v>0</v>
      </c>
      <c r="CX343" s="67">
        <v>0</v>
      </c>
      <c r="CY343" s="67">
        <v>0</v>
      </c>
      <c r="CZ343" s="67">
        <v>0</v>
      </c>
      <c r="DA343" s="67">
        <v>0</v>
      </c>
      <c r="DB343" s="67">
        <v>0</v>
      </c>
      <c r="DD343" s="229">
        <v>0</v>
      </c>
      <c r="DI343" s="40" t="s">
        <v>0</v>
      </c>
    </row>
    <row r="344" spans="1:113" s="119" customFormat="1" ht="15.75" customHeight="1" thickBot="1" x14ac:dyDescent="0.3">
      <c r="A344" s="233">
        <v>560648</v>
      </c>
      <c r="B344" s="233" t="s">
        <v>6</v>
      </c>
      <c r="C344" s="234" t="s">
        <v>822</v>
      </c>
      <c r="D344" s="233">
        <v>48</v>
      </c>
      <c r="E344" s="233">
        <v>0</v>
      </c>
      <c r="F344" s="233">
        <v>48</v>
      </c>
      <c r="G344" s="233">
        <v>419</v>
      </c>
      <c r="H344" s="233">
        <v>0</v>
      </c>
      <c r="I344" s="233">
        <v>25</v>
      </c>
      <c r="J344" s="235" t="s">
        <v>829</v>
      </c>
      <c r="K344" s="235" t="s">
        <v>830</v>
      </c>
      <c r="L344" s="236">
        <v>46037.079814814802</v>
      </c>
      <c r="M344" s="233">
        <v>0</v>
      </c>
      <c r="N344" s="233">
        <v>0</v>
      </c>
      <c r="O344" s="233">
        <v>0</v>
      </c>
      <c r="R344" s="233" t="s">
        <v>24</v>
      </c>
      <c r="S344" s="233" t="b">
        <v>0</v>
      </c>
      <c r="T344" s="237">
        <v>0.01</v>
      </c>
      <c r="U344" s="238">
        <v>5.5</v>
      </c>
      <c r="V344" s="237">
        <v>0.01</v>
      </c>
      <c r="W344" s="237">
        <v>0</v>
      </c>
      <c r="X344" s="233">
        <v>1000</v>
      </c>
      <c r="Z344" s="233">
        <v>10</v>
      </c>
      <c r="AB344" s="239">
        <v>50</v>
      </c>
      <c r="AD344" s="233">
        <v>10</v>
      </c>
      <c r="AF344" s="233">
        <v>2000</v>
      </c>
      <c r="AG344" s="233">
        <v>2</v>
      </c>
      <c r="AH344" s="233">
        <v>5.71</v>
      </c>
      <c r="AI344" s="233">
        <v>741</v>
      </c>
      <c r="AJ344" s="233">
        <v>0</v>
      </c>
      <c r="AK344" s="233">
        <v>186</v>
      </c>
      <c r="AM344" s="233" t="s">
        <v>2</v>
      </c>
      <c r="AO344" s="233">
        <v>50</v>
      </c>
      <c r="AW344" s="233" t="b">
        <v>0</v>
      </c>
      <c r="AZ344" s="233" t="s">
        <v>24</v>
      </c>
      <c r="BE344" s="246"/>
      <c r="BF344" s="229">
        <v>0.9</v>
      </c>
      <c r="BG344" s="229">
        <v>0.55000000000000004</v>
      </c>
      <c r="BH344" s="229" t="s">
        <v>671</v>
      </c>
      <c r="BI344" s="229">
        <v>0.55000000000000004</v>
      </c>
      <c r="BJ344" s="229">
        <v>0</v>
      </c>
      <c r="BK344" s="119">
        <v>5.5</v>
      </c>
      <c r="BL344" s="119">
        <v>6</v>
      </c>
      <c r="BM344" s="40" t="s">
        <v>1</v>
      </c>
      <c r="BN344" s="240">
        <v>48</v>
      </c>
      <c r="BO344" s="242">
        <v>5.5</v>
      </c>
      <c r="BP344" s="58">
        <v>250</v>
      </c>
      <c r="BT344" s="59"/>
      <c r="BU344" s="59"/>
      <c r="BV344" s="59"/>
      <c r="BW344" s="59"/>
      <c r="BX344" s="59"/>
      <c r="BY344" s="59"/>
      <c r="BZ344" s="59"/>
      <c r="CA344" s="59"/>
      <c r="CB344" s="59"/>
      <c r="CC344" s="59"/>
      <c r="CD344" s="59"/>
      <c r="CE344" s="60"/>
      <c r="CF344" s="76" t="s">
        <v>90</v>
      </c>
      <c r="CR344" s="40">
        <v>0</v>
      </c>
      <c r="CS344" s="67">
        <v>0</v>
      </c>
      <c r="CT344" s="67">
        <v>0</v>
      </c>
      <c r="CU344" s="40">
        <v>0</v>
      </c>
      <c r="CV344" s="67">
        <v>0</v>
      </c>
      <c r="CW344" s="67">
        <v>0</v>
      </c>
      <c r="CX344" s="67">
        <v>0</v>
      </c>
      <c r="CY344" s="67">
        <v>0</v>
      </c>
      <c r="CZ344" s="67">
        <v>0</v>
      </c>
      <c r="DA344" s="67">
        <v>0</v>
      </c>
      <c r="DB344" s="67">
        <v>0</v>
      </c>
      <c r="DD344" s="229">
        <v>0</v>
      </c>
      <c r="DI344" s="40" t="s">
        <v>0</v>
      </c>
    </row>
    <row r="345" spans="1:113" s="119" customFormat="1" ht="15.75" customHeight="1" thickBot="1" x14ac:dyDescent="0.3">
      <c r="A345" s="233">
        <v>560715</v>
      </c>
      <c r="B345" s="233" t="s">
        <v>6</v>
      </c>
      <c r="C345" s="234" t="s">
        <v>831</v>
      </c>
      <c r="D345" s="233">
        <v>5</v>
      </c>
      <c r="E345" s="233">
        <v>0</v>
      </c>
      <c r="F345" s="233">
        <v>5</v>
      </c>
      <c r="G345" s="233">
        <v>4</v>
      </c>
      <c r="H345" s="233">
        <v>0</v>
      </c>
      <c r="I345" s="233">
        <v>25</v>
      </c>
      <c r="J345" s="235" t="s">
        <v>832</v>
      </c>
      <c r="K345" s="235" t="s">
        <v>833</v>
      </c>
      <c r="L345" s="236">
        <v>46037.289386574099</v>
      </c>
      <c r="M345" s="233">
        <v>0</v>
      </c>
      <c r="N345" s="233">
        <v>0</v>
      </c>
      <c r="O345" s="233">
        <v>0</v>
      </c>
      <c r="R345" s="233" t="s">
        <v>24</v>
      </c>
      <c r="S345" s="233" t="b">
        <v>0</v>
      </c>
      <c r="T345" s="237">
        <v>0.01</v>
      </c>
      <c r="U345" s="238">
        <v>5.5</v>
      </c>
      <c r="V345" s="237">
        <v>0.01</v>
      </c>
      <c r="W345" s="237">
        <v>0</v>
      </c>
      <c r="X345" s="233">
        <v>1000</v>
      </c>
      <c r="Z345" s="233">
        <v>10</v>
      </c>
      <c r="AB345" s="239">
        <v>50</v>
      </c>
      <c r="AD345" s="233">
        <v>10</v>
      </c>
      <c r="AF345" s="233">
        <v>2000</v>
      </c>
      <c r="AG345" s="233">
        <v>2</v>
      </c>
      <c r="AH345" s="233">
        <v>5.69</v>
      </c>
      <c r="AI345" s="233">
        <v>465</v>
      </c>
      <c r="AJ345" s="233">
        <v>0</v>
      </c>
      <c r="AK345" s="233">
        <v>119</v>
      </c>
      <c r="AM345" s="233" t="s">
        <v>2</v>
      </c>
      <c r="AO345" s="233">
        <v>50</v>
      </c>
      <c r="AW345" s="233" t="b">
        <v>0</v>
      </c>
      <c r="AZ345" s="233" t="s">
        <v>24</v>
      </c>
      <c r="BE345" s="246"/>
      <c r="BF345" s="119">
        <v>1</v>
      </c>
      <c r="BG345" s="119">
        <v>0.55000000000000004</v>
      </c>
      <c r="BH345" s="119">
        <v>0</v>
      </c>
      <c r="BI345" s="119">
        <v>0</v>
      </c>
      <c r="BJ345" s="119">
        <v>0</v>
      </c>
      <c r="BK345" s="119">
        <v>5.5</v>
      </c>
      <c r="BL345" s="119">
        <v>6</v>
      </c>
      <c r="BM345" s="40" t="s">
        <v>1</v>
      </c>
      <c r="BN345" s="243">
        <v>5</v>
      </c>
      <c r="BO345" s="242">
        <v>5.5</v>
      </c>
      <c r="BP345" s="58">
        <v>250</v>
      </c>
      <c r="BT345" s="59"/>
      <c r="BU345" s="59"/>
      <c r="BV345" s="59"/>
      <c r="BW345" s="59"/>
      <c r="BX345" s="59"/>
      <c r="BY345" s="59"/>
      <c r="BZ345" s="59"/>
      <c r="CA345" s="59"/>
      <c r="CB345" s="59"/>
      <c r="CC345" s="59"/>
      <c r="CD345" s="59"/>
      <c r="CE345" s="60"/>
      <c r="CF345" s="76" t="s">
        <v>90</v>
      </c>
      <c r="CR345" s="40">
        <v>0</v>
      </c>
      <c r="CS345" s="67">
        <v>0</v>
      </c>
      <c r="CT345" s="67">
        <v>0</v>
      </c>
      <c r="CU345" s="40">
        <v>0</v>
      </c>
      <c r="CV345" s="67">
        <v>0</v>
      </c>
      <c r="CW345" s="67">
        <v>0</v>
      </c>
      <c r="CX345" s="67">
        <v>0</v>
      </c>
      <c r="CY345" s="67">
        <v>0</v>
      </c>
      <c r="CZ345" s="67">
        <v>0</v>
      </c>
      <c r="DA345" s="67">
        <v>0</v>
      </c>
      <c r="DB345" s="67">
        <v>0</v>
      </c>
      <c r="DD345" s="229">
        <v>0</v>
      </c>
      <c r="DI345" s="40" t="s">
        <v>0</v>
      </c>
    </row>
    <row r="346" spans="1:113" s="119" customFormat="1" ht="15.75" customHeight="1" thickBot="1" x14ac:dyDescent="0.3">
      <c r="A346" s="233">
        <v>560714</v>
      </c>
      <c r="B346" s="233" t="s">
        <v>6</v>
      </c>
      <c r="C346" s="234" t="s">
        <v>831</v>
      </c>
      <c r="D346" s="233">
        <v>5</v>
      </c>
      <c r="E346" s="233">
        <v>0</v>
      </c>
      <c r="F346" s="233">
        <v>5</v>
      </c>
      <c r="G346" s="233">
        <v>3</v>
      </c>
      <c r="H346" s="233">
        <v>0</v>
      </c>
      <c r="I346" s="233">
        <v>25</v>
      </c>
      <c r="J346" s="235" t="s">
        <v>834</v>
      </c>
      <c r="K346" s="235" t="s">
        <v>835</v>
      </c>
      <c r="L346" s="236">
        <v>46037.289340277799</v>
      </c>
      <c r="M346" s="233">
        <v>0</v>
      </c>
      <c r="N346" s="233">
        <v>0</v>
      </c>
      <c r="O346" s="233">
        <v>0</v>
      </c>
      <c r="R346" s="233" t="s">
        <v>24</v>
      </c>
      <c r="S346" s="233" t="b">
        <v>0</v>
      </c>
      <c r="T346" s="237">
        <v>0.01</v>
      </c>
      <c r="U346" s="238">
        <v>5.5</v>
      </c>
      <c r="V346" s="237">
        <v>0.01</v>
      </c>
      <c r="W346" s="237">
        <v>0</v>
      </c>
      <c r="X346" s="233">
        <v>1000</v>
      </c>
      <c r="Z346" s="233">
        <v>10</v>
      </c>
      <c r="AB346" s="239">
        <v>50</v>
      </c>
      <c r="AD346" s="233">
        <v>10</v>
      </c>
      <c r="AF346" s="233">
        <v>2000</v>
      </c>
      <c r="AG346" s="233">
        <v>2</v>
      </c>
      <c r="AH346" s="233">
        <v>5.7</v>
      </c>
      <c r="AI346" s="233">
        <v>465</v>
      </c>
      <c r="AJ346" s="233">
        <v>0</v>
      </c>
      <c r="AK346" s="233">
        <v>119</v>
      </c>
      <c r="AM346" s="233" t="s">
        <v>2</v>
      </c>
      <c r="AO346" s="233">
        <v>50</v>
      </c>
      <c r="AW346" s="233" t="b">
        <v>0</v>
      </c>
      <c r="AZ346" s="233" t="s">
        <v>24</v>
      </c>
      <c r="BE346" s="246"/>
      <c r="BF346" s="119">
        <v>1</v>
      </c>
      <c r="BG346" s="119">
        <v>0.55000000000000004</v>
      </c>
      <c r="BH346" s="119">
        <v>0</v>
      </c>
      <c r="BI346" s="119">
        <v>0</v>
      </c>
      <c r="BJ346" s="119">
        <v>0</v>
      </c>
      <c r="BK346" s="119">
        <v>5.5</v>
      </c>
      <c r="BL346" s="119">
        <v>6</v>
      </c>
      <c r="BM346" s="40" t="s">
        <v>1</v>
      </c>
      <c r="BN346" s="243">
        <v>5</v>
      </c>
      <c r="BO346" s="242">
        <v>5.5</v>
      </c>
      <c r="BP346" s="58">
        <v>250</v>
      </c>
      <c r="BT346" s="59"/>
      <c r="BU346" s="59"/>
      <c r="BV346" s="59"/>
      <c r="BW346" s="59"/>
      <c r="BX346" s="59"/>
      <c r="BY346" s="59"/>
      <c r="BZ346" s="59"/>
      <c r="CA346" s="59"/>
      <c r="CB346" s="59"/>
      <c r="CC346" s="59"/>
      <c r="CD346" s="59"/>
      <c r="CE346" s="60"/>
      <c r="CF346" s="76" t="s">
        <v>90</v>
      </c>
      <c r="CR346" s="40">
        <v>0</v>
      </c>
      <c r="CS346" s="67">
        <v>0</v>
      </c>
      <c r="CT346" s="67">
        <v>0</v>
      </c>
      <c r="CU346" s="40">
        <v>0</v>
      </c>
      <c r="CV346" s="67">
        <v>0</v>
      </c>
      <c r="CW346" s="67">
        <v>0</v>
      </c>
      <c r="CX346" s="67">
        <v>0</v>
      </c>
      <c r="CY346" s="67">
        <v>0</v>
      </c>
      <c r="CZ346" s="67">
        <v>0</v>
      </c>
      <c r="DA346" s="67">
        <v>0</v>
      </c>
      <c r="DB346" s="67">
        <v>0</v>
      </c>
      <c r="DD346" s="229">
        <v>0</v>
      </c>
      <c r="DI346" s="40" t="s">
        <v>0</v>
      </c>
    </row>
    <row r="347" spans="1:113" s="119" customFormat="1" ht="15.75" customHeight="1" thickBot="1" x14ac:dyDescent="0.3">
      <c r="A347" s="233">
        <v>560713</v>
      </c>
      <c r="B347" s="233" t="s">
        <v>6</v>
      </c>
      <c r="C347" s="234" t="s">
        <v>831</v>
      </c>
      <c r="D347" s="233">
        <v>5</v>
      </c>
      <c r="E347" s="233">
        <v>0</v>
      </c>
      <c r="F347" s="233">
        <v>5</v>
      </c>
      <c r="G347" s="233">
        <v>2</v>
      </c>
      <c r="H347" s="233">
        <v>0</v>
      </c>
      <c r="I347" s="233">
        <v>25</v>
      </c>
      <c r="J347" s="235" t="s">
        <v>836</v>
      </c>
      <c r="K347" s="235" t="s">
        <v>837</v>
      </c>
      <c r="L347" s="236">
        <v>46037.289293981499</v>
      </c>
      <c r="M347" s="233">
        <v>0</v>
      </c>
      <c r="N347" s="233">
        <v>0</v>
      </c>
      <c r="O347" s="233">
        <v>0</v>
      </c>
      <c r="R347" s="233" t="s">
        <v>24</v>
      </c>
      <c r="S347" s="233" t="b">
        <v>0</v>
      </c>
      <c r="T347" s="237">
        <v>0.01</v>
      </c>
      <c r="U347" s="238">
        <v>5.5</v>
      </c>
      <c r="V347" s="237">
        <v>0.01</v>
      </c>
      <c r="W347" s="237">
        <v>0</v>
      </c>
      <c r="X347" s="233">
        <v>1000</v>
      </c>
      <c r="Z347" s="233">
        <v>10</v>
      </c>
      <c r="AB347" s="239">
        <v>50</v>
      </c>
      <c r="AD347" s="233">
        <v>10</v>
      </c>
      <c r="AF347" s="233">
        <v>2000</v>
      </c>
      <c r="AG347" s="233">
        <v>2</v>
      </c>
      <c r="AH347" s="233">
        <v>5.71</v>
      </c>
      <c r="AI347" s="233">
        <v>465</v>
      </c>
      <c r="AJ347" s="233">
        <v>0</v>
      </c>
      <c r="AK347" s="233">
        <v>119</v>
      </c>
      <c r="AM347" s="233" t="s">
        <v>2</v>
      </c>
      <c r="AO347" s="233">
        <v>50</v>
      </c>
      <c r="AW347" s="233" t="b">
        <v>0</v>
      </c>
      <c r="AZ347" s="233" t="s">
        <v>24</v>
      </c>
      <c r="BE347" s="246"/>
      <c r="BF347" s="119">
        <v>1</v>
      </c>
      <c r="BG347" s="119">
        <v>0.55000000000000004</v>
      </c>
      <c r="BH347" s="119">
        <v>0</v>
      </c>
      <c r="BI347" s="119">
        <v>0</v>
      </c>
      <c r="BJ347" s="119">
        <v>0</v>
      </c>
      <c r="BK347" s="119">
        <v>5.5</v>
      </c>
      <c r="BL347" s="119">
        <v>6</v>
      </c>
      <c r="BM347" s="40" t="s">
        <v>1</v>
      </c>
      <c r="BN347" s="243">
        <v>5</v>
      </c>
      <c r="BO347" s="242">
        <v>5.5</v>
      </c>
      <c r="BP347" s="58">
        <v>250</v>
      </c>
      <c r="BT347" s="59"/>
      <c r="BU347" s="59"/>
      <c r="BV347" s="59"/>
      <c r="BW347" s="59"/>
      <c r="BX347" s="59"/>
      <c r="BY347" s="59"/>
      <c r="BZ347" s="59"/>
      <c r="CA347" s="59"/>
      <c r="CB347" s="59"/>
      <c r="CC347" s="59"/>
      <c r="CD347" s="59"/>
      <c r="CE347" s="60"/>
      <c r="CF347" s="76" t="s">
        <v>90</v>
      </c>
      <c r="CR347" s="40">
        <v>0</v>
      </c>
      <c r="CS347" s="67">
        <v>0</v>
      </c>
      <c r="CT347" s="67">
        <v>0</v>
      </c>
      <c r="CU347" s="40">
        <v>0</v>
      </c>
      <c r="CV347" s="67">
        <v>0</v>
      </c>
      <c r="CW347" s="67">
        <v>0</v>
      </c>
      <c r="CX347" s="67">
        <v>0</v>
      </c>
      <c r="CY347" s="67">
        <v>0</v>
      </c>
      <c r="CZ347" s="67">
        <v>0</v>
      </c>
      <c r="DA347" s="67">
        <v>0</v>
      </c>
      <c r="DB347" s="67">
        <v>0</v>
      </c>
      <c r="DD347" s="229">
        <v>0</v>
      </c>
      <c r="DI347" s="40" t="s">
        <v>0</v>
      </c>
    </row>
    <row r="348" spans="1:113" s="119" customFormat="1" ht="15.75" customHeight="1" thickBot="1" x14ac:dyDescent="0.3">
      <c r="A348" s="233">
        <v>560712</v>
      </c>
      <c r="B348" s="233" t="s">
        <v>6</v>
      </c>
      <c r="C348" s="234" t="s">
        <v>831</v>
      </c>
      <c r="D348" s="233">
        <v>5</v>
      </c>
      <c r="E348" s="233">
        <v>0</v>
      </c>
      <c r="F348" s="233">
        <v>5</v>
      </c>
      <c r="G348" s="233">
        <v>1</v>
      </c>
      <c r="H348" s="233">
        <v>0</v>
      </c>
      <c r="I348" s="233">
        <v>25</v>
      </c>
      <c r="J348" s="235" t="s">
        <v>838</v>
      </c>
      <c r="K348" s="235" t="s">
        <v>839</v>
      </c>
      <c r="L348" s="236">
        <v>46037.289247685199</v>
      </c>
      <c r="M348" s="233">
        <v>0</v>
      </c>
      <c r="N348" s="233">
        <v>0</v>
      </c>
      <c r="O348" s="233">
        <v>0</v>
      </c>
      <c r="R348" s="233" t="s">
        <v>24</v>
      </c>
      <c r="S348" s="233" t="b">
        <v>0</v>
      </c>
      <c r="T348" s="237">
        <v>0.01</v>
      </c>
      <c r="U348" s="238">
        <v>5.5</v>
      </c>
      <c r="V348" s="237">
        <v>0.01</v>
      </c>
      <c r="W348" s="237">
        <v>0</v>
      </c>
      <c r="X348" s="233">
        <v>1000</v>
      </c>
      <c r="Z348" s="233">
        <v>10</v>
      </c>
      <c r="AB348" s="239">
        <v>50</v>
      </c>
      <c r="AD348" s="233">
        <v>10</v>
      </c>
      <c r="AF348" s="233">
        <v>2000</v>
      </c>
      <c r="AG348" s="233">
        <v>2</v>
      </c>
      <c r="AH348" s="233">
        <v>5.73</v>
      </c>
      <c r="AI348" s="233">
        <v>495</v>
      </c>
      <c r="AJ348" s="233">
        <v>0</v>
      </c>
      <c r="AK348" s="233">
        <v>125</v>
      </c>
      <c r="AM348" s="233" t="s">
        <v>2</v>
      </c>
      <c r="AO348" s="233">
        <v>50</v>
      </c>
      <c r="AW348" s="233" t="b">
        <v>0</v>
      </c>
      <c r="AZ348" s="233" t="s">
        <v>24</v>
      </c>
      <c r="BE348" s="246"/>
      <c r="BF348" s="119">
        <v>1</v>
      </c>
      <c r="BG348" s="119">
        <v>0.55000000000000004</v>
      </c>
      <c r="BH348" s="119">
        <v>0</v>
      </c>
      <c r="BI348" s="119">
        <v>0</v>
      </c>
      <c r="BJ348" s="119">
        <v>0</v>
      </c>
      <c r="BK348" s="119">
        <v>5.5</v>
      </c>
      <c r="BL348" s="119">
        <v>6</v>
      </c>
      <c r="BM348" s="40" t="s">
        <v>1</v>
      </c>
      <c r="BN348" s="243">
        <v>5</v>
      </c>
      <c r="BO348" s="242">
        <v>5.5</v>
      </c>
      <c r="BP348" s="58">
        <v>250</v>
      </c>
      <c r="BT348" s="59"/>
      <c r="BU348" s="59"/>
      <c r="BV348" s="59"/>
      <c r="BW348" s="59"/>
      <c r="BX348" s="59"/>
      <c r="BY348" s="59"/>
      <c r="BZ348" s="59"/>
      <c r="CA348" s="59"/>
      <c r="CB348" s="59"/>
      <c r="CC348" s="59"/>
      <c r="CD348" s="59"/>
      <c r="CE348" s="60"/>
      <c r="CF348" s="76" t="s">
        <v>90</v>
      </c>
      <c r="CR348" s="40">
        <v>0</v>
      </c>
      <c r="CS348" s="67">
        <v>0</v>
      </c>
      <c r="CT348" s="67">
        <v>0</v>
      </c>
      <c r="CU348" s="40">
        <v>0</v>
      </c>
      <c r="CV348" s="67">
        <v>0</v>
      </c>
      <c r="CW348" s="67">
        <v>0</v>
      </c>
      <c r="CX348" s="67">
        <v>0</v>
      </c>
      <c r="CY348" s="67">
        <v>0</v>
      </c>
      <c r="CZ348" s="67">
        <v>0</v>
      </c>
      <c r="DA348" s="67">
        <v>0</v>
      </c>
      <c r="DB348" s="67">
        <v>0</v>
      </c>
      <c r="DD348" s="229">
        <v>0</v>
      </c>
      <c r="DI348" s="40" t="s">
        <v>0</v>
      </c>
    </row>
    <row r="349" spans="1:113" s="119" customFormat="1" ht="15.75" customHeight="1" thickBot="1" x14ac:dyDescent="0.3">
      <c r="A349" s="233">
        <v>560719</v>
      </c>
      <c r="B349" s="233" t="s">
        <v>6</v>
      </c>
      <c r="C349" s="234" t="s">
        <v>840</v>
      </c>
      <c r="D349" s="233">
        <v>6</v>
      </c>
      <c r="E349" s="233">
        <v>0</v>
      </c>
      <c r="F349" s="233">
        <v>6</v>
      </c>
      <c r="G349" s="233">
        <v>8</v>
      </c>
      <c r="H349" s="233">
        <v>0</v>
      </c>
      <c r="I349" s="233">
        <v>25</v>
      </c>
      <c r="J349" s="235" t="s">
        <v>841</v>
      </c>
      <c r="K349" s="235" t="s">
        <v>842</v>
      </c>
      <c r="L349" s="236">
        <v>46037.291747685202</v>
      </c>
      <c r="M349" s="233">
        <v>0</v>
      </c>
      <c r="N349" s="233">
        <v>0</v>
      </c>
      <c r="O349" s="233">
        <v>0</v>
      </c>
      <c r="R349" s="233" t="s">
        <v>24</v>
      </c>
      <c r="S349" s="233" t="b">
        <v>0</v>
      </c>
      <c r="T349" s="237">
        <v>0.01</v>
      </c>
      <c r="U349" s="238">
        <v>6</v>
      </c>
      <c r="V349" s="237">
        <v>0.01</v>
      </c>
      <c r="W349" s="237">
        <v>0</v>
      </c>
      <c r="X349" s="233">
        <v>1000</v>
      </c>
      <c r="Z349" s="233">
        <v>10</v>
      </c>
      <c r="AB349" s="239">
        <v>50</v>
      </c>
      <c r="AD349" s="233">
        <v>10</v>
      </c>
      <c r="AF349" s="233">
        <v>2000</v>
      </c>
      <c r="AG349" s="233">
        <v>2</v>
      </c>
      <c r="AH349" s="233">
        <v>6.24</v>
      </c>
      <c r="AI349" s="233">
        <v>635</v>
      </c>
      <c r="AJ349" s="233">
        <v>0</v>
      </c>
      <c r="AK349" s="233">
        <v>177</v>
      </c>
      <c r="AM349" s="233" t="s">
        <v>2</v>
      </c>
      <c r="AO349" s="233">
        <v>50</v>
      </c>
      <c r="AW349" s="233" t="b">
        <v>0</v>
      </c>
      <c r="AZ349" s="233" t="s">
        <v>24</v>
      </c>
      <c r="BE349" s="246"/>
      <c r="BF349" s="119">
        <v>1</v>
      </c>
      <c r="BG349" s="119">
        <v>1</v>
      </c>
      <c r="BH349" s="119">
        <v>0.55000000000000004</v>
      </c>
      <c r="BI349" s="119">
        <v>0</v>
      </c>
      <c r="BJ349" s="119">
        <v>0</v>
      </c>
      <c r="BK349" s="119">
        <v>5.5</v>
      </c>
      <c r="BL349" s="119">
        <v>6</v>
      </c>
      <c r="BM349" s="40" t="s">
        <v>1</v>
      </c>
      <c r="BN349" s="243">
        <v>6</v>
      </c>
      <c r="BO349" s="242">
        <v>6</v>
      </c>
      <c r="BP349" s="58">
        <v>250</v>
      </c>
      <c r="BT349" s="59"/>
      <c r="BU349" s="59"/>
      <c r="BV349" s="59"/>
      <c r="BW349" s="59"/>
      <c r="BX349" s="59"/>
      <c r="BY349" s="59"/>
      <c r="BZ349" s="59"/>
      <c r="CA349" s="59"/>
      <c r="CB349" s="59"/>
      <c r="CC349" s="59"/>
      <c r="CD349" s="59"/>
      <c r="CE349" s="60"/>
      <c r="CF349" s="76" t="s">
        <v>90</v>
      </c>
      <c r="CR349" s="40">
        <v>0</v>
      </c>
      <c r="CS349" s="67">
        <v>0</v>
      </c>
      <c r="CT349" s="67">
        <v>0</v>
      </c>
      <c r="CU349" s="40">
        <v>0</v>
      </c>
      <c r="CV349" s="67">
        <v>0</v>
      </c>
      <c r="CW349" s="67">
        <v>0</v>
      </c>
      <c r="CX349" s="67">
        <v>0</v>
      </c>
      <c r="CY349" s="67">
        <v>0</v>
      </c>
      <c r="CZ349" s="67">
        <v>0</v>
      </c>
      <c r="DA349" s="67">
        <v>0</v>
      </c>
      <c r="DB349" s="67">
        <v>0</v>
      </c>
      <c r="DD349" s="229">
        <v>0</v>
      </c>
      <c r="DI349" s="40" t="s">
        <v>0</v>
      </c>
    </row>
    <row r="350" spans="1:113" s="119" customFormat="1" ht="15.75" customHeight="1" thickBot="1" x14ac:dyDescent="0.3">
      <c r="A350" s="233">
        <v>560718</v>
      </c>
      <c r="B350" s="233" t="s">
        <v>6</v>
      </c>
      <c r="C350" s="234" t="s">
        <v>840</v>
      </c>
      <c r="D350" s="233">
        <v>6</v>
      </c>
      <c r="E350" s="233">
        <v>0</v>
      </c>
      <c r="F350" s="233">
        <v>6</v>
      </c>
      <c r="G350" s="233">
        <v>7</v>
      </c>
      <c r="H350" s="233">
        <v>0</v>
      </c>
      <c r="I350" s="233">
        <v>25</v>
      </c>
      <c r="J350" s="235" t="s">
        <v>843</v>
      </c>
      <c r="K350" s="235" t="s">
        <v>844</v>
      </c>
      <c r="L350" s="236">
        <v>46037.291701388902</v>
      </c>
      <c r="M350" s="233">
        <v>0</v>
      </c>
      <c r="N350" s="233">
        <v>0</v>
      </c>
      <c r="O350" s="233">
        <v>0</v>
      </c>
      <c r="R350" s="233" t="s">
        <v>24</v>
      </c>
      <c r="S350" s="233" t="b">
        <v>0</v>
      </c>
      <c r="T350" s="237">
        <v>0.01</v>
      </c>
      <c r="U350" s="238">
        <v>6</v>
      </c>
      <c r="V350" s="237">
        <v>0.01</v>
      </c>
      <c r="W350" s="237">
        <v>0</v>
      </c>
      <c r="X350" s="233">
        <v>1000</v>
      </c>
      <c r="Z350" s="233">
        <v>10</v>
      </c>
      <c r="AB350" s="239">
        <v>50</v>
      </c>
      <c r="AD350" s="233">
        <v>10</v>
      </c>
      <c r="AF350" s="233">
        <v>2000</v>
      </c>
      <c r="AG350" s="233">
        <v>2</v>
      </c>
      <c r="AH350" s="233">
        <v>6.25</v>
      </c>
      <c r="AI350" s="233">
        <v>639</v>
      </c>
      <c r="AJ350" s="233">
        <v>0</v>
      </c>
      <c r="AK350" s="233">
        <v>178</v>
      </c>
      <c r="AM350" s="233" t="s">
        <v>2</v>
      </c>
      <c r="AO350" s="233">
        <v>50</v>
      </c>
      <c r="AW350" s="233" t="b">
        <v>0</v>
      </c>
      <c r="AZ350" s="233" t="s">
        <v>24</v>
      </c>
      <c r="BE350" s="246"/>
      <c r="BF350" s="119">
        <v>1</v>
      </c>
      <c r="BG350" s="119">
        <v>1</v>
      </c>
      <c r="BH350" s="119">
        <v>0.55000000000000004</v>
      </c>
      <c r="BI350" s="119">
        <v>0</v>
      </c>
      <c r="BJ350" s="119">
        <v>0</v>
      </c>
      <c r="BK350" s="119">
        <v>5.5</v>
      </c>
      <c r="BL350" s="119">
        <v>6</v>
      </c>
      <c r="BM350" s="40" t="s">
        <v>1</v>
      </c>
      <c r="BN350" s="243">
        <v>6</v>
      </c>
      <c r="BO350" s="242">
        <v>6</v>
      </c>
      <c r="BP350" s="58">
        <v>250</v>
      </c>
      <c r="BT350" s="59"/>
      <c r="BU350" s="59"/>
      <c r="BV350" s="59"/>
      <c r="BW350" s="59"/>
      <c r="BX350" s="59"/>
      <c r="BY350" s="59"/>
      <c r="BZ350" s="59"/>
      <c r="CA350" s="59"/>
      <c r="CB350" s="59"/>
      <c r="CC350" s="59"/>
      <c r="CD350" s="59"/>
      <c r="CE350" s="60"/>
      <c r="CF350" s="76" t="s">
        <v>90</v>
      </c>
      <c r="CR350" s="40">
        <v>0</v>
      </c>
      <c r="CS350" s="67">
        <v>0</v>
      </c>
      <c r="CT350" s="67">
        <v>0</v>
      </c>
      <c r="CU350" s="40">
        <v>0</v>
      </c>
      <c r="CV350" s="67">
        <v>0</v>
      </c>
      <c r="CW350" s="67">
        <v>0</v>
      </c>
      <c r="CX350" s="67">
        <v>0</v>
      </c>
      <c r="CY350" s="67">
        <v>0</v>
      </c>
      <c r="CZ350" s="67">
        <v>0</v>
      </c>
      <c r="DA350" s="67">
        <v>0</v>
      </c>
      <c r="DB350" s="67">
        <v>0</v>
      </c>
      <c r="DD350" s="229">
        <v>0</v>
      </c>
      <c r="DI350" s="40" t="s">
        <v>0</v>
      </c>
    </row>
    <row r="351" spans="1:113" s="119" customFormat="1" ht="15.75" customHeight="1" thickBot="1" x14ac:dyDescent="0.3">
      <c r="A351" s="233">
        <v>560717</v>
      </c>
      <c r="B351" s="233" t="s">
        <v>6</v>
      </c>
      <c r="C351" s="234" t="s">
        <v>840</v>
      </c>
      <c r="D351" s="233">
        <v>6</v>
      </c>
      <c r="E351" s="233">
        <v>0</v>
      </c>
      <c r="F351" s="233">
        <v>6</v>
      </c>
      <c r="G351" s="233">
        <v>6</v>
      </c>
      <c r="H351" s="233">
        <v>0</v>
      </c>
      <c r="I351" s="233">
        <v>25</v>
      </c>
      <c r="J351" s="235" t="s">
        <v>845</v>
      </c>
      <c r="K351" s="235" t="s">
        <v>846</v>
      </c>
      <c r="L351" s="236">
        <v>46037.291631944398</v>
      </c>
      <c r="M351" s="233">
        <v>0</v>
      </c>
      <c r="N351" s="233">
        <v>0</v>
      </c>
      <c r="O351" s="233">
        <v>0</v>
      </c>
      <c r="R351" s="233" t="s">
        <v>24</v>
      </c>
      <c r="S351" s="233" t="b">
        <v>0</v>
      </c>
      <c r="T351" s="237">
        <v>0.01</v>
      </c>
      <c r="U351" s="238">
        <v>6</v>
      </c>
      <c r="V351" s="237">
        <v>0.01</v>
      </c>
      <c r="W351" s="237">
        <v>0</v>
      </c>
      <c r="X351" s="233">
        <v>1000</v>
      </c>
      <c r="Z351" s="233">
        <v>10</v>
      </c>
      <c r="AB351" s="239">
        <v>50</v>
      </c>
      <c r="AD351" s="233">
        <v>10</v>
      </c>
      <c r="AF351" s="233">
        <v>2000</v>
      </c>
      <c r="AG351" s="233">
        <v>2</v>
      </c>
      <c r="AH351" s="233">
        <v>6.26</v>
      </c>
      <c r="AI351" s="233">
        <v>639</v>
      </c>
      <c r="AJ351" s="233">
        <v>0</v>
      </c>
      <c r="AK351" s="233">
        <v>177</v>
      </c>
      <c r="AM351" s="233" t="s">
        <v>2</v>
      </c>
      <c r="AO351" s="233">
        <v>50</v>
      </c>
      <c r="AW351" s="233" t="b">
        <v>0</v>
      </c>
      <c r="AZ351" s="233" t="s">
        <v>24</v>
      </c>
      <c r="BE351" s="246"/>
      <c r="BF351" s="119">
        <v>1</v>
      </c>
      <c r="BG351" s="119">
        <v>1</v>
      </c>
      <c r="BH351" s="119">
        <v>0.55000000000000004</v>
      </c>
      <c r="BI351" s="119">
        <v>0</v>
      </c>
      <c r="BJ351" s="119">
        <v>0</v>
      </c>
      <c r="BK351" s="119">
        <v>5.5</v>
      </c>
      <c r="BL351" s="119">
        <v>6</v>
      </c>
      <c r="BM351" s="40" t="s">
        <v>1</v>
      </c>
      <c r="BN351" s="243">
        <v>6</v>
      </c>
      <c r="BO351" s="242">
        <v>6</v>
      </c>
      <c r="BP351" s="58">
        <v>250</v>
      </c>
      <c r="BT351" s="59"/>
      <c r="BU351" s="59"/>
      <c r="BV351" s="59"/>
      <c r="BW351" s="59"/>
      <c r="BX351" s="59"/>
      <c r="BY351" s="59"/>
      <c r="BZ351" s="59"/>
      <c r="CA351" s="59"/>
      <c r="CB351" s="59"/>
      <c r="CC351" s="59"/>
      <c r="CD351" s="59"/>
      <c r="CE351" s="60"/>
      <c r="CF351" s="76" t="s">
        <v>90</v>
      </c>
      <c r="CR351" s="40">
        <v>0</v>
      </c>
      <c r="CS351" s="67">
        <v>0</v>
      </c>
      <c r="CT351" s="67">
        <v>0</v>
      </c>
      <c r="CU351" s="40">
        <v>0</v>
      </c>
      <c r="CV351" s="67">
        <v>0</v>
      </c>
      <c r="CW351" s="67">
        <v>0</v>
      </c>
      <c r="CX351" s="67">
        <v>0</v>
      </c>
      <c r="CY351" s="67">
        <v>0</v>
      </c>
      <c r="CZ351" s="67">
        <v>0</v>
      </c>
      <c r="DA351" s="67">
        <v>0</v>
      </c>
      <c r="DB351" s="67">
        <v>0</v>
      </c>
      <c r="DD351" s="229">
        <v>0</v>
      </c>
      <c r="DI351" s="40" t="s">
        <v>0</v>
      </c>
    </row>
    <row r="352" spans="1:113" s="119" customFormat="1" ht="15.75" customHeight="1" thickBot="1" x14ac:dyDescent="0.3">
      <c r="A352" s="233">
        <v>560716</v>
      </c>
      <c r="B352" s="233" t="s">
        <v>6</v>
      </c>
      <c r="C352" s="234" t="s">
        <v>840</v>
      </c>
      <c r="D352" s="233">
        <v>6</v>
      </c>
      <c r="E352" s="233">
        <v>0</v>
      </c>
      <c r="F352" s="233">
        <v>6</v>
      </c>
      <c r="G352" s="233">
        <v>5</v>
      </c>
      <c r="H352" s="233">
        <v>0</v>
      </c>
      <c r="I352" s="233">
        <v>25</v>
      </c>
      <c r="J352" s="235" t="s">
        <v>847</v>
      </c>
      <c r="K352" s="235" t="s">
        <v>848</v>
      </c>
      <c r="L352" s="236">
        <v>46037.291585648098</v>
      </c>
      <c r="M352" s="233">
        <v>0</v>
      </c>
      <c r="N352" s="233">
        <v>0</v>
      </c>
      <c r="O352" s="233">
        <v>0</v>
      </c>
      <c r="R352" s="233" t="s">
        <v>24</v>
      </c>
      <c r="S352" s="233" t="b">
        <v>0</v>
      </c>
      <c r="T352" s="237">
        <v>0.01</v>
      </c>
      <c r="U352" s="238">
        <v>6</v>
      </c>
      <c r="V352" s="237">
        <v>0.01</v>
      </c>
      <c r="W352" s="237">
        <v>0</v>
      </c>
      <c r="X352" s="233">
        <v>1000</v>
      </c>
      <c r="Z352" s="233">
        <v>10</v>
      </c>
      <c r="AB352" s="239">
        <v>50</v>
      </c>
      <c r="AD352" s="233">
        <v>10</v>
      </c>
      <c r="AF352" s="233">
        <v>2000</v>
      </c>
      <c r="AG352" s="233">
        <v>2</v>
      </c>
      <c r="AH352" s="233">
        <v>6.28</v>
      </c>
      <c r="AI352" s="233">
        <v>652</v>
      </c>
      <c r="AJ352" s="233">
        <v>0</v>
      </c>
      <c r="AK352" s="233">
        <v>182</v>
      </c>
      <c r="AM352" s="233" t="s">
        <v>2</v>
      </c>
      <c r="AO352" s="233">
        <v>50</v>
      </c>
      <c r="AW352" s="233" t="b">
        <v>0</v>
      </c>
      <c r="AZ352" s="233" t="s">
        <v>24</v>
      </c>
      <c r="BE352" s="246"/>
      <c r="BF352" s="119">
        <v>1</v>
      </c>
      <c r="BG352" s="119">
        <v>1</v>
      </c>
      <c r="BH352" s="119">
        <v>0.55000000000000004</v>
      </c>
      <c r="BI352" s="119">
        <v>0</v>
      </c>
      <c r="BJ352" s="119">
        <v>0</v>
      </c>
      <c r="BK352" s="119">
        <v>5.5</v>
      </c>
      <c r="BL352" s="119">
        <v>6</v>
      </c>
      <c r="BM352" s="40" t="s">
        <v>1</v>
      </c>
      <c r="BN352" s="243">
        <v>6</v>
      </c>
      <c r="BO352" s="242">
        <v>6</v>
      </c>
      <c r="BP352" s="58">
        <v>250</v>
      </c>
      <c r="BT352" s="59"/>
      <c r="BU352" s="59"/>
      <c r="BV352" s="59"/>
      <c r="BW352" s="59"/>
      <c r="BX352" s="59"/>
      <c r="BY352" s="59"/>
      <c r="BZ352" s="59"/>
      <c r="CA352" s="59"/>
      <c r="CB352" s="59"/>
      <c r="CC352" s="59"/>
      <c r="CD352" s="59"/>
      <c r="CE352" s="60"/>
      <c r="CF352" s="76" t="s">
        <v>90</v>
      </c>
      <c r="CR352" s="40">
        <v>0</v>
      </c>
      <c r="CS352" s="67">
        <v>0</v>
      </c>
      <c r="CT352" s="67">
        <v>0</v>
      </c>
      <c r="CU352" s="40">
        <v>0</v>
      </c>
      <c r="CV352" s="67">
        <v>0</v>
      </c>
      <c r="CW352" s="67">
        <v>0</v>
      </c>
      <c r="CX352" s="67">
        <v>0</v>
      </c>
      <c r="CY352" s="67">
        <v>0</v>
      </c>
      <c r="CZ352" s="67">
        <v>0</v>
      </c>
      <c r="DA352" s="67">
        <v>0</v>
      </c>
      <c r="DB352" s="67">
        <v>0</v>
      </c>
      <c r="DD352" s="229">
        <v>0</v>
      </c>
      <c r="DI352" s="40" t="s">
        <v>0</v>
      </c>
    </row>
    <row r="353" spans="1:113" s="119" customFormat="1" ht="15.75" customHeight="1" thickBot="1" x14ac:dyDescent="0.3">
      <c r="A353" s="233">
        <v>560723</v>
      </c>
      <c r="B353" s="233" t="s">
        <v>6</v>
      </c>
      <c r="C353" s="234" t="s">
        <v>849</v>
      </c>
      <c r="D353" s="233">
        <v>7</v>
      </c>
      <c r="E353" s="233">
        <v>0</v>
      </c>
      <c r="F353" s="233">
        <v>7</v>
      </c>
      <c r="G353" s="233">
        <v>12</v>
      </c>
      <c r="H353" s="233">
        <v>0</v>
      </c>
      <c r="I353" s="233">
        <v>25</v>
      </c>
      <c r="J353" s="235" t="s">
        <v>850</v>
      </c>
      <c r="K353" s="235" t="s">
        <v>851</v>
      </c>
      <c r="L353" s="236">
        <v>46037.292175925897</v>
      </c>
      <c r="M353" s="233">
        <v>0</v>
      </c>
      <c r="N353" s="233">
        <v>0</v>
      </c>
      <c r="O353" s="233">
        <v>0</v>
      </c>
      <c r="R353" s="233" t="s">
        <v>24</v>
      </c>
      <c r="S353" s="233" t="b">
        <v>0</v>
      </c>
      <c r="T353" s="237">
        <v>0.01</v>
      </c>
      <c r="U353" s="238">
        <v>7.5</v>
      </c>
      <c r="V353" s="237">
        <v>0.01</v>
      </c>
      <c r="W353" s="237">
        <v>0</v>
      </c>
      <c r="X353" s="233">
        <v>1000</v>
      </c>
      <c r="Z353" s="233">
        <v>10</v>
      </c>
      <c r="AB353" s="239">
        <v>50</v>
      </c>
      <c r="AD353" s="233">
        <v>10</v>
      </c>
      <c r="AF353" s="233">
        <v>2000</v>
      </c>
      <c r="AG353" s="233">
        <v>2</v>
      </c>
      <c r="AH353" s="233">
        <v>7.77</v>
      </c>
      <c r="AI353" s="233">
        <v>775</v>
      </c>
      <c r="AJ353" s="233">
        <v>0</v>
      </c>
      <c r="AK353" s="233">
        <v>270</v>
      </c>
      <c r="AM353" s="233" t="s">
        <v>2</v>
      </c>
      <c r="AO353" s="233">
        <v>50</v>
      </c>
      <c r="AW353" s="233" t="b">
        <v>0</v>
      </c>
      <c r="AZ353" s="233" t="s">
        <v>24</v>
      </c>
      <c r="BE353" s="246"/>
      <c r="BF353" s="119">
        <v>1</v>
      </c>
      <c r="BG353" s="119">
        <v>1</v>
      </c>
      <c r="BH353" s="119">
        <v>1</v>
      </c>
      <c r="BI353" s="119">
        <v>0.55000000000000004</v>
      </c>
      <c r="BJ353" s="119">
        <v>0</v>
      </c>
      <c r="BK353" s="119">
        <v>5.5</v>
      </c>
      <c r="BL353" s="119">
        <v>6</v>
      </c>
      <c r="BM353" s="40" t="s">
        <v>1</v>
      </c>
      <c r="BN353" s="243">
        <v>7</v>
      </c>
      <c r="BO353" s="242">
        <v>7.5</v>
      </c>
      <c r="BP353" s="58">
        <v>250</v>
      </c>
      <c r="BT353" s="59"/>
      <c r="BU353" s="59"/>
      <c r="BV353" s="59"/>
      <c r="BW353" s="59"/>
      <c r="BX353" s="59"/>
      <c r="BY353" s="59"/>
      <c r="BZ353" s="59"/>
      <c r="CA353" s="59"/>
      <c r="CB353" s="59"/>
      <c r="CC353" s="59"/>
      <c r="CD353" s="59"/>
      <c r="CE353" s="60"/>
      <c r="CF353" s="76" t="s">
        <v>90</v>
      </c>
      <c r="CR353" s="40">
        <v>0</v>
      </c>
      <c r="CS353" s="67">
        <v>0</v>
      </c>
      <c r="CT353" s="67">
        <v>0</v>
      </c>
      <c r="CU353" s="40">
        <v>0</v>
      </c>
      <c r="CV353" s="67">
        <v>0</v>
      </c>
      <c r="CW353" s="67">
        <v>0</v>
      </c>
      <c r="CX353" s="67">
        <v>0</v>
      </c>
      <c r="CY353" s="67">
        <v>0</v>
      </c>
      <c r="CZ353" s="67">
        <v>0</v>
      </c>
      <c r="DA353" s="67">
        <v>0</v>
      </c>
      <c r="DB353" s="67">
        <v>0</v>
      </c>
      <c r="DD353" s="229">
        <v>0</v>
      </c>
      <c r="DI353" s="40" t="s">
        <v>0</v>
      </c>
    </row>
    <row r="354" spans="1:113" s="119" customFormat="1" ht="15.75" customHeight="1" thickBot="1" x14ac:dyDescent="0.3">
      <c r="A354" s="233">
        <v>560722</v>
      </c>
      <c r="B354" s="233" t="s">
        <v>6</v>
      </c>
      <c r="C354" s="234" t="s">
        <v>849</v>
      </c>
      <c r="D354" s="233">
        <v>7</v>
      </c>
      <c r="E354" s="233">
        <v>0</v>
      </c>
      <c r="F354" s="233">
        <v>7</v>
      </c>
      <c r="G354" s="233">
        <v>11</v>
      </c>
      <c r="H354" s="233">
        <v>0</v>
      </c>
      <c r="I354" s="233">
        <v>25</v>
      </c>
      <c r="J354" s="235" t="s">
        <v>852</v>
      </c>
      <c r="K354" s="235" t="s">
        <v>853</v>
      </c>
      <c r="L354" s="236">
        <v>46037.292129629597</v>
      </c>
      <c r="M354" s="233">
        <v>0</v>
      </c>
      <c r="N354" s="233">
        <v>0</v>
      </c>
      <c r="O354" s="233">
        <v>0</v>
      </c>
      <c r="R354" s="233" t="s">
        <v>24</v>
      </c>
      <c r="S354" s="233" t="b">
        <v>0</v>
      </c>
      <c r="T354" s="237">
        <v>0.01</v>
      </c>
      <c r="U354" s="238">
        <v>7.5</v>
      </c>
      <c r="V354" s="237">
        <v>0.01</v>
      </c>
      <c r="W354" s="237">
        <v>0</v>
      </c>
      <c r="X354" s="233">
        <v>1000</v>
      </c>
      <c r="Z354" s="233">
        <v>10</v>
      </c>
      <c r="AB354" s="239">
        <v>50</v>
      </c>
      <c r="AD354" s="233">
        <v>10</v>
      </c>
      <c r="AF354" s="233">
        <v>2000</v>
      </c>
      <c r="AG354" s="233">
        <v>2</v>
      </c>
      <c r="AH354" s="233">
        <v>7.77</v>
      </c>
      <c r="AI354" s="233">
        <v>783</v>
      </c>
      <c r="AJ354" s="233">
        <v>0</v>
      </c>
      <c r="AK354" s="233">
        <v>274</v>
      </c>
      <c r="AM354" s="233" t="s">
        <v>2</v>
      </c>
      <c r="AO354" s="233">
        <v>50</v>
      </c>
      <c r="AW354" s="233" t="b">
        <v>0</v>
      </c>
      <c r="AZ354" s="233" t="s">
        <v>24</v>
      </c>
      <c r="BE354" s="246"/>
      <c r="BF354" s="119">
        <v>1</v>
      </c>
      <c r="BG354" s="119">
        <v>1</v>
      </c>
      <c r="BH354" s="119">
        <v>1</v>
      </c>
      <c r="BI354" s="119">
        <v>0.55000000000000004</v>
      </c>
      <c r="BJ354" s="119">
        <v>0</v>
      </c>
      <c r="BK354" s="119">
        <v>5.5</v>
      </c>
      <c r="BL354" s="119">
        <v>6</v>
      </c>
      <c r="BM354" s="40" t="s">
        <v>1</v>
      </c>
      <c r="BN354" s="243">
        <v>7</v>
      </c>
      <c r="BO354" s="242">
        <v>7.5</v>
      </c>
      <c r="BP354" s="58">
        <v>250</v>
      </c>
      <c r="BT354" s="59"/>
      <c r="BU354" s="59"/>
      <c r="BV354" s="59"/>
      <c r="BW354" s="59"/>
      <c r="BX354" s="59"/>
      <c r="BY354" s="59"/>
      <c r="BZ354" s="59"/>
      <c r="CA354" s="59"/>
      <c r="CB354" s="59"/>
      <c r="CC354" s="59"/>
      <c r="CD354" s="59"/>
      <c r="CE354" s="60"/>
      <c r="CF354" s="76" t="s">
        <v>90</v>
      </c>
      <c r="CR354" s="40">
        <v>0</v>
      </c>
      <c r="CS354" s="67">
        <v>0</v>
      </c>
      <c r="CT354" s="67">
        <v>0</v>
      </c>
      <c r="CU354" s="40">
        <v>0</v>
      </c>
      <c r="CV354" s="67">
        <v>0</v>
      </c>
      <c r="CW354" s="67">
        <v>0</v>
      </c>
      <c r="CX354" s="67">
        <v>0</v>
      </c>
      <c r="CY354" s="67">
        <v>0</v>
      </c>
      <c r="CZ354" s="67">
        <v>0</v>
      </c>
      <c r="DA354" s="67">
        <v>0</v>
      </c>
      <c r="DB354" s="67">
        <v>0</v>
      </c>
      <c r="DD354" s="229">
        <v>0</v>
      </c>
      <c r="DI354" s="40" t="s">
        <v>0</v>
      </c>
    </row>
    <row r="355" spans="1:113" s="119" customFormat="1" ht="15.75" customHeight="1" thickBot="1" x14ac:dyDescent="0.3">
      <c r="A355" s="233">
        <v>560721</v>
      </c>
      <c r="B355" s="233" t="s">
        <v>6</v>
      </c>
      <c r="C355" s="234" t="s">
        <v>849</v>
      </c>
      <c r="D355" s="233">
        <v>7</v>
      </c>
      <c r="E355" s="233">
        <v>0</v>
      </c>
      <c r="F355" s="233">
        <v>7</v>
      </c>
      <c r="G355" s="233">
        <v>10</v>
      </c>
      <c r="H355" s="233">
        <v>0</v>
      </c>
      <c r="I355" s="233">
        <v>25</v>
      </c>
      <c r="J355" s="235" t="s">
        <v>854</v>
      </c>
      <c r="K355" s="235" t="s">
        <v>855</v>
      </c>
      <c r="L355" s="236">
        <v>46037.292094907403</v>
      </c>
      <c r="M355" s="233">
        <v>0</v>
      </c>
      <c r="N355" s="233">
        <v>0</v>
      </c>
      <c r="O355" s="233">
        <v>0</v>
      </c>
      <c r="R355" s="233" t="s">
        <v>24</v>
      </c>
      <c r="S355" s="233" t="b">
        <v>0</v>
      </c>
      <c r="T355" s="237">
        <v>0.01</v>
      </c>
      <c r="U355" s="238">
        <v>7.5</v>
      </c>
      <c r="V355" s="237">
        <v>0.01</v>
      </c>
      <c r="W355" s="237">
        <v>0</v>
      </c>
      <c r="X355" s="233">
        <v>1000</v>
      </c>
      <c r="Z355" s="233">
        <v>10</v>
      </c>
      <c r="AB355" s="239">
        <v>50</v>
      </c>
      <c r="AD355" s="233">
        <v>10</v>
      </c>
      <c r="AF355" s="233">
        <v>2000</v>
      </c>
      <c r="AG355" s="233">
        <v>2</v>
      </c>
      <c r="AH355" s="233">
        <v>7.8</v>
      </c>
      <c r="AI355" s="233">
        <v>809</v>
      </c>
      <c r="AJ355" s="233">
        <v>0</v>
      </c>
      <c r="AK355" s="233">
        <v>281</v>
      </c>
      <c r="AM355" s="233" t="s">
        <v>2</v>
      </c>
      <c r="AO355" s="233">
        <v>50</v>
      </c>
      <c r="AW355" s="233" t="b">
        <v>0</v>
      </c>
      <c r="AZ355" s="233" t="s">
        <v>24</v>
      </c>
      <c r="BE355" s="246"/>
      <c r="BF355" s="119">
        <v>1</v>
      </c>
      <c r="BG355" s="119">
        <v>1</v>
      </c>
      <c r="BH355" s="119">
        <v>1</v>
      </c>
      <c r="BI355" s="119">
        <v>0.55000000000000004</v>
      </c>
      <c r="BJ355" s="119">
        <v>0</v>
      </c>
      <c r="BK355" s="119">
        <v>5.5</v>
      </c>
      <c r="BL355" s="119">
        <v>6</v>
      </c>
      <c r="BM355" s="40" t="s">
        <v>1</v>
      </c>
      <c r="BN355" s="243">
        <v>7</v>
      </c>
      <c r="BO355" s="242">
        <v>7.5</v>
      </c>
      <c r="BP355" s="58">
        <v>250</v>
      </c>
      <c r="BT355" s="59"/>
      <c r="BU355" s="59"/>
      <c r="BV355" s="59"/>
      <c r="BW355" s="59"/>
      <c r="BX355" s="59"/>
      <c r="BY355" s="59"/>
      <c r="BZ355" s="59"/>
      <c r="CA355" s="59"/>
      <c r="CB355" s="59"/>
      <c r="CC355" s="59"/>
      <c r="CD355" s="59"/>
      <c r="CE355" s="60"/>
      <c r="CF355" s="76" t="s">
        <v>90</v>
      </c>
      <c r="CR355" s="40">
        <v>0</v>
      </c>
      <c r="CS355" s="67">
        <v>0</v>
      </c>
      <c r="CT355" s="67">
        <v>0</v>
      </c>
      <c r="CU355" s="40">
        <v>0</v>
      </c>
      <c r="CV355" s="67">
        <v>0</v>
      </c>
      <c r="CW355" s="67">
        <v>0</v>
      </c>
      <c r="CX355" s="67">
        <v>0</v>
      </c>
      <c r="CY355" s="67">
        <v>0</v>
      </c>
      <c r="CZ355" s="67">
        <v>0</v>
      </c>
      <c r="DA355" s="67">
        <v>0</v>
      </c>
      <c r="DB355" s="67">
        <v>0</v>
      </c>
      <c r="DD355" s="229">
        <v>0</v>
      </c>
      <c r="DI355" s="40" t="s">
        <v>0</v>
      </c>
    </row>
    <row r="356" spans="1:113" s="119" customFormat="1" ht="15.75" customHeight="1" thickBot="1" x14ac:dyDescent="0.3">
      <c r="A356" s="233">
        <v>560720</v>
      </c>
      <c r="B356" s="233" t="s">
        <v>6</v>
      </c>
      <c r="C356" s="234" t="s">
        <v>849</v>
      </c>
      <c r="D356" s="233">
        <v>7</v>
      </c>
      <c r="E356" s="233">
        <v>0</v>
      </c>
      <c r="F356" s="233">
        <v>7</v>
      </c>
      <c r="G356" s="233">
        <v>9</v>
      </c>
      <c r="H356" s="233">
        <v>0</v>
      </c>
      <c r="I356" s="233">
        <v>25</v>
      </c>
      <c r="J356" s="235" t="s">
        <v>856</v>
      </c>
      <c r="K356" s="235" t="s">
        <v>857</v>
      </c>
      <c r="L356" s="236">
        <v>46037.292037036997</v>
      </c>
      <c r="M356" s="233">
        <v>0</v>
      </c>
      <c r="N356" s="233">
        <v>0</v>
      </c>
      <c r="O356" s="233">
        <v>0</v>
      </c>
      <c r="R356" s="233" t="s">
        <v>24</v>
      </c>
      <c r="S356" s="233" t="b">
        <v>0</v>
      </c>
      <c r="T356" s="237">
        <v>0.01</v>
      </c>
      <c r="U356" s="238">
        <v>7.5</v>
      </c>
      <c r="V356" s="237">
        <v>0.01</v>
      </c>
      <c r="W356" s="237">
        <v>0</v>
      </c>
      <c r="X356" s="233">
        <v>1000</v>
      </c>
      <c r="Z356" s="233">
        <v>10</v>
      </c>
      <c r="AB356" s="239">
        <v>50</v>
      </c>
      <c r="AD356" s="233">
        <v>10</v>
      </c>
      <c r="AF356" s="233">
        <v>2000</v>
      </c>
      <c r="AG356" s="233">
        <v>2</v>
      </c>
      <c r="AH356" s="233">
        <v>7.82</v>
      </c>
      <c r="AI356" s="233">
        <v>851</v>
      </c>
      <c r="AJ356" s="233">
        <v>0</v>
      </c>
      <c r="AK356" s="233">
        <v>296</v>
      </c>
      <c r="AM356" s="233" t="s">
        <v>2</v>
      </c>
      <c r="AO356" s="233">
        <v>50</v>
      </c>
      <c r="AW356" s="233" t="b">
        <v>0</v>
      </c>
      <c r="AZ356" s="233" t="s">
        <v>24</v>
      </c>
      <c r="BE356" s="246"/>
      <c r="BF356" s="119">
        <v>1</v>
      </c>
      <c r="BG356" s="119">
        <v>1</v>
      </c>
      <c r="BH356" s="119">
        <v>1</v>
      </c>
      <c r="BI356" s="119">
        <v>0.55000000000000004</v>
      </c>
      <c r="BJ356" s="119">
        <v>0</v>
      </c>
      <c r="BK356" s="119">
        <v>5.5</v>
      </c>
      <c r="BL356" s="119">
        <v>6</v>
      </c>
      <c r="BM356" s="40" t="s">
        <v>1</v>
      </c>
      <c r="BN356" s="243">
        <v>7</v>
      </c>
      <c r="BO356" s="242">
        <v>7.5</v>
      </c>
      <c r="BP356" s="58">
        <v>250</v>
      </c>
      <c r="BT356" s="59"/>
      <c r="BU356" s="59"/>
      <c r="BV356" s="59"/>
      <c r="BW356" s="59"/>
      <c r="BX356" s="59"/>
      <c r="BY356" s="59"/>
      <c r="BZ356" s="59"/>
      <c r="CA356" s="59"/>
      <c r="CB356" s="59"/>
      <c r="CC356" s="59"/>
      <c r="CD356" s="59"/>
      <c r="CE356" s="60"/>
      <c r="CF356" s="76" t="s">
        <v>90</v>
      </c>
      <c r="CR356" s="40">
        <v>0</v>
      </c>
      <c r="CS356" s="67">
        <v>0</v>
      </c>
      <c r="CT356" s="67">
        <v>0</v>
      </c>
      <c r="CU356" s="40">
        <v>0</v>
      </c>
      <c r="CV356" s="67">
        <v>0</v>
      </c>
      <c r="CW356" s="67">
        <v>0</v>
      </c>
      <c r="CX356" s="67">
        <v>0</v>
      </c>
      <c r="CY356" s="67">
        <v>0</v>
      </c>
      <c r="CZ356" s="67">
        <v>0</v>
      </c>
      <c r="DA356" s="67">
        <v>0</v>
      </c>
      <c r="DB356" s="67">
        <v>0</v>
      </c>
      <c r="DD356" s="229">
        <v>0</v>
      </c>
      <c r="DI356" s="40" t="s">
        <v>0</v>
      </c>
    </row>
    <row r="357" spans="1:113" s="119" customFormat="1" ht="15.75" customHeight="1" thickBot="1" x14ac:dyDescent="0.3">
      <c r="A357" s="233">
        <v>560855</v>
      </c>
      <c r="B357" s="233" t="s">
        <v>6</v>
      </c>
      <c r="C357" s="234" t="s">
        <v>849</v>
      </c>
      <c r="D357" s="233">
        <v>7</v>
      </c>
      <c r="E357" s="233">
        <v>0</v>
      </c>
      <c r="F357" s="233">
        <v>7</v>
      </c>
      <c r="G357" s="233">
        <v>144</v>
      </c>
      <c r="H357" s="233">
        <v>0</v>
      </c>
      <c r="I357" s="233">
        <v>25</v>
      </c>
      <c r="J357" s="235" t="s">
        <v>858</v>
      </c>
      <c r="K357" s="235" t="s">
        <v>859</v>
      </c>
      <c r="L357" s="236">
        <v>46037.344618055598</v>
      </c>
      <c r="M357" s="233">
        <v>0</v>
      </c>
      <c r="N357" s="233">
        <v>0</v>
      </c>
      <c r="O357" s="233">
        <v>0</v>
      </c>
      <c r="R357" s="233" t="s">
        <v>24</v>
      </c>
      <c r="S357" s="233" t="b">
        <v>0</v>
      </c>
      <c r="T357" s="237">
        <v>0.01</v>
      </c>
      <c r="U357" s="238">
        <v>7.5</v>
      </c>
      <c r="V357" s="237">
        <v>0.01</v>
      </c>
      <c r="W357" s="237">
        <v>0</v>
      </c>
      <c r="X357" s="233">
        <v>1000</v>
      </c>
      <c r="Z357" s="233">
        <v>10</v>
      </c>
      <c r="AB357" s="239">
        <v>50</v>
      </c>
      <c r="AD357" s="233">
        <v>10</v>
      </c>
      <c r="AF357" s="233">
        <v>2000</v>
      </c>
      <c r="AG357" s="233">
        <v>2</v>
      </c>
      <c r="AH357" s="233">
        <v>7.73</v>
      </c>
      <c r="AI357" s="233">
        <v>737</v>
      </c>
      <c r="AJ357" s="233">
        <v>0</v>
      </c>
      <c r="AK357" s="233">
        <v>257</v>
      </c>
      <c r="AM357" s="233" t="s">
        <v>2</v>
      </c>
      <c r="AO357" s="233">
        <v>50</v>
      </c>
      <c r="AW357" s="233" t="b">
        <v>0</v>
      </c>
      <c r="AZ357" s="233" t="s">
        <v>24</v>
      </c>
      <c r="BE357" s="246"/>
      <c r="BF357" s="119">
        <v>1</v>
      </c>
      <c r="BG357" s="119">
        <v>1</v>
      </c>
      <c r="BH357" s="119">
        <v>1</v>
      </c>
      <c r="BI357" s="119">
        <v>0.55000000000000004</v>
      </c>
      <c r="BJ357" s="119">
        <v>0</v>
      </c>
      <c r="BK357" s="119">
        <v>5.5</v>
      </c>
      <c r="BL357" s="119">
        <v>6</v>
      </c>
      <c r="BM357" s="40" t="s">
        <v>1</v>
      </c>
      <c r="BN357" s="243">
        <v>7</v>
      </c>
      <c r="BO357" s="242">
        <v>7.5</v>
      </c>
      <c r="BP357" s="58">
        <v>250</v>
      </c>
      <c r="BT357" s="59"/>
      <c r="BU357" s="59"/>
      <c r="BV357" s="59"/>
      <c r="BW357" s="59"/>
      <c r="BX357" s="59"/>
      <c r="BY357" s="59"/>
      <c r="BZ357" s="59"/>
      <c r="CA357" s="59"/>
      <c r="CB357" s="59"/>
      <c r="CC357" s="59"/>
      <c r="CD357" s="59"/>
      <c r="CE357" s="60"/>
      <c r="CF357" s="76" t="s">
        <v>90</v>
      </c>
      <c r="CR357" s="40">
        <v>0</v>
      </c>
      <c r="CS357" s="67">
        <v>0</v>
      </c>
      <c r="CT357" s="67">
        <v>0</v>
      </c>
      <c r="CU357" s="40">
        <v>0</v>
      </c>
      <c r="CV357" s="67">
        <v>0</v>
      </c>
      <c r="CW357" s="67">
        <v>0</v>
      </c>
      <c r="CX357" s="67">
        <v>0</v>
      </c>
      <c r="CY357" s="67">
        <v>0</v>
      </c>
      <c r="CZ357" s="67">
        <v>0</v>
      </c>
      <c r="DA357" s="67">
        <v>0</v>
      </c>
      <c r="DB357" s="67">
        <v>0</v>
      </c>
      <c r="DD357" s="229">
        <v>0</v>
      </c>
      <c r="DI357" s="40" t="s">
        <v>0</v>
      </c>
    </row>
    <row r="358" spans="1:113" s="119" customFormat="1" ht="15.75" customHeight="1" thickBot="1" x14ac:dyDescent="0.3">
      <c r="A358" s="233">
        <v>560854</v>
      </c>
      <c r="B358" s="233" t="s">
        <v>6</v>
      </c>
      <c r="C358" s="234" t="s">
        <v>849</v>
      </c>
      <c r="D358" s="233">
        <v>7</v>
      </c>
      <c r="E358" s="233">
        <v>0</v>
      </c>
      <c r="F358" s="233">
        <v>7</v>
      </c>
      <c r="G358" s="233">
        <v>143</v>
      </c>
      <c r="H358" s="233">
        <v>0</v>
      </c>
      <c r="I358" s="233">
        <v>25</v>
      </c>
      <c r="J358" s="235" t="s">
        <v>860</v>
      </c>
      <c r="K358" s="235" t="s">
        <v>861</v>
      </c>
      <c r="L358" s="236">
        <v>46037.344548611101</v>
      </c>
      <c r="M358" s="233">
        <v>0</v>
      </c>
      <c r="N358" s="233">
        <v>0</v>
      </c>
      <c r="O358" s="233">
        <v>0</v>
      </c>
      <c r="R358" s="233" t="s">
        <v>24</v>
      </c>
      <c r="S358" s="233" t="b">
        <v>0</v>
      </c>
      <c r="T358" s="237">
        <v>0.01</v>
      </c>
      <c r="U358" s="238">
        <v>7.5</v>
      </c>
      <c r="V358" s="237">
        <v>0.01</v>
      </c>
      <c r="W358" s="237">
        <v>0</v>
      </c>
      <c r="X358" s="233">
        <v>1000</v>
      </c>
      <c r="Z358" s="233">
        <v>10</v>
      </c>
      <c r="AB358" s="239">
        <v>50</v>
      </c>
      <c r="AD358" s="233">
        <v>10</v>
      </c>
      <c r="AF358" s="233">
        <v>2000</v>
      </c>
      <c r="AG358" s="233">
        <v>2</v>
      </c>
      <c r="AH358" s="233">
        <v>7.74</v>
      </c>
      <c r="AI358" s="233">
        <v>737</v>
      </c>
      <c r="AJ358" s="233">
        <v>0</v>
      </c>
      <c r="AK358" s="233">
        <v>257</v>
      </c>
      <c r="AM358" s="233" t="s">
        <v>2</v>
      </c>
      <c r="AO358" s="233">
        <v>50</v>
      </c>
      <c r="AW358" s="233" t="b">
        <v>0</v>
      </c>
      <c r="AZ358" s="233" t="s">
        <v>24</v>
      </c>
      <c r="BE358" s="246"/>
      <c r="BF358" s="119">
        <v>1</v>
      </c>
      <c r="BG358" s="119">
        <v>1</v>
      </c>
      <c r="BH358" s="119">
        <v>1</v>
      </c>
      <c r="BI358" s="119">
        <v>0.55000000000000004</v>
      </c>
      <c r="BJ358" s="119">
        <v>0</v>
      </c>
      <c r="BK358" s="119">
        <v>5.5</v>
      </c>
      <c r="BL358" s="119">
        <v>6</v>
      </c>
      <c r="BM358" s="40" t="s">
        <v>1</v>
      </c>
      <c r="BN358" s="243">
        <v>7</v>
      </c>
      <c r="BO358" s="242">
        <v>7.5</v>
      </c>
      <c r="BP358" s="58">
        <v>250</v>
      </c>
      <c r="BT358" s="59"/>
      <c r="BU358" s="59"/>
      <c r="BV358" s="59"/>
      <c r="BW358" s="59"/>
      <c r="BX358" s="59"/>
      <c r="BY358" s="59"/>
      <c r="BZ358" s="59"/>
      <c r="CA358" s="59"/>
      <c r="CB358" s="59"/>
      <c r="CC358" s="59"/>
      <c r="CD358" s="59"/>
      <c r="CE358" s="60"/>
      <c r="CF358" s="76" t="s">
        <v>90</v>
      </c>
      <c r="CR358" s="40">
        <v>0</v>
      </c>
      <c r="CS358" s="67">
        <v>0</v>
      </c>
      <c r="CT358" s="67">
        <v>0</v>
      </c>
      <c r="CU358" s="40">
        <v>0</v>
      </c>
      <c r="CV358" s="67">
        <v>0</v>
      </c>
      <c r="CW358" s="67">
        <v>0</v>
      </c>
      <c r="CX358" s="67">
        <v>0</v>
      </c>
      <c r="CY358" s="67">
        <v>0</v>
      </c>
      <c r="CZ358" s="67">
        <v>0</v>
      </c>
      <c r="DA358" s="67">
        <v>0</v>
      </c>
      <c r="DB358" s="67">
        <v>0</v>
      </c>
      <c r="DD358" s="229">
        <v>0</v>
      </c>
      <c r="DI358" s="40" t="s">
        <v>0</v>
      </c>
    </row>
    <row r="359" spans="1:113" s="119" customFormat="1" ht="15.75" customHeight="1" thickBot="1" x14ac:dyDescent="0.3">
      <c r="A359" s="233">
        <v>560853</v>
      </c>
      <c r="B359" s="233" t="s">
        <v>6</v>
      </c>
      <c r="C359" s="234" t="s">
        <v>849</v>
      </c>
      <c r="D359" s="233">
        <v>7</v>
      </c>
      <c r="E359" s="233">
        <v>0</v>
      </c>
      <c r="F359" s="233">
        <v>7</v>
      </c>
      <c r="G359" s="233">
        <v>142</v>
      </c>
      <c r="H359" s="233">
        <v>0</v>
      </c>
      <c r="I359" s="233">
        <v>25</v>
      </c>
      <c r="J359" s="235" t="s">
        <v>862</v>
      </c>
      <c r="K359" s="235" t="s">
        <v>863</v>
      </c>
      <c r="L359" s="236">
        <v>46037.344479166699</v>
      </c>
      <c r="M359" s="233">
        <v>0</v>
      </c>
      <c r="N359" s="233">
        <v>0</v>
      </c>
      <c r="O359" s="233">
        <v>0</v>
      </c>
      <c r="R359" s="233" t="s">
        <v>24</v>
      </c>
      <c r="S359" s="233" t="b">
        <v>0</v>
      </c>
      <c r="T359" s="237">
        <v>0.01</v>
      </c>
      <c r="U359" s="238">
        <v>7.5</v>
      </c>
      <c r="V359" s="237">
        <v>0.01</v>
      </c>
      <c r="W359" s="237">
        <v>0</v>
      </c>
      <c r="X359" s="233">
        <v>1000</v>
      </c>
      <c r="Z359" s="233">
        <v>10</v>
      </c>
      <c r="AB359" s="239">
        <v>50</v>
      </c>
      <c r="AD359" s="233">
        <v>10</v>
      </c>
      <c r="AF359" s="233">
        <v>2000</v>
      </c>
      <c r="AG359" s="233">
        <v>2</v>
      </c>
      <c r="AH359" s="233">
        <v>7.74</v>
      </c>
      <c r="AI359" s="233">
        <v>741</v>
      </c>
      <c r="AJ359" s="233">
        <v>0</v>
      </c>
      <c r="AK359" s="233">
        <v>258</v>
      </c>
      <c r="AM359" s="233" t="s">
        <v>2</v>
      </c>
      <c r="AO359" s="233">
        <v>50</v>
      </c>
      <c r="AW359" s="233" t="b">
        <v>0</v>
      </c>
      <c r="AZ359" s="233" t="s">
        <v>24</v>
      </c>
      <c r="BE359" s="246"/>
      <c r="BF359" s="119">
        <v>1</v>
      </c>
      <c r="BG359" s="119">
        <v>1</v>
      </c>
      <c r="BH359" s="119">
        <v>1</v>
      </c>
      <c r="BI359" s="119">
        <v>0.55000000000000004</v>
      </c>
      <c r="BJ359" s="119">
        <v>0</v>
      </c>
      <c r="BK359" s="119">
        <v>5.5</v>
      </c>
      <c r="BL359" s="119">
        <v>6</v>
      </c>
      <c r="BM359" s="40" t="s">
        <v>1</v>
      </c>
      <c r="BN359" s="243">
        <v>7</v>
      </c>
      <c r="BO359" s="242">
        <v>7.5</v>
      </c>
      <c r="BP359" s="58">
        <v>250</v>
      </c>
      <c r="BT359" s="59"/>
      <c r="BU359" s="59"/>
      <c r="BV359" s="59"/>
      <c r="BW359" s="59"/>
      <c r="BX359" s="59"/>
      <c r="BY359" s="59"/>
      <c r="BZ359" s="59"/>
      <c r="CA359" s="59"/>
      <c r="CB359" s="59"/>
      <c r="CC359" s="59"/>
      <c r="CD359" s="59"/>
      <c r="CE359" s="60"/>
      <c r="CF359" s="76" t="s">
        <v>90</v>
      </c>
      <c r="CR359" s="40">
        <v>0</v>
      </c>
      <c r="CS359" s="67">
        <v>0</v>
      </c>
      <c r="CT359" s="67">
        <v>0</v>
      </c>
      <c r="CU359" s="40">
        <v>0</v>
      </c>
      <c r="CV359" s="67">
        <v>0</v>
      </c>
      <c r="CW359" s="67">
        <v>0</v>
      </c>
      <c r="CX359" s="67">
        <v>0</v>
      </c>
      <c r="CY359" s="67">
        <v>0</v>
      </c>
      <c r="CZ359" s="67">
        <v>0</v>
      </c>
      <c r="DA359" s="67">
        <v>0</v>
      </c>
      <c r="DB359" s="67">
        <v>0</v>
      </c>
      <c r="DD359" s="229">
        <v>0</v>
      </c>
      <c r="DI359" s="40" t="s">
        <v>0</v>
      </c>
    </row>
    <row r="360" spans="1:113" s="119" customFormat="1" ht="15.75" customHeight="1" thickBot="1" x14ac:dyDescent="0.3">
      <c r="A360" s="233">
        <v>560852</v>
      </c>
      <c r="B360" s="233" t="s">
        <v>6</v>
      </c>
      <c r="C360" s="234" t="s">
        <v>849</v>
      </c>
      <c r="D360" s="233">
        <v>7</v>
      </c>
      <c r="E360" s="233">
        <v>0</v>
      </c>
      <c r="F360" s="233">
        <v>7</v>
      </c>
      <c r="G360" s="233">
        <v>141</v>
      </c>
      <c r="H360" s="233">
        <v>0</v>
      </c>
      <c r="I360" s="233">
        <v>25</v>
      </c>
      <c r="J360" s="235" t="s">
        <v>864</v>
      </c>
      <c r="K360" s="235" t="s">
        <v>865</v>
      </c>
      <c r="L360" s="236">
        <v>46037.344409722202</v>
      </c>
      <c r="M360" s="233">
        <v>0</v>
      </c>
      <c r="N360" s="233">
        <v>0</v>
      </c>
      <c r="O360" s="233">
        <v>0</v>
      </c>
      <c r="R360" s="233" t="s">
        <v>24</v>
      </c>
      <c r="S360" s="233" t="b">
        <v>0</v>
      </c>
      <c r="T360" s="237">
        <v>0.01</v>
      </c>
      <c r="U360" s="238">
        <v>7.5</v>
      </c>
      <c r="V360" s="237">
        <v>0.01</v>
      </c>
      <c r="W360" s="237">
        <v>0</v>
      </c>
      <c r="X360" s="233">
        <v>1000</v>
      </c>
      <c r="Z360" s="233">
        <v>10</v>
      </c>
      <c r="AB360" s="239">
        <v>50</v>
      </c>
      <c r="AD360" s="233">
        <v>10</v>
      </c>
      <c r="AF360" s="233">
        <v>2000</v>
      </c>
      <c r="AG360" s="233">
        <v>2</v>
      </c>
      <c r="AH360" s="233">
        <v>7.75</v>
      </c>
      <c r="AI360" s="233">
        <v>737</v>
      </c>
      <c r="AJ360" s="233">
        <v>0</v>
      </c>
      <c r="AK360" s="233">
        <v>257</v>
      </c>
      <c r="AM360" s="233" t="s">
        <v>2</v>
      </c>
      <c r="AO360" s="233">
        <v>50</v>
      </c>
      <c r="AW360" s="233" t="b">
        <v>0</v>
      </c>
      <c r="AZ360" s="233" t="s">
        <v>24</v>
      </c>
      <c r="BE360" s="246"/>
      <c r="BF360" s="119">
        <v>1</v>
      </c>
      <c r="BG360" s="119">
        <v>1</v>
      </c>
      <c r="BH360" s="119">
        <v>1</v>
      </c>
      <c r="BI360" s="119">
        <v>0.55000000000000004</v>
      </c>
      <c r="BJ360" s="119">
        <v>0</v>
      </c>
      <c r="BK360" s="119">
        <v>5.5</v>
      </c>
      <c r="BL360" s="119">
        <v>6</v>
      </c>
      <c r="BM360" s="40" t="s">
        <v>1</v>
      </c>
      <c r="BN360" s="243">
        <v>7</v>
      </c>
      <c r="BO360" s="242">
        <v>7.5</v>
      </c>
      <c r="BP360" s="58">
        <v>250</v>
      </c>
      <c r="BT360" s="59"/>
      <c r="BU360" s="59"/>
      <c r="BV360" s="59"/>
      <c r="BW360" s="59"/>
      <c r="BX360" s="59"/>
      <c r="BY360" s="59"/>
      <c r="BZ360" s="59"/>
      <c r="CA360" s="59"/>
      <c r="CB360" s="59"/>
      <c r="CC360" s="59"/>
      <c r="CD360" s="59"/>
      <c r="CE360" s="60"/>
      <c r="CF360" s="76" t="s">
        <v>90</v>
      </c>
      <c r="CR360" s="40">
        <v>0</v>
      </c>
      <c r="CS360" s="67">
        <v>0</v>
      </c>
      <c r="CT360" s="67">
        <v>0</v>
      </c>
      <c r="CU360" s="40">
        <v>0</v>
      </c>
      <c r="CV360" s="67">
        <v>0</v>
      </c>
      <c r="CW360" s="67">
        <v>0</v>
      </c>
      <c r="CX360" s="67">
        <v>0</v>
      </c>
      <c r="CY360" s="67">
        <v>0</v>
      </c>
      <c r="CZ360" s="67">
        <v>0</v>
      </c>
      <c r="DA360" s="67">
        <v>0</v>
      </c>
      <c r="DB360" s="67">
        <v>0</v>
      </c>
      <c r="DD360" s="229">
        <v>0</v>
      </c>
      <c r="DI360" s="40" t="s">
        <v>0</v>
      </c>
    </row>
    <row r="361" spans="1:113" s="119" customFormat="1" ht="15.75" customHeight="1" thickBot="1" x14ac:dyDescent="0.3">
      <c r="A361" s="233">
        <v>560851</v>
      </c>
      <c r="B361" s="233" t="s">
        <v>6</v>
      </c>
      <c r="C361" s="234" t="s">
        <v>849</v>
      </c>
      <c r="D361" s="233">
        <v>7</v>
      </c>
      <c r="E361" s="233">
        <v>0</v>
      </c>
      <c r="F361" s="233">
        <v>7</v>
      </c>
      <c r="G361" s="233">
        <v>140</v>
      </c>
      <c r="H361" s="233">
        <v>0</v>
      </c>
      <c r="I361" s="233">
        <v>25</v>
      </c>
      <c r="J361" s="235" t="s">
        <v>866</v>
      </c>
      <c r="K361" s="235" t="s">
        <v>867</v>
      </c>
      <c r="L361" s="236">
        <v>46037.344340277799</v>
      </c>
      <c r="M361" s="233">
        <v>0</v>
      </c>
      <c r="N361" s="233">
        <v>0</v>
      </c>
      <c r="O361" s="233">
        <v>0</v>
      </c>
      <c r="R361" s="233" t="s">
        <v>24</v>
      </c>
      <c r="S361" s="233" t="b">
        <v>0</v>
      </c>
      <c r="T361" s="237">
        <v>0.01</v>
      </c>
      <c r="U361" s="238">
        <v>7.5</v>
      </c>
      <c r="V361" s="237">
        <v>0.01</v>
      </c>
      <c r="W361" s="237">
        <v>0</v>
      </c>
      <c r="X361" s="233">
        <v>1000</v>
      </c>
      <c r="Z361" s="233">
        <v>10</v>
      </c>
      <c r="AB361" s="239">
        <v>50</v>
      </c>
      <c r="AD361" s="233">
        <v>10</v>
      </c>
      <c r="AF361" s="233">
        <v>2000</v>
      </c>
      <c r="AG361" s="233">
        <v>2</v>
      </c>
      <c r="AH361" s="233">
        <v>7.74</v>
      </c>
      <c r="AI361" s="233">
        <v>737</v>
      </c>
      <c r="AJ361" s="233">
        <v>0</v>
      </c>
      <c r="AK361" s="233">
        <v>257</v>
      </c>
      <c r="AM361" s="233" t="s">
        <v>2</v>
      </c>
      <c r="AO361" s="233">
        <v>50</v>
      </c>
      <c r="AW361" s="233" t="b">
        <v>0</v>
      </c>
      <c r="AZ361" s="233" t="s">
        <v>24</v>
      </c>
      <c r="BE361" s="246"/>
      <c r="BF361" s="119">
        <v>1</v>
      </c>
      <c r="BG361" s="119">
        <v>1</v>
      </c>
      <c r="BH361" s="119">
        <v>1</v>
      </c>
      <c r="BI361" s="119">
        <v>0.55000000000000004</v>
      </c>
      <c r="BJ361" s="119">
        <v>0</v>
      </c>
      <c r="BK361" s="119">
        <v>5.5</v>
      </c>
      <c r="BL361" s="119">
        <v>6</v>
      </c>
      <c r="BM361" s="40" t="s">
        <v>1</v>
      </c>
      <c r="BN361" s="243">
        <v>7</v>
      </c>
      <c r="BO361" s="242">
        <v>7.5</v>
      </c>
      <c r="BP361" s="58">
        <v>250</v>
      </c>
      <c r="BT361" s="59"/>
      <c r="BU361" s="59"/>
      <c r="BV361" s="59"/>
      <c r="BW361" s="59"/>
      <c r="BX361" s="59"/>
      <c r="BY361" s="59"/>
      <c r="BZ361" s="59"/>
      <c r="CA361" s="59"/>
      <c r="CB361" s="59"/>
      <c r="CC361" s="59"/>
      <c r="CD361" s="59"/>
      <c r="CE361" s="60"/>
      <c r="CF361" s="76" t="s">
        <v>90</v>
      </c>
      <c r="CR361" s="40">
        <v>0</v>
      </c>
      <c r="CS361" s="67">
        <v>0</v>
      </c>
      <c r="CT361" s="67">
        <v>0</v>
      </c>
      <c r="CU361" s="40">
        <v>0</v>
      </c>
      <c r="CV361" s="67">
        <v>0</v>
      </c>
      <c r="CW361" s="67">
        <v>0</v>
      </c>
      <c r="CX361" s="67">
        <v>0</v>
      </c>
      <c r="CY361" s="67">
        <v>0</v>
      </c>
      <c r="CZ361" s="67">
        <v>0</v>
      </c>
      <c r="DA361" s="67">
        <v>0</v>
      </c>
      <c r="DB361" s="67">
        <v>0</v>
      </c>
      <c r="DD361" s="229">
        <v>0</v>
      </c>
      <c r="DI361" s="40" t="s">
        <v>0</v>
      </c>
    </row>
    <row r="362" spans="1:113" s="119" customFormat="1" ht="15.75" customHeight="1" thickBot="1" x14ac:dyDescent="0.3">
      <c r="A362" s="233">
        <v>560850</v>
      </c>
      <c r="B362" s="233" t="s">
        <v>6</v>
      </c>
      <c r="C362" s="234" t="s">
        <v>849</v>
      </c>
      <c r="D362" s="233">
        <v>7</v>
      </c>
      <c r="E362" s="233">
        <v>0</v>
      </c>
      <c r="F362" s="233">
        <v>7</v>
      </c>
      <c r="G362" s="233">
        <v>139</v>
      </c>
      <c r="H362" s="233">
        <v>0</v>
      </c>
      <c r="I362" s="233">
        <v>25</v>
      </c>
      <c r="J362" s="235" t="s">
        <v>868</v>
      </c>
      <c r="K362" s="235" t="s">
        <v>869</v>
      </c>
      <c r="L362" s="236">
        <v>46037.344270833302</v>
      </c>
      <c r="M362" s="233">
        <v>0</v>
      </c>
      <c r="N362" s="233">
        <v>0</v>
      </c>
      <c r="O362" s="233">
        <v>0</v>
      </c>
      <c r="R362" s="233" t="s">
        <v>24</v>
      </c>
      <c r="S362" s="233" t="b">
        <v>0</v>
      </c>
      <c r="T362" s="237">
        <v>0.01</v>
      </c>
      <c r="U362" s="238">
        <v>7.5</v>
      </c>
      <c r="V362" s="237">
        <v>0.01</v>
      </c>
      <c r="W362" s="237">
        <v>0</v>
      </c>
      <c r="X362" s="233">
        <v>1000</v>
      </c>
      <c r="Z362" s="233">
        <v>10</v>
      </c>
      <c r="AB362" s="239">
        <v>50</v>
      </c>
      <c r="AD362" s="233">
        <v>10</v>
      </c>
      <c r="AF362" s="233">
        <v>2000</v>
      </c>
      <c r="AG362" s="233">
        <v>2</v>
      </c>
      <c r="AH362" s="233">
        <v>7.73</v>
      </c>
      <c r="AI362" s="233">
        <v>728</v>
      </c>
      <c r="AJ362" s="233">
        <v>0</v>
      </c>
      <c r="AK362" s="233">
        <v>254</v>
      </c>
      <c r="AM362" s="233" t="s">
        <v>2</v>
      </c>
      <c r="AO362" s="233">
        <v>50</v>
      </c>
      <c r="AW362" s="233" t="b">
        <v>0</v>
      </c>
      <c r="AZ362" s="233" t="s">
        <v>24</v>
      </c>
      <c r="BE362" s="246"/>
      <c r="BF362" s="119">
        <v>1</v>
      </c>
      <c r="BG362" s="119">
        <v>1</v>
      </c>
      <c r="BH362" s="119">
        <v>1</v>
      </c>
      <c r="BI362" s="119">
        <v>0.55000000000000004</v>
      </c>
      <c r="BJ362" s="119">
        <v>0</v>
      </c>
      <c r="BK362" s="119">
        <v>5.5</v>
      </c>
      <c r="BL362" s="119">
        <v>6</v>
      </c>
      <c r="BM362" s="40" t="s">
        <v>1</v>
      </c>
      <c r="BN362" s="243">
        <v>7</v>
      </c>
      <c r="BO362" s="242">
        <v>7.5</v>
      </c>
      <c r="BP362" s="58">
        <v>250</v>
      </c>
      <c r="BT362" s="59"/>
      <c r="BU362" s="59"/>
      <c r="BV362" s="59"/>
      <c r="BW362" s="59"/>
      <c r="BX362" s="59"/>
      <c r="BY362" s="59"/>
      <c r="BZ362" s="59"/>
      <c r="CA362" s="59"/>
      <c r="CB362" s="59"/>
      <c r="CC362" s="59"/>
      <c r="CD362" s="59"/>
      <c r="CE362" s="60"/>
      <c r="CF362" s="76" t="s">
        <v>90</v>
      </c>
      <c r="CR362" s="40">
        <v>0</v>
      </c>
      <c r="CS362" s="67">
        <v>0</v>
      </c>
      <c r="CT362" s="67">
        <v>0</v>
      </c>
      <c r="CU362" s="40">
        <v>0</v>
      </c>
      <c r="CV362" s="67">
        <v>0</v>
      </c>
      <c r="CW362" s="67">
        <v>0</v>
      </c>
      <c r="CX362" s="67">
        <v>0</v>
      </c>
      <c r="CY362" s="67">
        <v>0</v>
      </c>
      <c r="CZ362" s="67">
        <v>0</v>
      </c>
      <c r="DA362" s="67">
        <v>0</v>
      </c>
      <c r="DB362" s="67">
        <v>0</v>
      </c>
      <c r="DD362" s="229">
        <v>0</v>
      </c>
      <c r="DI362" s="40" t="s">
        <v>0</v>
      </c>
    </row>
    <row r="363" spans="1:113" s="119" customFormat="1" ht="15.75" customHeight="1" thickBot="1" x14ac:dyDescent="0.3">
      <c r="A363" s="233">
        <v>560849</v>
      </c>
      <c r="B363" s="233" t="s">
        <v>6</v>
      </c>
      <c r="C363" s="234" t="s">
        <v>849</v>
      </c>
      <c r="D363" s="233">
        <v>7</v>
      </c>
      <c r="E363" s="233">
        <v>0</v>
      </c>
      <c r="F363" s="233">
        <v>7</v>
      </c>
      <c r="G363" s="233">
        <v>138</v>
      </c>
      <c r="H363" s="233">
        <v>0</v>
      </c>
      <c r="I363" s="233">
        <v>25</v>
      </c>
      <c r="J363" s="235" t="s">
        <v>870</v>
      </c>
      <c r="K363" s="235" t="s">
        <v>871</v>
      </c>
      <c r="L363" s="236">
        <v>46037.344212962998</v>
      </c>
      <c r="M363" s="233">
        <v>0</v>
      </c>
      <c r="N363" s="233">
        <v>0</v>
      </c>
      <c r="O363" s="233">
        <v>0</v>
      </c>
      <c r="R363" s="233" t="s">
        <v>24</v>
      </c>
      <c r="S363" s="233" t="b">
        <v>0</v>
      </c>
      <c r="T363" s="237">
        <v>0.01</v>
      </c>
      <c r="U363" s="238">
        <v>7.5</v>
      </c>
      <c r="V363" s="237">
        <v>0.01</v>
      </c>
      <c r="W363" s="237">
        <v>0</v>
      </c>
      <c r="X363" s="233">
        <v>1000</v>
      </c>
      <c r="Z363" s="233">
        <v>10</v>
      </c>
      <c r="AB363" s="239">
        <v>50</v>
      </c>
      <c r="AD363" s="233">
        <v>10</v>
      </c>
      <c r="AF363" s="233">
        <v>2000</v>
      </c>
      <c r="AG363" s="233">
        <v>2</v>
      </c>
      <c r="AH363" s="233">
        <v>7.74</v>
      </c>
      <c r="AI363" s="233">
        <v>741</v>
      </c>
      <c r="AJ363" s="233">
        <v>0</v>
      </c>
      <c r="AK363" s="233">
        <v>257</v>
      </c>
      <c r="AM363" s="233" t="s">
        <v>2</v>
      </c>
      <c r="AO363" s="233">
        <v>50</v>
      </c>
      <c r="AW363" s="233" t="b">
        <v>0</v>
      </c>
      <c r="AZ363" s="233" t="s">
        <v>24</v>
      </c>
      <c r="BE363" s="246"/>
      <c r="BF363" s="119">
        <v>1</v>
      </c>
      <c r="BG363" s="119">
        <v>1</v>
      </c>
      <c r="BH363" s="119">
        <v>1</v>
      </c>
      <c r="BI363" s="119">
        <v>0.55000000000000004</v>
      </c>
      <c r="BJ363" s="119">
        <v>0</v>
      </c>
      <c r="BK363" s="119">
        <v>5.5</v>
      </c>
      <c r="BL363" s="119">
        <v>6</v>
      </c>
      <c r="BM363" s="40" t="s">
        <v>1</v>
      </c>
      <c r="BN363" s="243">
        <v>7</v>
      </c>
      <c r="BO363" s="242">
        <v>7.5</v>
      </c>
      <c r="BP363" s="58">
        <v>250</v>
      </c>
      <c r="BT363" s="59"/>
      <c r="BU363" s="59"/>
      <c r="BV363" s="59"/>
      <c r="BW363" s="59"/>
      <c r="BX363" s="59"/>
      <c r="BY363" s="59"/>
      <c r="BZ363" s="59"/>
      <c r="CA363" s="59"/>
      <c r="CB363" s="59"/>
      <c r="CC363" s="59"/>
      <c r="CD363" s="59"/>
      <c r="CE363" s="60"/>
      <c r="CF363" s="76" t="s">
        <v>90</v>
      </c>
      <c r="CR363" s="40">
        <v>0</v>
      </c>
      <c r="CS363" s="67">
        <v>0</v>
      </c>
      <c r="CT363" s="67">
        <v>0</v>
      </c>
      <c r="CU363" s="40">
        <v>0</v>
      </c>
      <c r="CV363" s="67">
        <v>0</v>
      </c>
      <c r="CW363" s="67">
        <v>0</v>
      </c>
      <c r="CX363" s="67">
        <v>0</v>
      </c>
      <c r="CY363" s="67">
        <v>0</v>
      </c>
      <c r="CZ363" s="67">
        <v>0</v>
      </c>
      <c r="DA363" s="67">
        <v>0</v>
      </c>
      <c r="DB363" s="67">
        <v>0</v>
      </c>
      <c r="DD363" s="229">
        <v>0</v>
      </c>
      <c r="DI363" s="40" t="s">
        <v>0</v>
      </c>
    </row>
    <row r="364" spans="1:113" s="119" customFormat="1" ht="15.75" customHeight="1" thickBot="1" x14ac:dyDescent="0.3">
      <c r="A364" s="233">
        <v>560848</v>
      </c>
      <c r="B364" s="233" t="s">
        <v>6</v>
      </c>
      <c r="C364" s="234" t="s">
        <v>849</v>
      </c>
      <c r="D364" s="233">
        <v>7</v>
      </c>
      <c r="E364" s="233">
        <v>0</v>
      </c>
      <c r="F364" s="233">
        <v>7</v>
      </c>
      <c r="G364" s="233">
        <v>137</v>
      </c>
      <c r="H364" s="233">
        <v>0</v>
      </c>
      <c r="I364" s="233">
        <v>25</v>
      </c>
      <c r="J364" s="235" t="s">
        <v>872</v>
      </c>
      <c r="K364" s="235" t="s">
        <v>873</v>
      </c>
      <c r="L364" s="236">
        <v>46037.344143518501</v>
      </c>
      <c r="M364" s="233">
        <v>0</v>
      </c>
      <c r="N364" s="233">
        <v>0</v>
      </c>
      <c r="O364" s="233">
        <v>0</v>
      </c>
      <c r="R364" s="233" t="s">
        <v>24</v>
      </c>
      <c r="S364" s="233" t="b">
        <v>0</v>
      </c>
      <c r="T364" s="237">
        <v>0.01</v>
      </c>
      <c r="U364" s="238">
        <v>7.5</v>
      </c>
      <c r="V364" s="237">
        <v>0.01</v>
      </c>
      <c r="W364" s="237">
        <v>0</v>
      </c>
      <c r="X364" s="233">
        <v>1000</v>
      </c>
      <c r="Z364" s="233">
        <v>10</v>
      </c>
      <c r="AB364" s="239">
        <v>50</v>
      </c>
      <c r="AD364" s="233">
        <v>10</v>
      </c>
      <c r="AF364" s="233">
        <v>2000</v>
      </c>
      <c r="AG364" s="233">
        <v>2</v>
      </c>
      <c r="AH364" s="233">
        <v>7.72</v>
      </c>
      <c r="AI364" s="233">
        <v>724</v>
      </c>
      <c r="AJ364" s="233">
        <v>0</v>
      </c>
      <c r="AK364" s="233">
        <v>252</v>
      </c>
      <c r="AM364" s="233" t="s">
        <v>2</v>
      </c>
      <c r="AO364" s="233">
        <v>50</v>
      </c>
      <c r="AW364" s="233" t="b">
        <v>0</v>
      </c>
      <c r="AZ364" s="233" t="s">
        <v>24</v>
      </c>
      <c r="BE364" s="246"/>
      <c r="BF364" s="119">
        <v>1</v>
      </c>
      <c r="BG364" s="119">
        <v>1</v>
      </c>
      <c r="BH364" s="119">
        <v>1</v>
      </c>
      <c r="BI364" s="119">
        <v>0.55000000000000004</v>
      </c>
      <c r="BJ364" s="119">
        <v>0</v>
      </c>
      <c r="BK364" s="119">
        <v>5.5</v>
      </c>
      <c r="BL364" s="119">
        <v>6</v>
      </c>
      <c r="BM364" s="40" t="s">
        <v>1</v>
      </c>
      <c r="BN364" s="243">
        <v>7</v>
      </c>
      <c r="BO364" s="242">
        <v>7.5</v>
      </c>
      <c r="BP364" s="58">
        <v>250</v>
      </c>
      <c r="BT364" s="59"/>
      <c r="BU364" s="59"/>
      <c r="BV364" s="59"/>
      <c r="BW364" s="59"/>
      <c r="BX364" s="59"/>
      <c r="BY364" s="59"/>
      <c r="BZ364" s="59"/>
      <c r="CA364" s="59"/>
      <c r="CB364" s="59"/>
      <c r="CC364" s="59"/>
      <c r="CD364" s="59"/>
      <c r="CE364" s="60"/>
      <c r="CF364" s="76" t="s">
        <v>90</v>
      </c>
      <c r="CR364" s="40">
        <v>0</v>
      </c>
      <c r="CS364" s="67">
        <v>0</v>
      </c>
      <c r="CT364" s="67">
        <v>0</v>
      </c>
      <c r="CU364" s="40">
        <v>0</v>
      </c>
      <c r="CV364" s="67">
        <v>0</v>
      </c>
      <c r="CW364" s="67">
        <v>0</v>
      </c>
      <c r="CX364" s="67">
        <v>0</v>
      </c>
      <c r="CY364" s="67">
        <v>0</v>
      </c>
      <c r="CZ364" s="67">
        <v>0</v>
      </c>
      <c r="DA364" s="67">
        <v>0</v>
      </c>
      <c r="DB364" s="67">
        <v>0</v>
      </c>
      <c r="DD364" s="229">
        <v>0</v>
      </c>
      <c r="DI364" s="40" t="s">
        <v>0</v>
      </c>
    </row>
    <row r="365" spans="1:113" s="119" customFormat="1" ht="15.75" customHeight="1" thickBot="1" x14ac:dyDescent="0.3">
      <c r="A365" s="233">
        <v>560847</v>
      </c>
      <c r="B365" s="233" t="s">
        <v>6</v>
      </c>
      <c r="C365" s="234" t="s">
        <v>849</v>
      </c>
      <c r="D365" s="233">
        <v>7</v>
      </c>
      <c r="E365" s="233">
        <v>0</v>
      </c>
      <c r="F365" s="233">
        <v>7</v>
      </c>
      <c r="G365" s="233">
        <v>136</v>
      </c>
      <c r="H365" s="233">
        <v>0</v>
      </c>
      <c r="I365" s="233">
        <v>25</v>
      </c>
      <c r="J365" s="235" t="s">
        <v>874</v>
      </c>
      <c r="K365" s="235" t="s">
        <v>875</v>
      </c>
      <c r="L365" s="236">
        <v>46037.344004629602</v>
      </c>
      <c r="M365" s="233">
        <v>0</v>
      </c>
      <c r="N365" s="233">
        <v>0</v>
      </c>
      <c r="O365" s="233">
        <v>0</v>
      </c>
      <c r="R365" s="233" t="s">
        <v>24</v>
      </c>
      <c r="S365" s="233" t="b">
        <v>0</v>
      </c>
      <c r="T365" s="237">
        <v>0.01</v>
      </c>
      <c r="U365" s="238">
        <v>7.5</v>
      </c>
      <c r="V365" s="237">
        <v>0.01</v>
      </c>
      <c r="W365" s="237">
        <v>0</v>
      </c>
      <c r="X365" s="233">
        <v>1000</v>
      </c>
      <c r="Z365" s="233">
        <v>10</v>
      </c>
      <c r="AB365" s="239">
        <v>50</v>
      </c>
      <c r="AD365" s="233">
        <v>10</v>
      </c>
      <c r="AF365" s="233">
        <v>2000</v>
      </c>
      <c r="AG365" s="233">
        <v>2</v>
      </c>
      <c r="AH365" s="233">
        <v>7.76</v>
      </c>
      <c r="AI365" s="233">
        <v>745</v>
      </c>
      <c r="AJ365" s="233">
        <v>0</v>
      </c>
      <c r="AK365" s="233">
        <v>260</v>
      </c>
      <c r="AM365" s="233" t="s">
        <v>2</v>
      </c>
      <c r="AO365" s="233">
        <v>50</v>
      </c>
      <c r="AW365" s="233" t="b">
        <v>0</v>
      </c>
      <c r="AZ365" s="233" t="s">
        <v>24</v>
      </c>
      <c r="BE365" s="246"/>
      <c r="BF365" s="119">
        <v>1</v>
      </c>
      <c r="BG365" s="119">
        <v>1</v>
      </c>
      <c r="BH365" s="119">
        <v>1</v>
      </c>
      <c r="BI365" s="119">
        <v>0.55000000000000004</v>
      </c>
      <c r="BJ365" s="119">
        <v>0</v>
      </c>
      <c r="BK365" s="119">
        <v>5.5</v>
      </c>
      <c r="BL365" s="119">
        <v>6</v>
      </c>
      <c r="BM365" s="40" t="s">
        <v>1</v>
      </c>
      <c r="BN365" s="243">
        <v>7</v>
      </c>
      <c r="BO365" s="242">
        <v>7.5</v>
      </c>
      <c r="BP365" s="58">
        <v>250</v>
      </c>
      <c r="BT365" s="59"/>
      <c r="BU365" s="59"/>
      <c r="BV365" s="59"/>
      <c r="BW365" s="59"/>
      <c r="BX365" s="59"/>
      <c r="BY365" s="59"/>
      <c r="BZ365" s="59"/>
      <c r="CA365" s="59"/>
      <c r="CB365" s="59"/>
      <c r="CC365" s="59"/>
      <c r="CD365" s="59"/>
      <c r="CE365" s="60"/>
      <c r="CF365" s="76" t="s">
        <v>90</v>
      </c>
      <c r="CR365" s="40">
        <v>0</v>
      </c>
      <c r="CS365" s="67">
        <v>0</v>
      </c>
      <c r="CT365" s="67">
        <v>0</v>
      </c>
      <c r="CU365" s="40">
        <v>0</v>
      </c>
      <c r="CV365" s="67">
        <v>0</v>
      </c>
      <c r="CW365" s="67">
        <v>0</v>
      </c>
      <c r="CX365" s="67">
        <v>0</v>
      </c>
      <c r="CY365" s="67">
        <v>0</v>
      </c>
      <c r="CZ365" s="67">
        <v>0</v>
      </c>
      <c r="DA365" s="67">
        <v>0</v>
      </c>
      <c r="DB365" s="67">
        <v>0</v>
      </c>
      <c r="DD365" s="229">
        <v>0</v>
      </c>
      <c r="DI365" s="40" t="s">
        <v>0</v>
      </c>
    </row>
    <row r="366" spans="1:113" s="119" customFormat="1" ht="15.75" customHeight="1" thickBot="1" x14ac:dyDescent="0.3">
      <c r="A366" s="233">
        <v>560846</v>
      </c>
      <c r="B366" s="233" t="s">
        <v>6</v>
      </c>
      <c r="C366" s="234" t="s">
        <v>849</v>
      </c>
      <c r="D366" s="233">
        <v>7</v>
      </c>
      <c r="E366" s="233">
        <v>0</v>
      </c>
      <c r="F366" s="233">
        <v>7</v>
      </c>
      <c r="G366" s="233">
        <v>135</v>
      </c>
      <c r="H366" s="233">
        <v>0</v>
      </c>
      <c r="I366" s="233">
        <v>25</v>
      </c>
      <c r="J366" s="235" t="s">
        <v>876</v>
      </c>
      <c r="K366" s="235" t="s">
        <v>877</v>
      </c>
      <c r="L366" s="236">
        <v>46037.343935185199</v>
      </c>
      <c r="M366" s="233">
        <v>0</v>
      </c>
      <c r="N366" s="233">
        <v>0</v>
      </c>
      <c r="O366" s="233">
        <v>0</v>
      </c>
      <c r="R366" s="233" t="s">
        <v>24</v>
      </c>
      <c r="S366" s="233" t="b">
        <v>0</v>
      </c>
      <c r="T366" s="237">
        <v>0.01</v>
      </c>
      <c r="U366" s="238">
        <v>7.5</v>
      </c>
      <c r="V366" s="237">
        <v>0.01</v>
      </c>
      <c r="W366" s="237">
        <v>0</v>
      </c>
      <c r="X366" s="233">
        <v>1000</v>
      </c>
      <c r="Z366" s="233">
        <v>10</v>
      </c>
      <c r="AB366" s="239">
        <v>50</v>
      </c>
      <c r="AD366" s="233">
        <v>10</v>
      </c>
      <c r="AF366" s="233">
        <v>2000</v>
      </c>
      <c r="AG366" s="233">
        <v>2</v>
      </c>
      <c r="AH366" s="233">
        <v>7.75</v>
      </c>
      <c r="AI366" s="233">
        <v>737</v>
      </c>
      <c r="AJ366" s="233">
        <v>0</v>
      </c>
      <c r="AK366" s="233">
        <v>257</v>
      </c>
      <c r="AM366" s="233" t="s">
        <v>2</v>
      </c>
      <c r="AO366" s="233">
        <v>50</v>
      </c>
      <c r="AW366" s="233" t="b">
        <v>0</v>
      </c>
      <c r="AZ366" s="233" t="s">
        <v>24</v>
      </c>
      <c r="BE366" s="246"/>
      <c r="BF366" s="119">
        <v>1</v>
      </c>
      <c r="BG366" s="119">
        <v>1</v>
      </c>
      <c r="BH366" s="119">
        <v>1</v>
      </c>
      <c r="BI366" s="119">
        <v>0.55000000000000004</v>
      </c>
      <c r="BJ366" s="119">
        <v>0</v>
      </c>
      <c r="BK366" s="119">
        <v>5.5</v>
      </c>
      <c r="BL366" s="119">
        <v>6</v>
      </c>
      <c r="BM366" s="40" t="s">
        <v>1</v>
      </c>
      <c r="BN366" s="243">
        <v>7</v>
      </c>
      <c r="BO366" s="242">
        <v>7.5</v>
      </c>
      <c r="BP366" s="58">
        <v>250</v>
      </c>
      <c r="BT366" s="59"/>
      <c r="BU366" s="59"/>
      <c r="BV366" s="59"/>
      <c r="BW366" s="59"/>
      <c r="BX366" s="59"/>
      <c r="BY366" s="59"/>
      <c r="BZ366" s="59"/>
      <c r="CA366" s="59"/>
      <c r="CB366" s="59"/>
      <c r="CC366" s="59"/>
      <c r="CD366" s="59"/>
      <c r="CE366" s="60"/>
      <c r="CF366" s="76" t="s">
        <v>90</v>
      </c>
      <c r="CR366" s="40">
        <v>0</v>
      </c>
      <c r="CS366" s="67">
        <v>0</v>
      </c>
      <c r="CT366" s="67">
        <v>0</v>
      </c>
      <c r="CU366" s="40">
        <v>0</v>
      </c>
      <c r="CV366" s="67">
        <v>0</v>
      </c>
      <c r="CW366" s="67">
        <v>0</v>
      </c>
      <c r="CX366" s="67">
        <v>0</v>
      </c>
      <c r="CY366" s="67">
        <v>0</v>
      </c>
      <c r="CZ366" s="67">
        <v>0</v>
      </c>
      <c r="DA366" s="67">
        <v>0</v>
      </c>
      <c r="DB366" s="67">
        <v>0</v>
      </c>
      <c r="DD366" s="229">
        <v>0</v>
      </c>
      <c r="DI366" s="40" t="s">
        <v>0</v>
      </c>
    </row>
    <row r="367" spans="1:113" s="119" customFormat="1" ht="15.75" customHeight="1" thickBot="1" x14ac:dyDescent="0.3">
      <c r="A367" s="233">
        <v>560845</v>
      </c>
      <c r="B367" s="233" t="s">
        <v>6</v>
      </c>
      <c r="C367" s="234" t="s">
        <v>849</v>
      </c>
      <c r="D367" s="233">
        <v>7</v>
      </c>
      <c r="E367" s="233">
        <v>0</v>
      </c>
      <c r="F367" s="233">
        <v>7</v>
      </c>
      <c r="G367" s="233">
        <v>134</v>
      </c>
      <c r="H367" s="233">
        <v>0</v>
      </c>
      <c r="I367" s="233">
        <v>25</v>
      </c>
      <c r="J367" s="235" t="s">
        <v>878</v>
      </c>
      <c r="K367" s="235" t="s">
        <v>879</v>
      </c>
      <c r="L367" s="236">
        <v>46037.343865740702</v>
      </c>
      <c r="M367" s="233">
        <v>0</v>
      </c>
      <c r="N367" s="233">
        <v>0</v>
      </c>
      <c r="O367" s="233">
        <v>0</v>
      </c>
      <c r="R367" s="233" t="s">
        <v>24</v>
      </c>
      <c r="S367" s="233" t="b">
        <v>0</v>
      </c>
      <c r="T367" s="237">
        <v>0.01</v>
      </c>
      <c r="U367" s="238">
        <v>7.5</v>
      </c>
      <c r="V367" s="237">
        <v>0.01</v>
      </c>
      <c r="W367" s="237">
        <v>0</v>
      </c>
      <c r="X367" s="233">
        <v>1000</v>
      </c>
      <c r="Z367" s="233">
        <v>10</v>
      </c>
      <c r="AB367" s="239">
        <v>50</v>
      </c>
      <c r="AD367" s="233">
        <v>10</v>
      </c>
      <c r="AF367" s="233">
        <v>2000</v>
      </c>
      <c r="AG367" s="233">
        <v>2</v>
      </c>
      <c r="AH367" s="233">
        <v>7.75</v>
      </c>
      <c r="AI367" s="233">
        <v>758</v>
      </c>
      <c r="AJ367" s="233">
        <v>0</v>
      </c>
      <c r="AK367" s="233">
        <v>264</v>
      </c>
      <c r="AM367" s="233" t="s">
        <v>2</v>
      </c>
      <c r="AO367" s="233">
        <v>50</v>
      </c>
      <c r="AW367" s="233" t="b">
        <v>0</v>
      </c>
      <c r="AZ367" s="233" t="s">
        <v>24</v>
      </c>
      <c r="BE367" s="246"/>
      <c r="BF367" s="119">
        <v>1</v>
      </c>
      <c r="BG367" s="119">
        <v>1</v>
      </c>
      <c r="BH367" s="119">
        <v>1</v>
      </c>
      <c r="BI367" s="119">
        <v>0.55000000000000004</v>
      </c>
      <c r="BJ367" s="119">
        <v>0</v>
      </c>
      <c r="BK367" s="119">
        <v>5.5</v>
      </c>
      <c r="BL367" s="119">
        <v>6</v>
      </c>
      <c r="BM367" s="40" t="s">
        <v>1</v>
      </c>
      <c r="BN367" s="243">
        <v>7</v>
      </c>
      <c r="BO367" s="242">
        <v>7.5</v>
      </c>
      <c r="BP367" s="58">
        <v>250</v>
      </c>
      <c r="BT367" s="59"/>
      <c r="BU367" s="59"/>
      <c r="BV367" s="59"/>
      <c r="BW367" s="59"/>
      <c r="BX367" s="59"/>
      <c r="BY367" s="59"/>
      <c r="BZ367" s="59"/>
      <c r="CA367" s="59"/>
      <c r="CB367" s="59"/>
      <c r="CC367" s="59"/>
      <c r="CD367" s="59"/>
      <c r="CE367" s="60"/>
      <c r="CF367" s="76" t="s">
        <v>90</v>
      </c>
      <c r="CR367" s="40">
        <v>0</v>
      </c>
      <c r="CS367" s="67">
        <v>0</v>
      </c>
      <c r="CT367" s="67">
        <v>0</v>
      </c>
      <c r="CU367" s="40">
        <v>0</v>
      </c>
      <c r="CV367" s="67">
        <v>0</v>
      </c>
      <c r="CW367" s="67">
        <v>0</v>
      </c>
      <c r="CX367" s="67">
        <v>0</v>
      </c>
      <c r="CY367" s="67">
        <v>0</v>
      </c>
      <c r="CZ367" s="67">
        <v>0</v>
      </c>
      <c r="DA367" s="67">
        <v>0</v>
      </c>
      <c r="DB367" s="67">
        <v>0</v>
      </c>
      <c r="DD367" s="229">
        <v>0</v>
      </c>
      <c r="DI367" s="40" t="s">
        <v>0</v>
      </c>
    </row>
    <row r="368" spans="1:113" s="119" customFormat="1" ht="15.75" customHeight="1" thickBot="1" x14ac:dyDescent="0.3">
      <c r="A368" s="233">
        <v>560844</v>
      </c>
      <c r="B368" s="233" t="s">
        <v>6</v>
      </c>
      <c r="C368" s="234" t="s">
        <v>849</v>
      </c>
      <c r="D368" s="233">
        <v>7</v>
      </c>
      <c r="E368" s="233">
        <v>0</v>
      </c>
      <c r="F368" s="233">
        <v>7</v>
      </c>
      <c r="G368" s="233">
        <v>133</v>
      </c>
      <c r="H368" s="233">
        <v>0</v>
      </c>
      <c r="I368" s="233">
        <v>25</v>
      </c>
      <c r="J368" s="235" t="s">
        <v>880</v>
      </c>
      <c r="K368" s="235" t="s">
        <v>881</v>
      </c>
      <c r="L368" s="236">
        <v>46037.343807870398</v>
      </c>
      <c r="M368" s="233">
        <v>0</v>
      </c>
      <c r="N368" s="233">
        <v>0</v>
      </c>
      <c r="O368" s="233">
        <v>0</v>
      </c>
      <c r="R368" s="233" t="s">
        <v>24</v>
      </c>
      <c r="S368" s="233" t="b">
        <v>0</v>
      </c>
      <c r="T368" s="237">
        <v>0.01</v>
      </c>
      <c r="U368" s="238">
        <v>7.5</v>
      </c>
      <c r="V368" s="237">
        <v>0.01</v>
      </c>
      <c r="W368" s="237">
        <v>0</v>
      </c>
      <c r="X368" s="233">
        <v>1000</v>
      </c>
      <c r="Z368" s="233">
        <v>10</v>
      </c>
      <c r="AB368" s="239">
        <v>50</v>
      </c>
      <c r="AD368" s="233">
        <v>10</v>
      </c>
      <c r="AF368" s="233">
        <v>2000</v>
      </c>
      <c r="AG368" s="233">
        <v>2</v>
      </c>
      <c r="AH368" s="233">
        <v>7.78</v>
      </c>
      <c r="AI368" s="233">
        <v>783</v>
      </c>
      <c r="AJ368" s="233">
        <v>0</v>
      </c>
      <c r="AK368" s="233">
        <v>273</v>
      </c>
      <c r="AM368" s="233" t="s">
        <v>2</v>
      </c>
      <c r="AO368" s="233">
        <v>50</v>
      </c>
      <c r="AW368" s="233" t="b">
        <v>0</v>
      </c>
      <c r="AZ368" s="233" t="s">
        <v>24</v>
      </c>
      <c r="BE368" s="246"/>
      <c r="BF368" s="119">
        <v>1</v>
      </c>
      <c r="BG368" s="119">
        <v>1</v>
      </c>
      <c r="BH368" s="119">
        <v>1</v>
      </c>
      <c r="BI368" s="119">
        <v>0.55000000000000004</v>
      </c>
      <c r="BJ368" s="119">
        <v>0</v>
      </c>
      <c r="BK368" s="119">
        <v>5.5</v>
      </c>
      <c r="BL368" s="119">
        <v>6</v>
      </c>
      <c r="BM368" s="40" t="s">
        <v>1</v>
      </c>
      <c r="BN368" s="243">
        <v>7</v>
      </c>
      <c r="BO368" s="242">
        <v>7.5</v>
      </c>
      <c r="BP368" s="58">
        <v>250</v>
      </c>
      <c r="BT368" s="59"/>
      <c r="BU368" s="59"/>
      <c r="BV368" s="59"/>
      <c r="BW368" s="59"/>
      <c r="BX368" s="59"/>
      <c r="BY368" s="59"/>
      <c r="BZ368" s="59"/>
      <c r="CA368" s="59"/>
      <c r="CB368" s="59"/>
      <c r="CC368" s="59"/>
      <c r="CD368" s="59"/>
      <c r="CE368" s="60"/>
      <c r="CF368" s="76" t="s">
        <v>90</v>
      </c>
      <c r="CR368" s="40">
        <v>0</v>
      </c>
      <c r="CS368" s="67">
        <v>0</v>
      </c>
      <c r="CT368" s="67">
        <v>0</v>
      </c>
      <c r="CU368" s="40">
        <v>0</v>
      </c>
      <c r="CV368" s="67">
        <v>0</v>
      </c>
      <c r="CW368" s="67">
        <v>0</v>
      </c>
      <c r="CX368" s="67">
        <v>0</v>
      </c>
      <c r="CY368" s="67">
        <v>0</v>
      </c>
      <c r="CZ368" s="67">
        <v>0</v>
      </c>
      <c r="DA368" s="67">
        <v>0</v>
      </c>
      <c r="DB368" s="67">
        <v>0</v>
      </c>
      <c r="DD368" s="229">
        <v>0</v>
      </c>
      <c r="DI368" s="40" t="s">
        <v>0</v>
      </c>
    </row>
    <row r="369" spans="1:113" s="119" customFormat="1" ht="15.75" customHeight="1" thickBot="1" x14ac:dyDescent="0.3">
      <c r="A369" s="233">
        <v>560843</v>
      </c>
      <c r="B369" s="233" t="s">
        <v>6</v>
      </c>
      <c r="C369" s="234" t="s">
        <v>849</v>
      </c>
      <c r="D369" s="233">
        <v>7</v>
      </c>
      <c r="E369" s="233">
        <v>0</v>
      </c>
      <c r="F369" s="233">
        <v>7</v>
      </c>
      <c r="G369" s="233">
        <v>132</v>
      </c>
      <c r="H369" s="233">
        <v>0</v>
      </c>
      <c r="I369" s="233">
        <v>25</v>
      </c>
      <c r="J369" s="235" t="s">
        <v>882</v>
      </c>
      <c r="K369" s="235" t="s">
        <v>883</v>
      </c>
      <c r="L369" s="236">
        <v>46037.34375</v>
      </c>
      <c r="M369" s="233">
        <v>0</v>
      </c>
      <c r="N369" s="233">
        <v>0</v>
      </c>
      <c r="O369" s="233">
        <v>0</v>
      </c>
      <c r="R369" s="233" t="s">
        <v>24</v>
      </c>
      <c r="S369" s="233" t="b">
        <v>0</v>
      </c>
      <c r="T369" s="237">
        <v>0.01</v>
      </c>
      <c r="U369" s="238">
        <v>7.5</v>
      </c>
      <c r="V369" s="237">
        <v>0.01</v>
      </c>
      <c r="W369" s="237">
        <v>0</v>
      </c>
      <c r="X369" s="233">
        <v>1000</v>
      </c>
      <c r="Z369" s="233">
        <v>10</v>
      </c>
      <c r="AB369" s="239">
        <v>50</v>
      </c>
      <c r="AD369" s="233">
        <v>10</v>
      </c>
      <c r="AF369" s="233">
        <v>2000</v>
      </c>
      <c r="AG369" s="233">
        <v>2</v>
      </c>
      <c r="AH369" s="233">
        <v>7.76</v>
      </c>
      <c r="AI369" s="233">
        <v>754</v>
      </c>
      <c r="AJ369" s="233">
        <v>0</v>
      </c>
      <c r="AK369" s="233">
        <v>261</v>
      </c>
      <c r="AM369" s="233" t="s">
        <v>2</v>
      </c>
      <c r="AO369" s="233">
        <v>50</v>
      </c>
      <c r="AW369" s="233" t="b">
        <v>0</v>
      </c>
      <c r="AZ369" s="233" t="s">
        <v>24</v>
      </c>
      <c r="BE369" s="246"/>
      <c r="BF369" s="119">
        <v>1</v>
      </c>
      <c r="BG369" s="119">
        <v>1</v>
      </c>
      <c r="BH369" s="119">
        <v>1</v>
      </c>
      <c r="BI369" s="119">
        <v>0.55000000000000004</v>
      </c>
      <c r="BJ369" s="119">
        <v>0</v>
      </c>
      <c r="BK369" s="119">
        <v>5.5</v>
      </c>
      <c r="BL369" s="119">
        <v>6</v>
      </c>
      <c r="BM369" s="40" t="s">
        <v>1</v>
      </c>
      <c r="BN369" s="243">
        <v>7</v>
      </c>
      <c r="BO369" s="242">
        <v>7.5</v>
      </c>
      <c r="BP369" s="58">
        <v>250</v>
      </c>
      <c r="BT369" s="59"/>
      <c r="BU369" s="59"/>
      <c r="BV369" s="59"/>
      <c r="BW369" s="59"/>
      <c r="BX369" s="59"/>
      <c r="BY369" s="59"/>
      <c r="BZ369" s="59"/>
      <c r="CA369" s="59"/>
      <c r="CB369" s="59"/>
      <c r="CC369" s="59"/>
      <c r="CD369" s="59"/>
      <c r="CE369" s="60"/>
      <c r="CF369" s="76" t="s">
        <v>90</v>
      </c>
      <c r="CR369" s="40">
        <v>0</v>
      </c>
      <c r="CS369" s="67">
        <v>0</v>
      </c>
      <c r="CT369" s="67">
        <v>0</v>
      </c>
      <c r="CU369" s="40">
        <v>0</v>
      </c>
      <c r="CV369" s="67">
        <v>0</v>
      </c>
      <c r="CW369" s="67">
        <v>0</v>
      </c>
      <c r="CX369" s="67">
        <v>0</v>
      </c>
      <c r="CY369" s="67">
        <v>0</v>
      </c>
      <c r="CZ369" s="67">
        <v>0</v>
      </c>
      <c r="DA369" s="67">
        <v>0</v>
      </c>
      <c r="DB369" s="67">
        <v>0</v>
      </c>
      <c r="DD369" s="229">
        <v>0</v>
      </c>
      <c r="DI369" s="40" t="s">
        <v>0</v>
      </c>
    </row>
    <row r="370" spans="1:113" s="119" customFormat="1" ht="15.75" customHeight="1" thickBot="1" x14ac:dyDescent="0.3">
      <c r="A370" s="233">
        <v>560842</v>
      </c>
      <c r="B370" s="233" t="s">
        <v>6</v>
      </c>
      <c r="C370" s="234" t="s">
        <v>849</v>
      </c>
      <c r="D370" s="233">
        <v>7</v>
      </c>
      <c r="E370" s="233">
        <v>0</v>
      </c>
      <c r="F370" s="233">
        <v>7</v>
      </c>
      <c r="G370" s="233">
        <v>131</v>
      </c>
      <c r="H370" s="233">
        <v>0</v>
      </c>
      <c r="I370" s="233">
        <v>25</v>
      </c>
      <c r="J370" s="235" t="s">
        <v>884</v>
      </c>
      <c r="K370" s="235" t="s">
        <v>885</v>
      </c>
      <c r="L370" s="236">
        <v>46037.343680555598</v>
      </c>
      <c r="M370" s="233">
        <v>0</v>
      </c>
      <c r="N370" s="233">
        <v>0</v>
      </c>
      <c r="O370" s="233">
        <v>0</v>
      </c>
      <c r="R370" s="233" t="s">
        <v>24</v>
      </c>
      <c r="S370" s="233" t="b">
        <v>0</v>
      </c>
      <c r="T370" s="237">
        <v>0.01</v>
      </c>
      <c r="U370" s="238">
        <v>7.5</v>
      </c>
      <c r="V370" s="237">
        <v>0.01</v>
      </c>
      <c r="W370" s="237">
        <v>0</v>
      </c>
      <c r="X370" s="233">
        <v>1000</v>
      </c>
      <c r="Z370" s="233">
        <v>10</v>
      </c>
      <c r="AB370" s="239">
        <v>50</v>
      </c>
      <c r="AD370" s="233">
        <v>10</v>
      </c>
      <c r="AF370" s="233">
        <v>2000</v>
      </c>
      <c r="AG370" s="233">
        <v>2</v>
      </c>
      <c r="AH370" s="233">
        <v>7.73</v>
      </c>
      <c r="AI370" s="233">
        <v>749</v>
      </c>
      <c r="AJ370" s="233">
        <v>0</v>
      </c>
      <c r="AK370" s="233">
        <v>259</v>
      </c>
      <c r="AM370" s="233" t="s">
        <v>2</v>
      </c>
      <c r="AO370" s="233">
        <v>50</v>
      </c>
      <c r="AW370" s="233" t="b">
        <v>0</v>
      </c>
      <c r="AZ370" s="233" t="s">
        <v>24</v>
      </c>
      <c r="BE370" s="246"/>
      <c r="BF370" s="119">
        <v>1</v>
      </c>
      <c r="BG370" s="119">
        <v>1</v>
      </c>
      <c r="BH370" s="119">
        <v>1</v>
      </c>
      <c r="BI370" s="119">
        <v>0.55000000000000004</v>
      </c>
      <c r="BJ370" s="119">
        <v>0</v>
      </c>
      <c r="BK370" s="119">
        <v>5.5</v>
      </c>
      <c r="BL370" s="119">
        <v>6</v>
      </c>
      <c r="BM370" s="40" t="s">
        <v>1</v>
      </c>
      <c r="BN370" s="243">
        <v>7</v>
      </c>
      <c r="BO370" s="242">
        <v>7.5</v>
      </c>
      <c r="BP370" s="58">
        <v>250</v>
      </c>
      <c r="BT370" s="59"/>
      <c r="BU370" s="59"/>
      <c r="BV370" s="59"/>
      <c r="BW370" s="59"/>
      <c r="BX370" s="59"/>
      <c r="BY370" s="59"/>
      <c r="BZ370" s="59"/>
      <c r="CA370" s="59"/>
      <c r="CB370" s="59"/>
      <c r="CC370" s="59"/>
      <c r="CD370" s="59"/>
      <c r="CE370" s="60"/>
      <c r="CF370" s="76" t="s">
        <v>90</v>
      </c>
      <c r="CR370" s="40">
        <v>0</v>
      </c>
      <c r="CS370" s="67">
        <v>0</v>
      </c>
      <c r="CT370" s="67">
        <v>0</v>
      </c>
      <c r="CU370" s="40">
        <v>0</v>
      </c>
      <c r="CV370" s="67">
        <v>0</v>
      </c>
      <c r="CW370" s="67">
        <v>0</v>
      </c>
      <c r="CX370" s="67">
        <v>0</v>
      </c>
      <c r="CY370" s="67">
        <v>0</v>
      </c>
      <c r="CZ370" s="67">
        <v>0</v>
      </c>
      <c r="DA370" s="67">
        <v>0</v>
      </c>
      <c r="DB370" s="67">
        <v>0</v>
      </c>
      <c r="DD370" s="229">
        <v>0</v>
      </c>
      <c r="DI370" s="40" t="s">
        <v>0</v>
      </c>
    </row>
    <row r="371" spans="1:113" s="119" customFormat="1" ht="15.75" customHeight="1" thickBot="1" x14ac:dyDescent="0.3">
      <c r="A371" s="233">
        <v>560841</v>
      </c>
      <c r="B371" s="233" t="s">
        <v>6</v>
      </c>
      <c r="C371" s="234" t="s">
        <v>849</v>
      </c>
      <c r="D371" s="233">
        <v>7</v>
      </c>
      <c r="E371" s="233">
        <v>0</v>
      </c>
      <c r="F371" s="233">
        <v>7</v>
      </c>
      <c r="G371" s="233">
        <v>130</v>
      </c>
      <c r="H371" s="233">
        <v>0</v>
      </c>
      <c r="I371" s="233">
        <v>25</v>
      </c>
      <c r="J371" s="235" t="s">
        <v>886</v>
      </c>
      <c r="K371" s="235" t="s">
        <v>887</v>
      </c>
      <c r="L371" s="236">
        <v>46037.341990740701</v>
      </c>
      <c r="M371" s="233">
        <v>0</v>
      </c>
      <c r="N371" s="233">
        <v>0</v>
      </c>
      <c r="O371" s="233">
        <v>0</v>
      </c>
      <c r="R371" s="233" t="s">
        <v>24</v>
      </c>
      <c r="S371" s="233" t="b">
        <v>0</v>
      </c>
      <c r="T371" s="237">
        <v>0.01</v>
      </c>
      <c r="U371" s="238">
        <v>7.5</v>
      </c>
      <c r="V371" s="237">
        <v>0.01</v>
      </c>
      <c r="W371" s="237">
        <v>0</v>
      </c>
      <c r="X371" s="233">
        <v>1000</v>
      </c>
      <c r="Z371" s="233">
        <v>10</v>
      </c>
      <c r="AB371" s="239">
        <v>50</v>
      </c>
      <c r="AD371" s="233">
        <v>10</v>
      </c>
      <c r="AF371" s="233">
        <v>2000</v>
      </c>
      <c r="AG371" s="233">
        <v>2</v>
      </c>
      <c r="AH371" s="233">
        <v>7.76</v>
      </c>
      <c r="AI371" s="233">
        <v>758</v>
      </c>
      <c r="AJ371" s="233">
        <v>0</v>
      </c>
      <c r="AK371" s="233">
        <v>264</v>
      </c>
      <c r="AM371" s="233" t="s">
        <v>2</v>
      </c>
      <c r="AO371" s="233">
        <v>50</v>
      </c>
      <c r="AW371" s="233" t="b">
        <v>0</v>
      </c>
      <c r="AZ371" s="233" t="s">
        <v>24</v>
      </c>
      <c r="BE371" s="246"/>
      <c r="BF371" s="119">
        <v>1</v>
      </c>
      <c r="BG371" s="119">
        <v>1</v>
      </c>
      <c r="BH371" s="119">
        <v>1</v>
      </c>
      <c r="BI371" s="119">
        <v>0.55000000000000004</v>
      </c>
      <c r="BJ371" s="119">
        <v>0</v>
      </c>
      <c r="BK371" s="119">
        <v>5.5</v>
      </c>
      <c r="BL371" s="119">
        <v>6</v>
      </c>
      <c r="BM371" s="40" t="s">
        <v>1</v>
      </c>
      <c r="BN371" s="243">
        <v>7</v>
      </c>
      <c r="BO371" s="242">
        <v>7.5</v>
      </c>
      <c r="BP371" s="58">
        <v>250</v>
      </c>
      <c r="BT371" s="59"/>
      <c r="BU371" s="59"/>
      <c r="BV371" s="59"/>
      <c r="BW371" s="59"/>
      <c r="BX371" s="59"/>
      <c r="BY371" s="59"/>
      <c r="BZ371" s="59"/>
      <c r="CA371" s="59"/>
      <c r="CB371" s="59"/>
      <c r="CC371" s="59"/>
      <c r="CD371" s="59"/>
      <c r="CE371" s="60"/>
      <c r="CF371" s="76" t="s">
        <v>90</v>
      </c>
      <c r="CR371" s="40">
        <v>0</v>
      </c>
      <c r="CS371" s="67">
        <v>0</v>
      </c>
      <c r="CT371" s="67">
        <v>0</v>
      </c>
      <c r="CU371" s="40">
        <v>0</v>
      </c>
      <c r="CV371" s="67">
        <v>0</v>
      </c>
      <c r="CW371" s="67">
        <v>0</v>
      </c>
      <c r="CX371" s="67">
        <v>0</v>
      </c>
      <c r="CY371" s="67">
        <v>0</v>
      </c>
      <c r="CZ371" s="67">
        <v>0</v>
      </c>
      <c r="DA371" s="67">
        <v>0</v>
      </c>
      <c r="DB371" s="67">
        <v>0</v>
      </c>
      <c r="DD371" s="229">
        <v>0</v>
      </c>
      <c r="DI371" s="40" t="s">
        <v>0</v>
      </c>
    </row>
    <row r="372" spans="1:113" s="119" customFormat="1" ht="15.75" customHeight="1" thickBot="1" x14ac:dyDescent="0.3">
      <c r="A372" s="233">
        <v>560840</v>
      </c>
      <c r="B372" s="233" t="s">
        <v>6</v>
      </c>
      <c r="C372" s="234" t="s">
        <v>849</v>
      </c>
      <c r="D372" s="233">
        <v>7</v>
      </c>
      <c r="E372" s="233">
        <v>0</v>
      </c>
      <c r="F372" s="233">
        <v>7</v>
      </c>
      <c r="G372" s="233">
        <v>129</v>
      </c>
      <c r="H372" s="233">
        <v>0</v>
      </c>
      <c r="I372" s="233">
        <v>25</v>
      </c>
      <c r="J372" s="235" t="s">
        <v>888</v>
      </c>
      <c r="K372" s="235" t="s">
        <v>889</v>
      </c>
      <c r="L372" s="236">
        <v>46037.341921296298</v>
      </c>
      <c r="M372" s="233">
        <v>0</v>
      </c>
      <c r="N372" s="233">
        <v>0</v>
      </c>
      <c r="O372" s="233">
        <v>0</v>
      </c>
      <c r="R372" s="233" t="s">
        <v>24</v>
      </c>
      <c r="S372" s="233" t="b">
        <v>0</v>
      </c>
      <c r="T372" s="237">
        <v>0.01</v>
      </c>
      <c r="U372" s="238">
        <v>7.5</v>
      </c>
      <c r="V372" s="237">
        <v>0.01</v>
      </c>
      <c r="W372" s="237">
        <v>0</v>
      </c>
      <c r="X372" s="233">
        <v>1000</v>
      </c>
      <c r="Z372" s="233">
        <v>10</v>
      </c>
      <c r="AB372" s="239">
        <v>50</v>
      </c>
      <c r="AD372" s="233">
        <v>10</v>
      </c>
      <c r="AF372" s="233">
        <v>2000</v>
      </c>
      <c r="AG372" s="233">
        <v>2</v>
      </c>
      <c r="AH372" s="233">
        <v>7.74</v>
      </c>
      <c r="AI372" s="233">
        <v>754</v>
      </c>
      <c r="AJ372" s="233">
        <v>0</v>
      </c>
      <c r="AK372" s="233">
        <v>263</v>
      </c>
      <c r="AM372" s="233" t="s">
        <v>2</v>
      </c>
      <c r="AO372" s="233">
        <v>50</v>
      </c>
      <c r="AW372" s="233" t="b">
        <v>0</v>
      </c>
      <c r="AZ372" s="233" t="s">
        <v>24</v>
      </c>
      <c r="BE372" s="246"/>
      <c r="BF372" s="119">
        <v>1</v>
      </c>
      <c r="BG372" s="119">
        <v>1</v>
      </c>
      <c r="BH372" s="119">
        <v>1</v>
      </c>
      <c r="BI372" s="119">
        <v>0.55000000000000004</v>
      </c>
      <c r="BJ372" s="119">
        <v>0</v>
      </c>
      <c r="BK372" s="119">
        <v>5.5</v>
      </c>
      <c r="BL372" s="119">
        <v>6</v>
      </c>
      <c r="BM372" s="40" t="s">
        <v>1</v>
      </c>
      <c r="BN372" s="243">
        <v>7</v>
      </c>
      <c r="BO372" s="242">
        <v>7.5</v>
      </c>
      <c r="BP372" s="58">
        <v>250</v>
      </c>
      <c r="BT372" s="59"/>
      <c r="BU372" s="59"/>
      <c r="BV372" s="59"/>
      <c r="BW372" s="59"/>
      <c r="BX372" s="59"/>
      <c r="BY372" s="59"/>
      <c r="BZ372" s="59"/>
      <c r="CA372" s="59"/>
      <c r="CB372" s="59"/>
      <c r="CC372" s="59"/>
      <c r="CD372" s="59"/>
      <c r="CE372" s="60"/>
      <c r="CF372" s="76" t="s">
        <v>90</v>
      </c>
      <c r="CR372" s="40">
        <v>0</v>
      </c>
      <c r="CS372" s="67">
        <v>0</v>
      </c>
      <c r="CT372" s="67">
        <v>0</v>
      </c>
      <c r="CU372" s="40">
        <v>0</v>
      </c>
      <c r="CV372" s="67">
        <v>0</v>
      </c>
      <c r="CW372" s="67">
        <v>0</v>
      </c>
      <c r="CX372" s="67">
        <v>0</v>
      </c>
      <c r="CY372" s="67">
        <v>0</v>
      </c>
      <c r="CZ372" s="67">
        <v>0</v>
      </c>
      <c r="DA372" s="67">
        <v>0</v>
      </c>
      <c r="DB372" s="67">
        <v>0</v>
      </c>
      <c r="DD372" s="229">
        <v>0</v>
      </c>
      <c r="DI372" s="40" t="s">
        <v>0</v>
      </c>
    </row>
    <row r="373" spans="1:113" s="119" customFormat="1" ht="15.75" customHeight="1" thickBot="1" x14ac:dyDescent="0.3">
      <c r="A373" s="233">
        <v>560839</v>
      </c>
      <c r="B373" s="233" t="s">
        <v>6</v>
      </c>
      <c r="C373" s="234" t="s">
        <v>849</v>
      </c>
      <c r="D373" s="233">
        <v>7</v>
      </c>
      <c r="E373" s="233">
        <v>0</v>
      </c>
      <c r="F373" s="233">
        <v>7</v>
      </c>
      <c r="G373" s="233">
        <v>128</v>
      </c>
      <c r="H373" s="233">
        <v>0</v>
      </c>
      <c r="I373" s="233">
        <v>25</v>
      </c>
      <c r="J373" s="235" t="s">
        <v>890</v>
      </c>
      <c r="K373" s="235" t="s">
        <v>891</v>
      </c>
      <c r="L373" s="236">
        <v>46037.341828703698</v>
      </c>
      <c r="M373" s="233">
        <v>0</v>
      </c>
      <c r="N373" s="233">
        <v>0</v>
      </c>
      <c r="O373" s="233">
        <v>0</v>
      </c>
      <c r="R373" s="233" t="s">
        <v>24</v>
      </c>
      <c r="S373" s="233" t="b">
        <v>0</v>
      </c>
      <c r="T373" s="237">
        <v>0.01</v>
      </c>
      <c r="U373" s="238">
        <v>7.5</v>
      </c>
      <c r="V373" s="237">
        <v>0.01</v>
      </c>
      <c r="W373" s="237">
        <v>0</v>
      </c>
      <c r="X373" s="233">
        <v>1000</v>
      </c>
      <c r="Z373" s="233">
        <v>10</v>
      </c>
      <c r="AB373" s="239">
        <v>50</v>
      </c>
      <c r="AD373" s="233">
        <v>10</v>
      </c>
      <c r="AF373" s="233">
        <v>2000</v>
      </c>
      <c r="AG373" s="233">
        <v>2</v>
      </c>
      <c r="AH373" s="233">
        <v>7.75</v>
      </c>
      <c r="AI373" s="233">
        <v>762</v>
      </c>
      <c r="AJ373" s="233">
        <v>0</v>
      </c>
      <c r="AK373" s="233">
        <v>265</v>
      </c>
      <c r="AM373" s="233" t="s">
        <v>2</v>
      </c>
      <c r="AO373" s="233">
        <v>50</v>
      </c>
      <c r="AW373" s="233" t="b">
        <v>0</v>
      </c>
      <c r="AZ373" s="233" t="s">
        <v>24</v>
      </c>
      <c r="BE373" s="246"/>
      <c r="BF373" s="119">
        <v>1</v>
      </c>
      <c r="BG373" s="119">
        <v>1</v>
      </c>
      <c r="BH373" s="119">
        <v>1</v>
      </c>
      <c r="BI373" s="119">
        <v>0.55000000000000004</v>
      </c>
      <c r="BJ373" s="119">
        <v>0</v>
      </c>
      <c r="BK373" s="119">
        <v>5.5</v>
      </c>
      <c r="BL373" s="119">
        <v>6</v>
      </c>
      <c r="BM373" s="40" t="s">
        <v>1</v>
      </c>
      <c r="BN373" s="243">
        <v>7</v>
      </c>
      <c r="BO373" s="242">
        <v>7.5</v>
      </c>
      <c r="BP373" s="58">
        <v>250</v>
      </c>
      <c r="BT373" s="59"/>
      <c r="BU373" s="59"/>
      <c r="BV373" s="59"/>
      <c r="BW373" s="59"/>
      <c r="BX373" s="59"/>
      <c r="BY373" s="59"/>
      <c r="BZ373" s="59"/>
      <c r="CA373" s="59"/>
      <c r="CB373" s="59"/>
      <c r="CC373" s="59"/>
      <c r="CD373" s="59"/>
      <c r="CE373" s="60"/>
      <c r="CF373" s="76" t="s">
        <v>90</v>
      </c>
      <c r="CR373" s="40">
        <v>0</v>
      </c>
      <c r="CS373" s="67">
        <v>0</v>
      </c>
      <c r="CT373" s="67">
        <v>0</v>
      </c>
      <c r="CU373" s="40">
        <v>0</v>
      </c>
      <c r="CV373" s="67">
        <v>0</v>
      </c>
      <c r="CW373" s="67">
        <v>0</v>
      </c>
      <c r="CX373" s="67">
        <v>0</v>
      </c>
      <c r="CY373" s="67">
        <v>0</v>
      </c>
      <c r="CZ373" s="67">
        <v>0</v>
      </c>
      <c r="DA373" s="67">
        <v>0</v>
      </c>
      <c r="DB373" s="67">
        <v>0</v>
      </c>
      <c r="DD373" s="229">
        <v>0</v>
      </c>
      <c r="DI373" s="40" t="s">
        <v>0</v>
      </c>
    </row>
    <row r="374" spans="1:113" s="119" customFormat="1" ht="15.75" customHeight="1" thickBot="1" x14ac:dyDescent="0.3">
      <c r="A374" s="233">
        <v>560838</v>
      </c>
      <c r="B374" s="233" t="s">
        <v>6</v>
      </c>
      <c r="C374" s="234" t="s">
        <v>849</v>
      </c>
      <c r="D374" s="233">
        <v>7</v>
      </c>
      <c r="E374" s="233">
        <v>0</v>
      </c>
      <c r="F374" s="233">
        <v>7</v>
      </c>
      <c r="G374" s="233">
        <v>127</v>
      </c>
      <c r="H374" s="233">
        <v>0</v>
      </c>
      <c r="I374" s="233">
        <v>25</v>
      </c>
      <c r="J374" s="235" t="s">
        <v>892</v>
      </c>
      <c r="K374" s="235" t="s">
        <v>893</v>
      </c>
      <c r="L374" s="236">
        <v>46037.341759259303</v>
      </c>
      <c r="M374" s="233">
        <v>0</v>
      </c>
      <c r="N374" s="233">
        <v>0</v>
      </c>
      <c r="O374" s="233">
        <v>0</v>
      </c>
      <c r="R374" s="233" t="s">
        <v>24</v>
      </c>
      <c r="S374" s="233" t="b">
        <v>0</v>
      </c>
      <c r="T374" s="237">
        <v>0.01</v>
      </c>
      <c r="U374" s="238">
        <v>7.5</v>
      </c>
      <c r="V374" s="237">
        <v>0.01</v>
      </c>
      <c r="W374" s="237">
        <v>0</v>
      </c>
      <c r="X374" s="233">
        <v>1000</v>
      </c>
      <c r="Z374" s="233">
        <v>10</v>
      </c>
      <c r="AB374" s="239">
        <v>50</v>
      </c>
      <c r="AD374" s="233">
        <v>10</v>
      </c>
      <c r="AF374" s="233">
        <v>2000</v>
      </c>
      <c r="AG374" s="233">
        <v>2</v>
      </c>
      <c r="AH374" s="233">
        <v>7.71</v>
      </c>
      <c r="AI374" s="233">
        <v>745</v>
      </c>
      <c r="AJ374" s="233">
        <v>0</v>
      </c>
      <c r="AK374" s="233">
        <v>259</v>
      </c>
      <c r="AM374" s="233" t="s">
        <v>2</v>
      </c>
      <c r="AO374" s="233">
        <v>50</v>
      </c>
      <c r="AW374" s="233" t="b">
        <v>0</v>
      </c>
      <c r="AZ374" s="233" t="s">
        <v>24</v>
      </c>
      <c r="BE374" s="246"/>
      <c r="BF374" s="119">
        <v>1</v>
      </c>
      <c r="BG374" s="119">
        <v>1</v>
      </c>
      <c r="BH374" s="119">
        <v>1</v>
      </c>
      <c r="BI374" s="119">
        <v>0.55000000000000004</v>
      </c>
      <c r="BJ374" s="119">
        <v>0</v>
      </c>
      <c r="BK374" s="119">
        <v>5.5</v>
      </c>
      <c r="BL374" s="119">
        <v>6</v>
      </c>
      <c r="BM374" s="40" t="s">
        <v>1</v>
      </c>
      <c r="BN374" s="243">
        <v>7</v>
      </c>
      <c r="BO374" s="242">
        <v>7.5</v>
      </c>
      <c r="BP374" s="58">
        <v>250</v>
      </c>
      <c r="BT374" s="59"/>
      <c r="BU374" s="59"/>
      <c r="BV374" s="59"/>
      <c r="BW374" s="59"/>
      <c r="BX374" s="59"/>
      <c r="BY374" s="59"/>
      <c r="BZ374" s="59"/>
      <c r="CA374" s="59"/>
      <c r="CB374" s="59"/>
      <c r="CC374" s="59"/>
      <c r="CD374" s="59"/>
      <c r="CE374" s="60"/>
      <c r="CF374" s="76" t="s">
        <v>90</v>
      </c>
      <c r="CR374" s="40">
        <v>0</v>
      </c>
      <c r="CS374" s="67">
        <v>0</v>
      </c>
      <c r="CT374" s="67">
        <v>0</v>
      </c>
      <c r="CU374" s="40">
        <v>0</v>
      </c>
      <c r="CV374" s="67">
        <v>0</v>
      </c>
      <c r="CW374" s="67">
        <v>0</v>
      </c>
      <c r="CX374" s="67">
        <v>0</v>
      </c>
      <c r="CY374" s="67">
        <v>0</v>
      </c>
      <c r="CZ374" s="67">
        <v>0</v>
      </c>
      <c r="DA374" s="67">
        <v>0</v>
      </c>
      <c r="DB374" s="67">
        <v>0</v>
      </c>
      <c r="DD374" s="229">
        <v>0</v>
      </c>
      <c r="DI374" s="40" t="s">
        <v>0</v>
      </c>
    </row>
    <row r="375" spans="1:113" s="119" customFormat="1" ht="15.75" customHeight="1" thickBot="1" x14ac:dyDescent="0.3">
      <c r="A375" s="233">
        <v>560837</v>
      </c>
      <c r="B375" s="233" t="s">
        <v>6</v>
      </c>
      <c r="C375" s="234" t="s">
        <v>849</v>
      </c>
      <c r="D375" s="233">
        <v>7</v>
      </c>
      <c r="E375" s="233">
        <v>0</v>
      </c>
      <c r="F375" s="233">
        <v>7</v>
      </c>
      <c r="G375" s="233">
        <v>126</v>
      </c>
      <c r="H375" s="233">
        <v>0</v>
      </c>
      <c r="I375" s="233">
        <v>25</v>
      </c>
      <c r="J375" s="235" t="s">
        <v>894</v>
      </c>
      <c r="K375" s="235" t="s">
        <v>895</v>
      </c>
      <c r="L375" s="236">
        <v>46037.341701388897</v>
      </c>
      <c r="M375" s="233">
        <v>0</v>
      </c>
      <c r="N375" s="233">
        <v>0</v>
      </c>
      <c r="O375" s="233">
        <v>0</v>
      </c>
      <c r="R375" s="233" t="s">
        <v>24</v>
      </c>
      <c r="S375" s="233" t="b">
        <v>0</v>
      </c>
      <c r="T375" s="237">
        <v>0.01</v>
      </c>
      <c r="U375" s="238">
        <v>7.5</v>
      </c>
      <c r="V375" s="237">
        <v>0.01</v>
      </c>
      <c r="W375" s="237">
        <v>0</v>
      </c>
      <c r="X375" s="233">
        <v>1000</v>
      </c>
      <c r="Z375" s="233">
        <v>10</v>
      </c>
      <c r="AB375" s="239">
        <v>50</v>
      </c>
      <c r="AD375" s="233">
        <v>10</v>
      </c>
      <c r="AF375" s="233">
        <v>2000</v>
      </c>
      <c r="AG375" s="233">
        <v>2</v>
      </c>
      <c r="AH375" s="233">
        <v>7.75</v>
      </c>
      <c r="AI375" s="233">
        <v>766</v>
      </c>
      <c r="AJ375" s="233">
        <v>0</v>
      </c>
      <c r="AK375" s="233">
        <v>266</v>
      </c>
      <c r="AM375" s="233" t="s">
        <v>2</v>
      </c>
      <c r="AO375" s="233">
        <v>50</v>
      </c>
      <c r="AW375" s="233" t="b">
        <v>0</v>
      </c>
      <c r="AZ375" s="233" t="s">
        <v>24</v>
      </c>
      <c r="BE375" s="246"/>
      <c r="BF375" s="119">
        <v>1</v>
      </c>
      <c r="BG375" s="119">
        <v>1</v>
      </c>
      <c r="BH375" s="119">
        <v>1</v>
      </c>
      <c r="BI375" s="119">
        <v>0.55000000000000004</v>
      </c>
      <c r="BJ375" s="119">
        <v>0</v>
      </c>
      <c r="BK375" s="119">
        <v>5.5</v>
      </c>
      <c r="BL375" s="119">
        <v>6</v>
      </c>
      <c r="BM375" s="40" t="s">
        <v>1</v>
      </c>
      <c r="BN375" s="243">
        <v>7</v>
      </c>
      <c r="BO375" s="242">
        <v>7.5</v>
      </c>
      <c r="BP375" s="58">
        <v>250</v>
      </c>
      <c r="BT375" s="59"/>
      <c r="BU375" s="59"/>
      <c r="BV375" s="59"/>
      <c r="BW375" s="59"/>
      <c r="BX375" s="59"/>
      <c r="BY375" s="59"/>
      <c r="BZ375" s="59"/>
      <c r="CA375" s="59"/>
      <c r="CB375" s="59"/>
      <c r="CC375" s="59"/>
      <c r="CD375" s="59"/>
      <c r="CE375" s="60"/>
      <c r="CF375" s="76" t="s">
        <v>90</v>
      </c>
      <c r="CR375" s="40">
        <v>0</v>
      </c>
      <c r="CS375" s="67">
        <v>0</v>
      </c>
      <c r="CT375" s="67">
        <v>0</v>
      </c>
      <c r="CU375" s="40">
        <v>0</v>
      </c>
      <c r="CV375" s="67">
        <v>0</v>
      </c>
      <c r="CW375" s="67">
        <v>0</v>
      </c>
      <c r="CX375" s="67">
        <v>0</v>
      </c>
      <c r="CY375" s="67">
        <v>0</v>
      </c>
      <c r="CZ375" s="67">
        <v>0</v>
      </c>
      <c r="DA375" s="67">
        <v>0</v>
      </c>
      <c r="DB375" s="67">
        <v>0</v>
      </c>
      <c r="DD375" s="229">
        <v>0</v>
      </c>
      <c r="DI375" s="40" t="s">
        <v>0</v>
      </c>
    </row>
    <row r="376" spans="1:113" s="119" customFormat="1" ht="15.75" customHeight="1" thickBot="1" x14ac:dyDescent="0.3">
      <c r="A376" s="233">
        <v>560836</v>
      </c>
      <c r="B376" s="233" t="s">
        <v>6</v>
      </c>
      <c r="C376" s="234" t="s">
        <v>849</v>
      </c>
      <c r="D376" s="233">
        <v>7</v>
      </c>
      <c r="E376" s="233">
        <v>0</v>
      </c>
      <c r="F376" s="233">
        <v>7</v>
      </c>
      <c r="G376" s="233">
        <v>125</v>
      </c>
      <c r="H376" s="233">
        <v>0</v>
      </c>
      <c r="I376" s="233">
        <v>25</v>
      </c>
      <c r="J376" s="235" t="s">
        <v>896</v>
      </c>
      <c r="K376" s="235" t="s">
        <v>897</v>
      </c>
      <c r="L376" s="236">
        <v>46037.3416319444</v>
      </c>
      <c r="M376" s="233">
        <v>0</v>
      </c>
      <c r="N376" s="233">
        <v>0</v>
      </c>
      <c r="O376" s="233">
        <v>0</v>
      </c>
      <c r="R376" s="233" t="s">
        <v>24</v>
      </c>
      <c r="S376" s="233" t="b">
        <v>0</v>
      </c>
      <c r="T376" s="237">
        <v>0.01</v>
      </c>
      <c r="U376" s="238">
        <v>7.5</v>
      </c>
      <c r="V376" s="237">
        <v>0.01</v>
      </c>
      <c r="W376" s="237">
        <v>0</v>
      </c>
      <c r="X376" s="233">
        <v>1000</v>
      </c>
      <c r="Z376" s="233">
        <v>10</v>
      </c>
      <c r="AB376" s="239">
        <v>50</v>
      </c>
      <c r="AD376" s="233">
        <v>10</v>
      </c>
      <c r="AF376" s="233">
        <v>2000</v>
      </c>
      <c r="AG376" s="233">
        <v>2</v>
      </c>
      <c r="AH376" s="233">
        <v>7.74</v>
      </c>
      <c r="AI376" s="233">
        <v>779</v>
      </c>
      <c r="AJ376" s="233">
        <v>0</v>
      </c>
      <c r="AK376" s="233">
        <v>271</v>
      </c>
      <c r="AM376" s="233" t="s">
        <v>2</v>
      </c>
      <c r="AO376" s="233">
        <v>50</v>
      </c>
      <c r="AW376" s="233" t="b">
        <v>0</v>
      </c>
      <c r="AZ376" s="233" t="s">
        <v>24</v>
      </c>
      <c r="BE376" s="246"/>
      <c r="BF376" s="119">
        <v>1</v>
      </c>
      <c r="BG376" s="119">
        <v>1</v>
      </c>
      <c r="BH376" s="119">
        <v>1</v>
      </c>
      <c r="BI376" s="119">
        <v>0.55000000000000004</v>
      </c>
      <c r="BJ376" s="119">
        <v>0</v>
      </c>
      <c r="BK376" s="119">
        <v>5.5</v>
      </c>
      <c r="BL376" s="119">
        <v>6</v>
      </c>
      <c r="BM376" s="40" t="s">
        <v>1</v>
      </c>
      <c r="BN376" s="243">
        <v>7</v>
      </c>
      <c r="BO376" s="242">
        <v>7.5</v>
      </c>
      <c r="BP376" s="58">
        <v>250</v>
      </c>
      <c r="BT376" s="59"/>
      <c r="BU376" s="59"/>
      <c r="BV376" s="59"/>
      <c r="BW376" s="59"/>
      <c r="BX376" s="59"/>
      <c r="BY376" s="59"/>
      <c r="BZ376" s="59"/>
      <c r="CA376" s="59"/>
      <c r="CB376" s="59"/>
      <c r="CC376" s="59"/>
      <c r="CD376" s="59"/>
      <c r="CE376" s="60"/>
      <c r="CF376" s="76" t="s">
        <v>90</v>
      </c>
      <c r="CR376" s="40">
        <v>0</v>
      </c>
      <c r="CS376" s="67">
        <v>0</v>
      </c>
      <c r="CT376" s="67">
        <v>0</v>
      </c>
      <c r="CU376" s="40">
        <v>0</v>
      </c>
      <c r="CV376" s="67">
        <v>0</v>
      </c>
      <c r="CW376" s="67">
        <v>0</v>
      </c>
      <c r="CX376" s="67">
        <v>0</v>
      </c>
      <c r="CY376" s="67">
        <v>0</v>
      </c>
      <c r="CZ376" s="67">
        <v>0</v>
      </c>
      <c r="DA376" s="67">
        <v>0</v>
      </c>
      <c r="DB376" s="67">
        <v>0</v>
      </c>
      <c r="DD376" s="229">
        <v>0</v>
      </c>
      <c r="DI376" s="40" t="s">
        <v>0</v>
      </c>
    </row>
    <row r="377" spans="1:113" s="119" customFormat="1" ht="15.75" customHeight="1" thickBot="1" x14ac:dyDescent="0.3">
      <c r="A377" s="233">
        <v>560823</v>
      </c>
      <c r="B377" s="233" t="s">
        <v>6</v>
      </c>
      <c r="C377" s="234" t="s">
        <v>840</v>
      </c>
      <c r="D377" s="233">
        <v>6</v>
      </c>
      <c r="E377" s="233">
        <v>0</v>
      </c>
      <c r="F377" s="233">
        <v>6</v>
      </c>
      <c r="G377" s="233">
        <v>112</v>
      </c>
      <c r="H377" s="233">
        <v>0</v>
      </c>
      <c r="I377" s="233">
        <v>25</v>
      </c>
      <c r="J377" s="235" t="s">
        <v>898</v>
      </c>
      <c r="K377" s="235" t="s">
        <v>899</v>
      </c>
      <c r="L377" s="236">
        <v>46037.339375000003</v>
      </c>
      <c r="M377" s="233">
        <v>0</v>
      </c>
      <c r="N377" s="233">
        <v>0</v>
      </c>
      <c r="O377" s="233">
        <v>0</v>
      </c>
      <c r="R377" s="233" t="s">
        <v>24</v>
      </c>
      <c r="S377" s="233" t="b">
        <v>0</v>
      </c>
      <c r="T377" s="237">
        <v>0.01</v>
      </c>
      <c r="U377" s="238">
        <v>6</v>
      </c>
      <c r="V377" s="237">
        <v>0.01</v>
      </c>
      <c r="W377" s="237">
        <v>0</v>
      </c>
      <c r="X377" s="233">
        <v>1000</v>
      </c>
      <c r="Z377" s="233">
        <v>10</v>
      </c>
      <c r="AB377" s="239">
        <v>50</v>
      </c>
      <c r="AD377" s="233">
        <v>10</v>
      </c>
      <c r="AF377" s="233">
        <v>2000</v>
      </c>
      <c r="AG377" s="233">
        <v>2</v>
      </c>
      <c r="AH377" s="233">
        <v>6.18</v>
      </c>
      <c r="AI377" s="233">
        <v>605</v>
      </c>
      <c r="AJ377" s="233">
        <v>0</v>
      </c>
      <c r="AK377" s="233">
        <v>168</v>
      </c>
      <c r="AM377" s="233" t="s">
        <v>2</v>
      </c>
      <c r="AO377" s="233">
        <v>50</v>
      </c>
      <c r="AW377" s="233" t="b">
        <v>0</v>
      </c>
      <c r="AZ377" s="233" t="s">
        <v>24</v>
      </c>
      <c r="BE377" s="246"/>
      <c r="BF377" s="119">
        <v>1</v>
      </c>
      <c r="BG377" s="119">
        <v>1</v>
      </c>
      <c r="BH377" s="119">
        <v>0.55000000000000004</v>
      </c>
      <c r="BI377" s="119">
        <v>0</v>
      </c>
      <c r="BJ377" s="119">
        <v>0</v>
      </c>
      <c r="BK377" s="119">
        <v>5.5</v>
      </c>
      <c r="BL377" s="119">
        <v>6</v>
      </c>
      <c r="BM377" s="40" t="s">
        <v>1</v>
      </c>
      <c r="BN377" s="243">
        <v>6</v>
      </c>
      <c r="BO377" s="242">
        <v>6</v>
      </c>
      <c r="BP377" s="58">
        <v>250</v>
      </c>
      <c r="BT377" s="59"/>
      <c r="BU377" s="59"/>
      <c r="BV377" s="59"/>
      <c r="BW377" s="59"/>
      <c r="BX377" s="59"/>
      <c r="BY377" s="59"/>
      <c r="BZ377" s="59"/>
      <c r="CA377" s="59"/>
      <c r="CB377" s="59"/>
      <c r="CC377" s="59"/>
      <c r="CD377" s="59"/>
      <c r="CE377" s="60"/>
      <c r="CF377" s="76" t="s">
        <v>90</v>
      </c>
      <c r="CR377" s="40">
        <v>0</v>
      </c>
      <c r="CS377" s="67">
        <v>0</v>
      </c>
      <c r="CT377" s="67">
        <v>0</v>
      </c>
      <c r="CU377" s="40">
        <v>0</v>
      </c>
      <c r="CV377" s="67">
        <v>0</v>
      </c>
      <c r="CW377" s="67">
        <v>0</v>
      </c>
      <c r="CX377" s="67">
        <v>0</v>
      </c>
      <c r="CY377" s="67">
        <v>0</v>
      </c>
      <c r="CZ377" s="67">
        <v>0</v>
      </c>
      <c r="DA377" s="67">
        <v>0</v>
      </c>
      <c r="DB377" s="67">
        <v>0</v>
      </c>
      <c r="DD377" s="229">
        <v>0</v>
      </c>
      <c r="DI377" s="40" t="s">
        <v>0</v>
      </c>
    </row>
    <row r="378" spans="1:113" s="119" customFormat="1" ht="15.75" customHeight="1" thickBot="1" x14ac:dyDescent="0.3">
      <c r="A378" s="233">
        <v>560822</v>
      </c>
      <c r="B378" s="233" t="s">
        <v>6</v>
      </c>
      <c r="C378" s="234" t="s">
        <v>840</v>
      </c>
      <c r="D378" s="233">
        <v>6</v>
      </c>
      <c r="E378" s="233">
        <v>0</v>
      </c>
      <c r="F378" s="233">
        <v>6</v>
      </c>
      <c r="G378" s="233">
        <v>111</v>
      </c>
      <c r="H378" s="233">
        <v>0</v>
      </c>
      <c r="I378" s="233">
        <v>25</v>
      </c>
      <c r="J378" s="235" t="s">
        <v>900</v>
      </c>
      <c r="K378" s="235" t="s">
        <v>901</v>
      </c>
      <c r="L378" s="236">
        <v>46037.339293981502</v>
      </c>
      <c r="M378" s="233">
        <v>0</v>
      </c>
      <c r="N378" s="233">
        <v>0</v>
      </c>
      <c r="O378" s="233">
        <v>0</v>
      </c>
      <c r="R378" s="233" t="s">
        <v>24</v>
      </c>
      <c r="S378" s="233" t="b">
        <v>0</v>
      </c>
      <c r="T378" s="237">
        <v>0.01</v>
      </c>
      <c r="U378" s="238">
        <v>6</v>
      </c>
      <c r="V378" s="237">
        <v>0.01</v>
      </c>
      <c r="W378" s="237">
        <v>0</v>
      </c>
      <c r="X378" s="233">
        <v>1000</v>
      </c>
      <c r="Z378" s="233">
        <v>10</v>
      </c>
      <c r="AB378" s="239">
        <v>50</v>
      </c>
      <c r="AD378" s="233">
        <v>10</v>
      </c>
      <c r="AF378" s="233">
        <v>2000</v>
      </c>
      <c r="AG378" s="233">
        <v>2</v>
      </c>
      <c r="AH378" s="233">
        <v>6.18</v>
      </c>
      <c r="AI378" s="233">
        <v>605</v>
      </c>
      <c r="AJ378" s="233">
        <v>0</v>
      </c>
      <c r="AK378" s="233">
        <v>167</v>
      </c>
      <c r="AM378" s="233" t="s">
        <v>2</v>
      </c>
      <c r="AO378" s="233">
        <v>50</v>
      </c>
      <c r="AW378" s="233" t="b">
        <v>0</v>
      </c>
      <c r="AZ378" s="233" t="s">
        <v>24</v>
      </c>
      <c r="BE378" s="246"/>
      <c r="BF378" s="119">
        <v>1</v>
      </c>
      <c r="BG378" s="119">
        <v>1</v>
      </c>
      <c r="BH378" s="119">
        <v>0.55000000000000004</v>
      </c>
      <c r="BI378" s="119">
        <v>0</v>
      </c>
      <c r="BJ378" s="119">
        <v>0</v>
      </c>
      <c r="BK378" s="119">
        <v>5.5</v>
      </c>
      <c r="BL378" s="119">
        <v>6</v>
      </c>
      <c r="BM378" s="40" t="s">
        <v>1</v>
      </c>
      <c r="BN378" s="243">
        <v>6</v>
      </c>
      <c r="BO378" s="242">
        <v>6</v>
      </c>
      <c r="BP378" s="58">
        <v>250</v>
      </c>
      <c r="BT378" s="59"/>
      <c r="BU378" s="59"/>
      <c r="BV378" s="59"/>
      <c r="BW378" s="59"/>
      <c r="BX378" s="59"/>
      <c r="BY378" s="59"/>
      <c r="BZ378" s="59"/>
      <c r="CA378" s="59"/>
      <c r="CB378" s="59"/>
      <c r="CC378" s="59"/>
      <c r="CD378" s="59"/>
      <c r="CE378" s="60"/>
      <c r="CF378" s="76" t="s">
        <v>90</v>
      </c>
      <c r="CR378" s="40">
        <v>0</v>
      </c>
      <c r="CS378" s="67">
        <v>0</v>
      </c>
      <c r="CT378" s="67">
        <v>0</v>
      </c>
      <c r="CU378" s="40">
        <v>0</v>
      </c>
      <c r="CV378" s="67">
        <v>0</v>
      </c>
      <c r="CW378" s="67">
        <v>0</v>
      </c>
      <c r="CX378" s="67">
        <v>0</v>
      </c>
      <c r="CY378" s="67">
        <v>0</v>
      </c>
      <c r="CZ378" s="67">
        <v>0</v>
      </c>
      <c r="DA378" s="67">
        <v>0</v>
      </c>
      <c r="DB378" s="67">
        <v>0</v>
      </c>
      <c r="DD378" s="229">
        <v>0</v>
      </c>
      <c r="DI378" s="40" t="s">
        <v>0</v>
      </c>
    </row>
    <row r="379" spans="1:113" s="119" customFormat="1" ht="15.75" customHeight="1" thickBot="1" x14ac:dyDescent="0.3">
      <c r="A379" s="233">
        <v>560821</v>
      </c>
      <c r="B379" s="233" t="s">
        <v>6</v>
      </c>
      <c r="C379" s="234" t="s">
        <v>840</v>
      </c>
      <c r="D379" s="233">
        <v>6</v>
      </c>
      <c r="E379" s="233">
        <v>0</v>
      </c>
      <c r="F379" s="233">
        <v>6</v>
      </c>
      <c r="G379" s="233">
        <v>110</v>
      </c>
      <c r="H379" s="233">
        <v>0</v>
      </c>
      <c r="I379" s="233">
        <v>25</v>
      </c>
      <c r="J379" s="235" t="s">
        <v>902</v>
      </c>
      <c r="K379" s="235" t="s">
        <v>903</v>
      </c>
      <c r="L379" s="236">
        <v>46037.339236111096</v>
      </c>
      <c r="M379" s="233">
        <v>0</v>
      </c>
      <c r="N379" s="233">
        <v>0</v>
      </c>
      <c r="O379" s="233">
        <v>0</v>
      </c>
      <c r="R379" s="233" t="s">
        <v>24</v>
      </c>
      <c r="S379" s="233" t="b">
        <v>0</v>
      </c>
      <c r="T379" s="237">
        <v>0.01</v>
      </c>
      <c r="U379" s="238">
        <v>6</v>
      </c>
      <c r="V379" s="237">
        <v>0.01</v>
      </c>
      <c r="W379" s="237">
        <v>0</v>
      </c>
      <c r="X379" s="233">
        <v>1000</v>
      </c>
      <c r="Z379" s="233">
        <v>10</v>
      </c>
      <c r="AB379" s="239">
        <v>50</v>
      </c>
      <c r="AD379" s="233">
        <v>10</v>
      </c>
      <c r="AF379" s="233">
        <v>2000</v>
      </c>
      <c r="AG379" s="233">
        <v>2</v>
      </c>
      <c r="AH379" s="233">
        <v>6.2</v>
      </c>
      <c r="AI379" s="233">
        <v>610</v>
      </c>
      <c r="AJ379" s="233">
        <v>0</v>
      </c>
      <c r="AK379" s="233">
        <v>169</v>
      </c>
      <c r="AM379" s="233" t="s">
        <v>2</v>
      </c>
      <c r="AO379" s="233">
        <v>50</v>
      </c>
      <c r="AW379" s="233" t="b">
        <v>0</v>
      </c>
      <c r="AZ379" s="233" t="s">
        <v>24</v>
      </c>
      <c r="BE379" s="246"/>
      <c r="BF379" s="119">
        <v>1</v>
      </c>
      <c r="BG379" s="119">
        <v>1</v>
      </c>
      <c r="BH379" s="119">
        <v>0.55000000000000004</v>
      </c>
      <c r="BI379" s="119">
        <v>0</v>
      </c>
      <c r="BJ379" s="119">
        <v>0</v>
      </c>
      <c r="BK379" s="119">
        <v>5.5</v>
      </c>
      <c r="BL379" s="119">
        <v>6</v>
      </c>
      <c r="BM379" s="40" t="s">
        <v>1</v>
      </c>
      <c r="BN379" s="243">
        <v>6</v>
      </c>
      <c r="BO379" s="242">
        <v>6</v>
      </c>
      <c r="BP379" s="58">
        <v>250</v>
      </c>
      <c r="BT379" s="59"/>
      <c r="BU379" s="59"/>
      <c r="BV379" s="59"/>
      <c r="BW379" s="59"/>
      <c r="BX379" s="59"/>
      <c r="BY379" s="59"/>
      <c r="BZ379" s="59"/>
      <c r="CA379" s="59"/>
      <c r="CB379" s="59"/>
      <c r="CC379" s="59"/>
      <c r="CD379" s="59"/>
      <c r="CE379" s="60"/>
      <c r="CF379" s="76" t="s">
        <v>90</v>
      </c>
      <c r="CR379" s="40">
        <v>0</v>
      </c>
      <c r="CS379" s="67">
        <v>0</v>
      </c>
      <c r="CT379" s="67">
        <v>0</v>
      </c>
      <c r="CU379" s="40">
        <v>0</v>
      </c>
      <c r="CV379" s="67">
        <v>0</v>
      </c>
      <c r="CW379" s="67">
        <v>0</v>
      </c>
      <c r="CX379" s="67">
        <v>0</v>
      </c>
      <c r="CY379" s="67">
        <v>0</v>
      </c>
      <c r="CZ379" s="67">
        <v>0</v>
      </c>
      <c r="DA379" s="67">
        <v>0</v>
      </c>
      <c r="DB379" s="67">
        <v>0</v>
      </c>
      <c r="DD379" s="229">
        <v>0</v>
      </c>
      <c r="DI379" s="40" t="s">
        <v>0</v>
      </c>
    </row>
    <row r="380" spans="1:113" s="119" customFormat="1" ht="15.75" customHeight="1" thickBot="1" x14ac:dyDescent="0.3">
      <c r="A380" s="233">
        <v>560820</v>
      </c>
      <c r="B380" s="233" t="s">
        <v>6</v>
      </c>
      <c r="C380" s="234" t="s">
        <v>840</v>
      </c>
      <c r="D380" s="233">
        <v>6</v>
      </c>
      <c r="E380" s="233">
        <v>0</v>
      </c>
      <c r="F380" s="233">
        <v>6</v>
      </c>
      <c r="G380" s="233">
        <v>109</v>
      </c>
      <c r="H380" s="233">
        <v>0</v>
      </c>
      <c r="I380" s="233">
        <v>25</v>
      </c>
      <c r="J380" s="235" t="s">
        <v>904</v>
      </c>
      <c r="K380" s="235" t="s">
        <v>905</v>
      </c>
      <c r="L380" s="236">
        <v>46037.339166666701</v>
      </c>
      <c r="M380" s="233">
        <v>0</v>
      </c>
      <c r="N380" s="233">
        <v>0</v>
      </c>
      <c r="O380" s="233">
        <v>0</v>
      </c>
      <c r="R380" s="233" t="s">
        <v>24</v>
      </c>
      <c r="S380" s="233" t="b">
        <v>0</v>
      </c>
      <c r="T380" s="237">
        <v>0.01</v>
      </c>
      <c r="U380" s="238">
        <v>6</v>
      </c>
      <c r="V380" s="237">
        <v>0.01</v>
      </c>
      <c r="W380" s="237">
        <v>0</v>
      </c>
      <c r="X380" s="233">
        <v>1000</v>
      </c>
      <c r="Z380" s="233">
        <v>10</v>
      </c>
      <c r="AB380" s="239">
        <v>50</v>
      </c>
      <c r="AD380" s="233">
        <v>10</v>
      </c>
      <c r="AF380" s="233">
        <v>2000</v>
      </c>
      <c r="AG380" s="233">
        <v>2</v>
      </c>
      <c r="AH380" s="233">
        <v>6.18</v>
      </c>
      <c r="AI380" s="233">
        <v>601</v>
      </c>
      <c r="AJ380" s="233">
        <v>0</v>
      </c>
      <c r="AK380" s="233">
        <v>166</v>
      </c>
      <c r="AM380" s="233" t="s">
        <v>2</v>
      </c>
      <c r="AO380" s="233">
        <v>50</v>
      </c>
      <c r="AW380" s="233" t="b">
        <v>0</v>
      </c>
      <c r="AZ380" s="233" t="s">
        <v>24</v>
      </c>
      <c r="BE380" s="246"/>
      <c r="BF380" s="119">
        <v>1</v>
      </c>
      <c r="BG380" s="119">
        <v>1</v>
      </c>
      <c r="BH380" s="119">
        <v>0.55000000000000004</v>
      </c>
      <c r="BI380" s="119">
        <v>0</v>
      </c>
      <c r="BJ380" s="119">
        <v>0</v>
      </c>
      <c r="BK380" s="119">
        <v>5.5</v>
      </c>
      <c r="BL380" s="119">
        <v>6</v>
      </c>
      <c r="BM380" s="40" t="s">
        <v>1</v>
      </c>
      <c r="BN380" s="243">
        <v>6</v>
      </c>
      <c r="BO380" s="242">
        <v>6</v>
      </c>
      <c r="BP380" s="58">
        <v>250</v>
      </c>
      <c r="BT380" s="59"/>
      <c r="BU380" s="59"/>
      <c r="BV380" s="59"/>
      <c r="BW380" s="59"/>
      <c r="BX380" s="59"/>
      <c r="BY380" s="59"/>
      <c r="BZ380" s="59"/>
      <c r="CA380" s="59"/>
      <c r="CB380" s="59"/>
      <c r="CC380" s="59"/>
      <c r="CD380" s="59"/>
      <c r="CE380" s="60"/>
      <c r="CF380" s="76" t="s">
        <v>90</v>
      </c>
      <c r="CR380" s="40">
        <v>0</v>
      </c>
      <c r="CS380" s="67">
        <v>0</v>
      </c>
      <c r="CT380" s="67">
        <v>0</v>
      </c>
      <c r="CU380" s="40">
        <v>0</v>
      </c>
      <c r="CV380" s="67">
        <v>0</v>
      </c>
      <c r="CW380" s="67">
        <v>0</v>
      </c>
      <c r="CX380" s="67">
        <v>0</v>
      </c>
      <c r="CY380" s="67">
        <v>0</v>
      </c>
      <c r="CZ380" s="67">
        <v>0</v>
      </c>
      <c r="DA380" s="67">
        <v>0</v>
      </c>
      <c r="DB380" s="67">
        <v>0</v>
      </c>
      <c r="DD380" s="229">
        <v>0</v>
      </c>
      <c r="DI380" s="40" t="s">
        <v>0</v>
      </c>
    </row>
    <row r="381" spans="1:113" s="119" customFormat="1" ht="15.75" customHeight="1" thickBot="1" x14ac:dyDescent="0.3">
      <c r="A381" s="233">
        <v>560819</v>
      </c>
      <c r="B381" s="233" t="s">
        <v>6</v>
      </c>
      <c r="C381" s="234" t="s">
        <v>840</v>
      </c>
      <c r="D381" s="233">
        <v>6</v>
      </c>
      <c r="E381" s="233">
        <v>0</v>
      </c>
      <c r="F381" s="233">
        <v>6</v>
      </c>
      <c r="G381" s="233">
        <v>108</v>
      </c>
      <c r="H381" s="233">
        <v>0</v>
      </c>
      <c r="I381" s="233">
        <v>25</v>
      </c>
      <c r="J381" s="235" t="s">
        <v>906</v>
      </c>
      <c r="K381" s="235" t="s">
        <v>907</v>
      </c>
      <c r="L381" s="236">
        <v>46037.339097222197</v>
      </c>
      <c r="M381" s="233">
        <v>0</v>
      </c>
      <c r="N381" s="233">
        <v>0</v>
      </c>
      <c r="O381" s="233">
        <v>0</v>
      </c>
      <c r="R381" s="233" t="s">
        <v>24</v>
      </c>
      <c r="S381" s="233" t="b">
        <v>0</v>
      </c>
      <c r="T381" s="237">
        <v>0.01</v>
      </c>
      <c r="U381" s="238">
        <v>6</v>
      </c>
      <c r="V381" s="237">
        <v>0.01</v>
      </c>
      <c r="W381" s="237">
        <v>0</v>
      </c>
      <c r="X381" s="233">
        <v>1000</v>
      </c>
      <c r="Z381" s="233">
        <v>10</v>
      </c>
      <c r="AB381" s="239">
        <v>50</v>
      </c>
      <c r="AD381" s="233">
        <v>10</v>
      </c>
      <c r="AF381" s="233">
        <v>2000</v>
      </c>
      <c r="AG381" s="233">
        <v>2</v>
      </c>
      <c r="AH381" s="233">
        <v>6.18</v>
      </c>
      <c r="AI381" s="233">
        <v>605</v>
      </c>
      <c r="AJ381" s="233">
        <v>0</v>
      </c>
      <c r="AK381" s="233">
        <v>167</v>
      </c>
      <c r="AM381" s="233" t="s">
        <v>2</v>
      </c>
      <c r="AO381" s="233">
        <v>50</v>
      </c>
      <c r="AW381" s="233" t="b">
        <v>0</v>
      </c>
      <c r="AZ381" s="233" t="s">
        <v>24</v>
      </c>
      <c r="BE381" s="246"/>
      <c r="BF381" s="119">
        <v>1</v>
      </c>
      <c r="BG381" s="119">
        <v>1</v>
      </c>
      <c r="BH381" s="119">
        <v>0.55000000000000004</v>
      </c>
      <c r="BI381" s="119">
        <v>0</v>
      </c>
      <c r="BJ381" s="119">
        <v>0</v>
      </c>
      <c r="BK381" s="119">
        <v>5.5</v>
      </c>
      <c r="BL381" s="119">
        <v>6</v>
      </c>
      <c r="BM381" s="40" t="s">
        <v>1</v>
      </c>
      <c r="BN381" s="243">
        <v>6</v>
      </c>
      <c r="BO381" s="242">
        <v>6</v>
      </c>
      <c r="BP381" s="58">
        <v>250</v>
      </c>
      <c r="BT381" s="59"/>
      <c r="BU381" s="59"/>
      <c r="BV381" s="59"/>
      <c r="BW381" s="59"/>
      <c r="BX381" s="59"/>
      <c r="BY381" s="59"/>
      <c r="BZ381" s="59"/>
      <c r="CA381" s="59"/>
      <c r="CB381" s="59"/>
      <c r="CC381" s="59"/>
      <c r="CD381" s="59"/>
      <c r="CE381" s="60"/>
      <c r="CF381" s="76" t="s">
        <v>90</v>
      </c>
      <c r="CR381" s="40">
        <v>0</v>
      </c>
      <c r="CS381" s="67">
        <v>0</v>
      </c>
      <c r="CT381" s="67">
        <v>0</v>
      </c>
      <c r="CU381" s="40">
        <v>0</v>
      </c>
      <c r="CV381" s="67">
        <v>0</v>
      </c>
      <c r="CW381" s="67">
        <v>0</v>
      </c>
      <c r="CX381" s="67">
        <v>0</v>
      </c>
      <c r="CY381" s="67">
        <v>0</v>
      </c>
      <c r="CZ381" s="67">
        <v>0</v>
      </c>
      <c r="DA381" s="67">
        <v>0</v>
      </c>
      <c r="DB381" s="67">
        <v>0</v>
      </c>
      <c r="DD381" s="229">
        <v>0</v>
      </c>
      <c r="DI381" s="40" t="s">
        <v>0</v>
      </c>
    </row>
    <row r="382" spans="1:113" s="119" customFormat="1" ht="15.75" customHeight="1" thickBot="1" x14ac:dyDescent="0.3">
      <c r="A382" s="233">
        <v>560818</v>
      </c>
      <c r="B382" s="233" t="s">
        <v>6</v>
      </c>
      <c r="C382" s="234" t="s">
        <v>840</v>
      </c>
      <c r="D382" s="233">
        <v>6</v>
      </c>
      <c r="E382" s="233">
        <v>0</v>
      </c>
      <c r="F382" s="233">
        <v>6</v>
      </c>
      <c r="G382" s="233">
        <v>107</v>
      </c>
      <c r="H382" s="233">
        <v>0</v>
      </c>
      <c r="I382" s="233">
        <v>25</v>
      </c>
      <c r="J382" s="235" t="s">
        <v>908</v>
      </c>
      <c r="K382" s="235" t="s">
        <v>909</v>
      </c>
      <c r="L382" s="236">
        <v>46037.339027777802</v>
      </c>
      <c r="M382" s="233">
        <v>0</v>
      </c>
      <c r="N382" s="233">
        <v>0</v>
      </c>
      <c r="O382" s="233">
        <v>0</v>
      </c>
      <c r="R382" s="233" t="s">
        <v>24</v>
      </c>
      <c r="S382" s="233" t="b">
        <v>0</v>
      </c>
      <c r="T382" s="237">
        <v>0.01</v>
      </c>
      <c r="U382" s="238">
        <v>6</v>
      </c>
      <c r="V382" s="237">
        <v>0.01</v>
      </c>
      <c r="W382" s="237">
        <v>0</v>
      </c>
      <c r="X382" s="233">
        <v>1000</v>
      </c>
      <c r="Z382" s="233">
        <v>10</v>
      </c>
      <c r="AB382" s="239">
        <v>50</v>
      </c>
      <c r="AD382" s="233">
        <v>10</v>
      </c>
      <c r="AF382" s="233">
        <v>2000</v>
      </c>
      <c r="AG382" s="233">
        <v>2</v>
      </c>
      <c r="AH382" s="233">
        <v>6.18</v>
      </c>
      <c r="AI382" s="233">
        <v>601</v>
      </c>
      <c r="AJ382" s="233">
        <v>0</v>
      </c>
      <c r="AK382" s="233">
        <v>166</v>
      </c>
      <c r="AM382" s="233" t="s">
        <v>2</v>
      </c>
      <c r="AO382" s="233">
        <v>50</v>
      </c>
      <c r="AW382" s="233" t="b">
        <v>0</v>
      </c>
      <c r="AZ382" s="233" t="s">
        <v>24</v>
      </c>
      <c r="BE382" s="246"/>
      <c r="BF382" s="119">
        <v>1</v>
      </c>
      <c r="BG382" s="119">
        <v>1</v>
      </c>
      <c r="BH382" s="119">
        <v>0.55000000000000004</v>
      </c>
      <c r="BI382" s="119">
        <v>0</v>
      </c>
      <c r="BJ382" s="119">
        <v>0</v>
      </c>
      <c r="BK382" s="119">
        <v>5.5</v>
      </c>
      <c r="BL382" s="119">
        <v>6</v>
      </c>
      <c r="BM382" s="40" t="s">
        <v>1</v>
      </c>
      <c r="BN382" s="243">
        <v>6</v>
      </c>
      <c r="BO382" s="242">
        <v>6</v>
      </c>
      <c r="BP382" s="58">
        <v>250</v>
      </c>
      <c r="BT382" s="59"/>
      <c r="BU382" s="59"/>
      <c r="BV382" s="59"/>
      <c r="BW382" s="59"/>
      <c r="BX382" s="59"/>
      <c r="BY382" s="59"/>
      <c r="BZ382" s="59"/>
      <c r="CA382" s="59"/>
      <c r="CB382" s="59"/>
      <c r="CC382" s="59"/>
      <c r="CD382" s="59"/>
      <c r="CE382" s="60"/>
      <c r="CF382" s="76" t="s">
        <v>90</v>
      </c>
      <c r="CR382" s="40">
        <v>0</v>
      </c>
      <c r="CS382" s="67">
        <v>0</v>
      </c>
      <c r="CT382" s="67">
        <v>0</v>
      </c>
      <c r="CU382" s="40">
        <v>0</v>
      </c>
      <c r="CV382" s="67">
        <v>0</v>
      </c>
      <c r="CW382" s="67">
        <v>0</v>
      </c>
      <c r="CX382" s="67">
        <v>0</v>
      </c>
      <c r="CY382" s="67">
        <v>0</v>
      </c>
      <c r="CZ382" s="67">
        <v>0</v>
      </c>
      <c r="DA382" s="67">
        <v>0</v>
      </c>
      <c r="DB382" s="67">
        <v>0</v>
      </c>
      <c r="DD382" s="229">
        <v>0</v>
      </c>
      <c r="DI382" s="40" t="s">
        <v>0</v>
      </c>
    </row>
    <row r="383" spans="1:113" s="119" customFormat="1" ht="15.75" customHeight="1" thickBot="1" x14ac:dyDescent="0.3">
      <c r="A383" s="233">
        <v>560817</v>
      </c>
      <c r="B383" s="233" t="s">
        <v>6</v>
      </c>
      <c r="C383" s="234" t="s">
        <v>840</v>
      </c>
      <c r="D383" s="233">
        <v>6</v>
      </c>
      <c r="E383" s="233">
        <v>0</v>
      </c>
      <c r="F383" s="233">
        <v>6</v>
      </c>
      <c r="G383" s="233">
        <v>106</v>
      </c>
      <c r="H383" s="233">
        <v>0</v>
      </c>
      <c r="I383" s="233">
        <v>25</v>
      </c>
      <c r="J383" s="235" t="s">
        <v>910</v>
      </c>
      <c r="K383" s="235" t="s">
        <v>911</v>
      </c>
      <c r="L383" s="236">
        <v>46037.338969907403</v>
      </c>
      <c r="M383" s="233">
        <v>0</v>
      </c>
      <c r="N383" s="233">
        <v>0</v>
      </c>
      <c r="O383" s="233">
        <v>0</v>
      </c>
      <c r="R383" s="233" t="s">
        <v>24</v>
      </c>
      <c r="S383" s="233" t="b">
        <v>0</v>
      </c>
      <c r="T383" s="237">
        <v>0.01</v>
      </c>
      <c r="U383" s="238">
        <v>6</v>
      </c>
      <c r="V383" s="237">
        <v>0.01</v>
      </c>
      <c r="W383" s="237">
        <v>0</v>
      </c>
      <c r="X383" s="233">
        <v>1000</v>
      </c>
      <c r="Z383" s="233">
        <v>10</v>
      </c>
      <c r="AB383" s="239">
        <v>50</v>
      </c>
      <c r="AD383" s="233">
        <v>10</v>
      </c>
      <c r="AF383" s="233">
        <v>2000</v>
      </c>
      <c r="AG383" s="233">
        <v>2</v>
      </c>
      <c r="AH383" s="233">
        <v>6.18</v>
      </c>
      <c r="AI383" s="233">
        <v>605</v>
      </c>
      <c r="AJ383" s="233">
        <v>0</v>
      </c>
      <c r="AK383" s="233">
        <v>167</v>
      </c>
      <c r="AM383" s="233" t="s">
        <v>2</v>
      </c>
      <c r="AO383" s="233">
        <v>50</v>
      </c>
      <c r="AW383" s="233" t="b">
        <v>0</v>
      </c>
      <c r="AZ383" s="233" t="s">
        <v>24</v>
      </c>
      <c r="BE383" s="246"/>
      <c r="BF383" s="119">
        <v>1</v>
      </c>
      <c r="BG383" s="119">
        <v>1</v>
      </c>
      <c r="BH383" s="119">
        <v>0.55000000000000004</v>
      </c>
      <c r="BI383" s="119">
        <v>0</v>
      </c>
      <c r="BJ383" s="119">
        <v>0</v>
      </c>
      <c r="BK383" s="119">
        <v>5.5</v>
      </c>
      <c r="BL383" s="119">
        <v>6</v>
      </c>
      <c r="BM383" s="40" t="s">
        <v>1</v>
      </c>
      <c r="BN383" s="243">
        <v>6</v>
      </c>
      <c r="BO383" s="242">
        <v>6</v>
      </c>
      <c r="BP383" s="58">
        <v>250</v>
      </c>
      <c r="BT383" s="59"/>
      <c r="BU383" s="59"/>
      <c r="BV383" s="59"/>
      <c r="BW383" s="59"/>
      <c r="BX383" s="59"/>
      <c r="BY383" s="59"/>
      <c r="BZ383" s="59"/>
      <c r="CA383" s="59"/>
      <c r="CB383" s="59"/>
      <c r="CC383" s="59"/>
      <c r="CD383" s="59"/>
      <c r="CE383" s="60"/>
      <c r="CF383" s="76" t="s">
        <v>90</v>
      </c>
      <c r="CR383" s="40">
        <v>0</v>
      </c>
      <c r="CS383" s="67">
        <v>0</v>
      </c>
      <c r="CT383" s="67">
        <v>0</v>
      </c>
      <c r="CU383" s="40">
        <v>0</v>
      </c>
      <c r="CV383" s="67">
        <v>0</v>
      </c>
      <c r="CW383" s="67">
        <v>0</v>
      </c>
      <c r="CX383" s="67">
        <v>0</v>
      </c>
      <c r="CY383" s="67">
        <v>0</v>
      </c>
      <c r="CZ383" s="67">
        <v>0</v>
      </c>
      <c r="DA383" s="67">
        <v>0</v>
      </c>
      <c r="DB383" s="67">
        <v>0</v>
      </c>
      <c r="DD383" s="229">
        <v>0</v>
      </c>
      <c r="DI383" s="40" t="s">
        <v>0</v>
      </c>
    </row>
    <row r="384" spans="1:113" s="119" customFormat="1" ht="15.75" customHeight="1" thickBot="1" x14ac:dyDescent="0.3">
      <c r="A384" s="233">
        <v>560816</v>
      </c>
      <c r="B384" s="233" t="s">
        <v>6</v>
      </c>
      <c r="C384" s="234" t="s">
        <v>840</v>
      </c>
      <c r="D384" s="233">
        <v>6</v>
      </c>
      <c r="E384" s="233">
        <v>0</v>
      </c>
      <c r="F384" s="233">
        <v>6</v>
      </c>
      <c r="G384" s="233">
        <v>105</v>
      </c>
      <c r="H384" s="233">
        <v>0</v>
      </c>
      <c r="I384" s="233">
        <v>25</v>
      </c>
      <c r="J384" s="235" t="s">
        <v>912</v>
      </c>
      <c r="K384" s="235" t="s">
        <v>913</v>
      </c>
      <c r="L384" s="236">
        <v>46037.338865740698</v>
      </c>
      <c r="M384" s="233">
        <v>0</v>
      </c>
      <c r="N384" s="233">
        <v>0</v>
      </c>
      <c r="O384" s="233">
        <v>0</v>
      </c>
      <c r="R384" s="233" t="s">
        <v>24</v>
      </c>
      <c r="S384" s="233" t="b">
        <v>0</v>
      </c>
      <c r="T384" s="237">
        <v>0.01</v>
      </c>
      <c r="U384" s="238">
        <v>6</v>
      </c>
      <c r="V384" s="237">
        <v>0.01</v>
      </c>
      <c r="W384" s="237">
        <v>0</v>
      </c>
      <c r="X384" s="233">
        <v>1000</v>
      </c>
      <c r="Z384" s="233">
        <v>10</v>
      </c>
      <c r="AB384" s="239">
        <v>50</v>
      </c>
      <c r="AD384" s="233">
        <v>10</v>
      </c>
      <c r="AF384" s="233">
        <v>2000</v>
      </c>
      <c r="AG384" s="233">
        <v>2</v>
      </c>
      <c r="AH384" s="233">
        <v>6.17</v>
      </c>
      <c r="AI384" s="233">
        <v>584</v>
      </c>
      <c r="AJ384" s="233">
        <v>0</v>
      </c>
      <c r="AK384" s="233">
        <v>162</v>
      </c>
      <c r="AM384" s="233" t="s">
        <v>2</v>
      </c>
      <c r="AO384" s="233">
        <v>50</v>
      </c>
      <c r="AW384" s="233" t="b">
        <v>0</v>
      </c>
      <c r="AZ384" s="233" t="s">
        <v>24</v>
      </c>
      <c r="BE384" s="246"/>
      <c r="BF384" s="119">
        <v>1</v>
      </c>
      <c r="BG384" s="119">
        <v>1</v>
      </c>
      <c r="BH384" s="119">
        <v>0.55000000000000004</v>
      </c>
      <c r="BI384" s="119">
        <v>0</v>
      </c>
      <c r="BJ384" s="119">
        <v>0</v>
      </c>
      <c r="BK384" s="119">
        <v>5.5</v>
      </c>
      <c r="BL384" s="119">
        <v>6</v>
      </c>
      <c r="BM384" s="40" t="s">
        <v>1</v>
      </c>
      <c r="BN384" s="243">
        <v>6</v>
      </c>
      <c r="BO384" s="242">
        <v>6</v>
      </c>
      <c r="BP384" s="58">
        <v>250</v>
      </c>
      <c r="BT384" s="59"/>
      <c r="BU384" s="59"/>
      <c r="BV384" s="59"/>
      <c r="BW384" s="59"/>
      <c r="BX384" s="59"/>
      <c r="BY384" s="59"/>
      <c r="BZ384" s="59"/>
      <c r="CA384" s="59"/>
      <c r="CB384" s="59"/>
      <c r="CC384" s="59"/>
      <c r="CD384" s="59"/>
      <c r="CE384" s="60"/>
      <c r="CF384" s="76" t="s">
        <v>90</v>
      </c>
      <c r="CR384" s="40">
        <v>0</v>
      </c>
      <c r="CS384" s="67">
        <v>0</v>
      </c>
      <c r="CT384" s="67">
        <v>0</v>
      </c>
      <c r="CU384" s="40">
        <v>0</v>
      </c>
      <c r="CV384" s="67">
        <v>0</v>
      </c>
      <c r="CW384" s="67">
        <v>0</v>
      </c>
      <c r="CX384" s="67">
        <v>0</v>
      </c>
      <c r="CY384" s="67">
        <v>0</v>
      </c>
      <c r="CZ384" s="67">
        <v>0</v>
      </c>
      <c r="DA384" s="67">
        <v>0</v>
      </c>
      <c r="DB384" s="67">
        <v>0</v>
      </c>
      <c r="DD384" s="229">
        <v>0</v>
      </c>
      <c r="DI384" s="40" t="s">
        <v>0</v>
      </c>
    </row>
    <row r="385" spans="1:113" s="119" customFormat="1" ht="15.75" customHeight="1" thickBot="1" x14ac:dyDescent="0.3">
      <c r="A385" s="233">
        <v>560815</v>
      </c>
      <c r="B385" s="233" t="s">
        <v>6</v>
      </c>
      <c r="C385" s="234" t="s">
        <v>840</v>
      </c>
      <c r="D385" s="233">
        <v>6</v>
      </c>
      <c r="E385" s="233">
        <v>0</v>
      </c>
      <c r="F385" s="233">
        <v>6</v>
      </c>
      <c r="G385" s="233">
        <v>104</v>
      </c>
      <c r="H385" s="233">
        <v>0</v>
      </c>
      <c r="I385" s="233">
        <v>25</v>
      </c>
      <c r="J385" s="235" t="s">
        <v>914</v>
      </c>
      <c r="K385" s="235" t="s">
        <v>915</v>
      </c>
      <c r="L385" s="236">
        <v>46037.338807870401</v>
      </c>
      <c r="M385" s="233">
        <v>0</v>
      </c>
      <c r="N385" s="233">
        <v>0</v>
      </c>
      <c r="O385" s="233">
        <v>0</v>
      </c>
      <c r="R385" s="233" t="s">
        <v>24</v>
      </c>
      <c r="S385" s="233" t="b">
        <v>0</v>
      </c>
      <c r="T385" s="237">
        <v>0.01</v>
      </c>
      <c r="U385" s="238">
        <v>6</v>
      </c>
      <c r="V385" s="237">
        <v>0.01</v>
      </c>
      <c r="W385" s="237">
        <v>0</v>
      </c>
      <c r="X385" s="233">
        <v>1000</v>
      </c>
      <c r="Z385" s="233">
        <v>10</v>
      </c>
      <c r="AB385" s="239">
        <v>50</v>
      </c>
      <c r="AD385" s="233">
        <v>10</v>
      </c>
      <c r="AF385" s="233">
        <v>2000</v>
      </c>
      <c r="AG385" s="233">
        <v>2</v>
      </c>
      <c r="AH385" s="233">
        <v>6.2</v>
      </c>
      <c r="AI385" s="233">
        <v>588</v>
      </c>
      <c r="AJ385" s="233">
        <v>0</v>
      </c>
      <c r="AK385" s="233">
        <v>164</v>
      </c>
      <c r="AM385" s="233" t="s">
        <v>2</v>
      </c>
      <c r="AO385" s="233">
        <v>50</v>
      </c>
      <c r="AW385" s="233" t="b">
        <v>0</v>
      </c>
      <c r="AZ385" s="233" t="s">
        <v>24</v>
      </c>
      <c r="BE385" s="246"/>
      <c r="BF385" s="119">
        <v>1</v>
      </c>
      <c r="BG385" s="119">
        <v>1</v>
      </c>
      <c r="BH385" s="119">
        <v>0.55000000000000004</v>
      </c>
      <c r="BI385" s="119">
        <v>0</v>
      </c>
      <c r="BJ385" s="119">
        <v>0</v>
      </c>
      <c r="BK385" s="119">
        <v>5.5</v>
      </c>
      <c r="BL385" s="119">
        <v>6</v>
      </c>
      <c r="BM385" s="40" t="s">
        <v>1</v>
      </c>
      <c r="BN385" s="243">
        <v>6</v>
      </c>
      <c r="BO385" s="242">
        <v>6</v>
      </c>
      <c r="BP385" s="58">
        <v>250</v>
      </c>
      <c r="BT385" s="59"/>
      <c r="BU385" s="59"/>
      <c r="BV385" s="59"/>
      <c r="BW385" s="59"/>
      <c r="BX385" s="59"/>
      <c r="BY385" s="59"/>
      <c r="BZ385" s="59"/>
      <c r="CA385" s="59"/>
      <c r="CB385" s="59"/>
      <c r="CC385" s="59"/>
      <c r="CD385" s="59"/>
      <c r="CE385" s="60"/>
      <c r="CF385" s="76" t="s">
        <v>90</v>
      </c>
      <c r="CR385" s="40">
        <v>0</v>
      </c>
      <c r="CS385" s="67">
        <v>0</v>
      </c>
      <c r="CT385" s="67">
        <v>0</v>
      </c>
      <c r="CU385" s="40">
        <v>0</v>
      </c>
      <c r="CV385" s="67">
        <v>0</v>
      </c>
      <c r="CW385" s="67">
        <v>0</v>
      </c>
      <c r="CX385" s="67">
        <v>0</v>
      </c>
      <c r="CY385" s="67">
        <v>0</v>
      </c>
      <c r="CZ385" s="67">
        <v>0</v>
      </c>
      <c r="DA385" s="67">
        <v>0</v>
      </c>
      <c r="DB385" s="67">
        <v>0</v>
      </c>
      <c r="DD385" s="229">
        <v>0</v>
      </c>
      <c r="DI385" s="40" t="s">
        <v>0</v>
      </c>
    </row>
    <row r="386" spans="1:113" s="119" customFormat="1" ht="15.75" customHeight="1" thickBot="1" x14ac:dyDescent="0.3">
      <c r="A386" s="233">
        <v>560814</v>
      </c>
      <c r="B386" s="233" t="s">
        <v>6</v>
      </c>
      <c r="C386" s="234" t="s">
        <v>840</v>
      </c>
      <c r="D386" s="233">
        <v>6</v>
      </c>
      <c r="E386" s="233">
        <v>0</v>
      </c>
      <c r="F386" s="233">
        <v>6</v>
      </c>
      <c r="G386" s="233">
        <v>103</v>
      </c>
      <c r="H386" s="233">
        <v>0</v>
      </c>
      <c r="I386" s="233">
        <v>25</v>
      </c>
      <c r="J386" s="235" t="s">
        <v>916</v>
      </c>
      <c r="K386" s="235" t="s">
        <v>917</v>
      </c>
      <c r="L386" s="236">
        <v>46037.338738425897</v>
      </c>
      <c r="M386" s="233">
        <v>0</v>
      </c>
      <c r="N386" s="233">
        <v>0</v>
      </c>
      <c r="O386" s="233">
        <v>0</v>
      </c>
      <c r="R386" s="233" t="s">
        <v>24</v>
      </c>
      <c r="S386" s="233" t="b">
        <v>0</v>
      </c>
      <c r="T386" s="237">
        <v>0.01</v>
      </c>
      <c r="U386" s="238">
        <v>6</v>
      </c>
      <c r="V386" s="237">
        <v>0.01</v>
      </c>
      <c r="W386" s="237">
        <v>0</v>
      </c>
      <c r="X386" s="233">
        <v>1000</v>
      </c>
      <c r="Z386" s="233">
        <v>10</v>
      </c>
      <c r="AB386" s="239">
        <v>50</v>
      </c>
      <c r="AD386" s="233">
        <v>10</v>
      </c>
      <c r="AF386" s="233">
        <v>2000</v>
      </c>
      <c r="AG386" s="233">
        <v>2</v>
      </c>
      <c r="AH386" s="233">
        <v>6.19</v>
      </c>
      <c r="AI386" s="233">
        <v>605</v>
      </c>
      <c r="AJ386" s="233">
        <v>0</v>
      </c>
      <c r="AK386" s="233">
        <v>167</v>
      </c>
      <c r="AM386" s="233" t="s">
        <v>2</v>
      </c>
      <c r="AO386" s="233">
        <v>50</v>
      </c>
      <c r="AW386" s="233" t="b">
        <v>0</v>
      </c>
      <c r="AZ386" s="233" t="s">
        <v>24</v>
      </c>
      <c r="BE386" s="246"/>
      <c r="BF386" s="119">
        <v>1</v>
      </c>
      <c r="BG386" s="119">
        <v>1</v>
      </c>
      <c r="BH386" s="119">
        <v>0.55000000000000004</v>
      </c>
      <c r="BI386" s="119">
        <v>0</v>
      </c>
      <c r="BJ386" s="119">
        <v>0</v>
      </c>
      <c r="BK386" s="119">
        <v>5.5</v>
      </c>
      <c r="BL386" s="119">
        <v>6</v>
      </c>
      <c r="BM386" s="40" t="s">
        <v>1</v>
      </c>
      <c r="BN386" s="243">
        <v>6</v>
      </c>
      <c r="BO386" s="242">
        <v>6</v>
      </c>
      <c r="BP386" s="58">
        <v>250</v>
      </c>
      <c r="BT386" s="59"/>
      <c r="BU386" s="59"/>
      <c r="BV386" s="59"/>
      <c r="BW386" s="59"/>
      <c r="BX386" s="59"/>
      <c r="BY386" s="59"/>
      <c r="BZ386" s="59"/>
      <c r="CA386" s="59"/>
      <c r="CB386" s="59"/>
      <c r="CC386" s="59"/>
      <c r="CD386" s="59"/>
      <c r="CE386" s="60"/>
      <c r="CF386" s="76" t="s">
        <v>90</v>
      </c>
      <c r="CR386" s="40">
        <v>0</v>
      </c>
      <c r="CS386" s="67">
        <v>0</v>
      </c>
      <c r="CT386" s="67">
        <v>0</v>
      </c>
      <c r="CU386" s="40">
        <v>0</v>
      </c>
      <c r="CV386" s="67">
        <v>0</v>
      </c>
      <c r="CW386" s="67">
        <v>0</v>
      </c>
      <c r="CX386" s="67">
        <v>0</v>
      </c>
      <c r="CY386" s="67">
        <v>0</v>
      </c>
      <c r="CZ386" s="67">
        <v>0</v>
      </c>
      <c r="DA386" s="67">
        <v>0</v>
      </c>
      <c r="DB386" s="67">
        <v>0</v>
      </c>
      <c r="DD386" s="229">
        <v>0</v>
      </c>
      <c r="DI386" s="40" t="s">
        <v>0</v>
      </c>
    </row>
    <row r="387" spans="1:113" s="119" customFormat="1" ht="15.75" customHeight="1" thickBot="1" x14ac:dyDescent="0.3">
      <c r="A387" s="233">
        <v>560813</v>
      </c>
      <c r="B387" s="233" t="s">
        <v>6</v>
      </c>
      <c r="C387" s="234" t="s">
        <v>840</v>
      </c>
      <c r="D387" s="233">
        <v>6</v>
      </c>
      <c r="E387" s="233">
        <v>0</v>
      </c>
      <c r="F387" s="233">
        <v>6</v>
      </c>
      <c r="G387" s="233">
        <v>102</v>
      </c>
      <c r="H387" s="233">
        <v>0</v>
      </c>
      <c r="I387" s="233">
        <v>25</v>
      </c>
      <c r="J387" s="235" t="s">
        <v>918</v>
      </c>
      <c r="K387" s="235" t="s">
        <v>919</v>
      </c>
      <c r="L387" s="236">
        <v>46037.338587963</v>
      </c>
      <c r="M387" s="233">
        <v>0</v>
      </c>
      <c r="N387" s="233">
        <v>0</v>
      </c>
      <c r="O387" s="233">
        <v>0</v>
      </c>
      <c r="R387" s="233" t="s">
        <v>24</v>
      </c>
      <c r="S387" s="233" t="b">
        <v>0</v>
      </c>
      <c r="T387" s="237">
        <v>0.01</v>
      </c>
      <c r="U387" s="238">
        <v>6</v>
      </c>
      <c r="V387" s="237">
        <v>0.01</v>
      </c>
      <c r="W387" s="237">
        <v>0</v>
      </c>
      <c r="X387" s="233">
        <v>1000</v>
      </c>
      <c r="Z387" s="233">
        <v>10</v>
      </c>
      <c r="AB387" s="239">
        <v>50</v>
      </c>
      <c r="AD387" s="233">
        <v>10</v>
      </c>
      <c r="AF387" s="233">
        <v>2000</v>
      </c>
      <c r="AG387" s="233">
        <v>2</v>
      </c>
      <c r="AH387" s="233">
        <v>6.21</v>
      </c>
      <c r="AI387" s="233">
        <v>588</v>
      </c>
      <c r="AJ387" s="233">
        <v>0</v>
      </c>
      <c r="AK387" s="233">
        <v>164</v>
      </c>
      <c r="AM387" s="233" t="s">
        <v>2</v>
      </c>
      <c r="AO387" s="233">
        <v>50</v>
      </c>
      <c r="AW387" s="233" t="b">
        <v>0</v>
      </c>
      <c r="AZ387" s="233" t="s">
        <v>24</v>
      </c>
      <c r="BE387" s="246"/>
      <c r="BF387" s="119">
        <v>1</v>
      </c>
      <c r="BG387" s="119">
        <v>1</v>
      </c>
      <c r="BH387" s="119">
        <v>0.55000000000000004</v>
      </c>
      <c r="BI387" s="119">
        <v>0</v>
      </c>
      <c r="BJ387" s="119">
        <v>0</v>
      </c>
      <c r="BK387" s="119">
        <v>5.5</v>
      </c>
      <c r="BL387" s="119">
        <v>6</v>
      </c>
      <c r="BM387" s="40" t="s">
        <v>1</v>
      </c>
      <c r="BN387" s="243">
        <v>6</v>
      </c>
      <c r="BO387" s="242">
        <v>6</v>
      </c>
      <c r="BP387" s="58">
        <v>250</v>
      </c>
      <c r="BT387" s="59"/>
      <c r="BU387" s="59"/>
      <c r="BV387" s="59"/>
      <c r="BW387" s="59"/>
      <c r="BX387" s="59"/>
      <c r="BY387" s="59"/>
      <c r="BZ387" s="59"/>
      <c r="CA387" s="59"/>
      <c r="CB387" s="59"/>
      <c r="CC387" s="59"/>
      <c r="CD387" s="59"/>
      <c r="CE387" s="60"/>
      <c r="CF387" s="76" t="s">
        <v>90</v>
      </c>
      <c r="CR387" s="40">
        <v>0</v>
      </c>
      <c r="CS387" s="67">
        <v>0</v>
      </c>
      <c r="CT387" s="67">
        <v>0</v>
      </c>
      <c r="CU387" s="40">
        <v>0</v>
      </c>
      <c r="CV387" s="67">
        <v>0</v>
      </c>
      <c r="CW387" s="67">
        <v>0</v>
      </c>
      <c r="CX387" s="67">
        <v>0</v>
      </c>
      <c r="CY387" s="67">
        <v>0</v>
      </c>
      <c r="CZ387" s="67">
        <v>0</v>
      </c>
      <c r="DA387" s="67">
        <v>0</v>
      </c>
      <c r="DB387" s="67">
        <v>0</v>
      </c>
      <c r="DD387" s="229">
        <v>0</v>
      </c>
      <c r="DI387" s="40" t="s">
        <v>0</v>
      </c>
    </row>
    <row r="388" spans="1:113" s="119" customFormat="1" ht="15.75" customHeight="1" thickBot="1" x14ac:dyDescent="0.3">
      <c r="A388" s="233">
        <v>560812</v>
      </c>
      <c r="B388" s="233" t="s">
        <v>6</v>
      </c>
      <c r="C388" s="234" t="s">
        <v>840</v>
      </c>
      <c r="D388" s="233">
        <v>6</v>
      </c>
      <c r="E388" s="233">
        <v>0</v>
      </c>
      <c r="F388" s="233">
        <v>6</v>
      </c>
      <c r="G388" s="233">
        <v>101</v>
      </c>
      <c r="H388" s="233">
        <v>0</v>
      </c>
      <c r="I388" s="233">
        <v>25</v>
      </c>
      <c r="J388" s="235" t="s">
        <v>920</v>
      </c>
      <c r="K388" s="235" t="s">
        <v>921</v>
      </c>
      <c r="L388" s="236">
        <v>46037.338518518503</v>
      </c>
      <c r="M388" s="233">
        <v>0</v>
      </c>
      <c r="N388" s="233">
        <v>0</v>
      </c>
      <c r="O388" s="233">
        <v>0</v>
      </c>
      <c r="R388" s="233" t="s">
        <v>24</v>
      </c>
      <c r="S388" s="233" t="b">
        <v>0</v>
      </c>
      <c r="T388" s="237">
        <v>0.01</v>
      </c>
      <c r="U388" s="238">
        <v>6</v>
      </c>
      <c r="V388" s="237">
        <v>0.01</v>
      </c>
      <c r="W388" s="237">
        <v>0</v>
      </c>
      <c r="X388" s="233">
        <v>1000</v>
      </c>
      <c r="Z388" s="233">
        <v>10</v>
      </c>
      <c r="AB388" s="239">
        <v>50</v>
      </c>
      <c r="AD388" s="233">
        <v>10</v>
      </c>
      <c r="AF388" s="233">
        <v>2000</v>
      </c>
      <c r="AG388" s="233">
        <v>2</v>
      </c>
      <c r="AH388" s="233">
        <v>6.2</v>
      </c>
      <c r="AI388" s="233">
        <v>601</v>
      </c>
      <c r="AJ388" s="233">
        <v>0</v>
      </c>
      <c r="AK388" s="233">
        <v>166</v>
      </c>
      <c r="AM388" s="233" t="s">
        <v>2</v>
      </c>
      <c r="AO388" s="233">
        <v>50</v>
      </c>
      <c r="AW388" s="233" t="b">
        <v>0</v>
      </c>
      <c r="AZ388" s="233" t="s">
        <v>24</v>
      </c>
      <c r="BE388" s="246"/>
      <c r="BF388" s="119">
        <v>1</v>
      </c>
      <c r="BG388" s="119">
        <v>1</v>
      </c>
      <c r="BH388" s="119">
        <v>0.55000000000000004</v>
      </c>
      <c r="BI388" s="119">
        <v>0</v>
      </c>
      <c r="BJ388" s="119">
        <v>0</v>
      </c>
      <c r="BK388" s="119">
        <v>5.5</v>
      </c>
      <c r="BL388" s="119">
        <v>6</v>
      </c>
      <c r="BM388" s="40" t="s">
        <v>1</v>
      </c>
      <c r="BN388" s="243">
        <v>6</v>
      </c>
      <c r="BO388" s="242">
        <v>6</v>
      </c>
      <c r="BP388" s="58">
        <v>250</v>
      </c>
      <c r="BT388" s="59"/>
      <c r="BU388" s="59"/>
      <c r="BV388" s="59"/>
      <c r="BW388" s="59"/>
      <c r="BX388" s="59"/>
      <c r="BY388" s="59"/>
      <c r="BZ388" s="59"/>
      <c r="CA388" s="59"/>
      <c r="CB388" s="59"/>
      <c r="CC388" s="59"/>
      <c r="CD388" s="59"/>
      <c r="CE388" s="60"/>
      <c r="CF388" s="76" t="s">
        <v>90</v>
      </c>
      <c r="CR388" s="40">
        <v>0</v>
      </c>
      <c r="CS388" s="67">
        <v>0</v>
      </c>
      <c r="CT388" s="67">
        <v>0</v>
      </c>
      <c r="CU388" s="40">
        <v>0</v>
      </c>
      <c r="CV388" s="67">
        <v>0</v>
      </c>
      <c r="CW388" s="67">
        <v>0</v>
      </c>
      <c r="CX388" s="67">
        <v>0</v>
      </c>
      <c r="CY388" s="67">
        <v>0</v>
      </c>
      <c r="CZ388" s="67">
        <v>0</v>
      </c>
      <c r="DA388" s="67">
        <v>0</v>
      </c>
      <c r="DB388" s="67">
        <v>0</v>
      </c>
      <c r="DD388" s="229">
        <v>0</v>
      </c>
      <c r="DI388" s="40" t="s">
        <v>0</v>
      </c>
    </row>
    <row r="389" spans="1:113" s="119" customFormat="1" ht="15.75" customHeight="1" thickBot="1" x14ac:dyDescent="0.3">
      <c r="A389" s="233">
        <v>560811</v>
      </c>
      <c r="B389" s="233" t="s">
        <v>6</v>
      </c>
      <c r="C389" s="234" t="s">
        <v>840</v>
      </c>
      <c r="D389" s="233">
        <v>6</v>
      </c>
      <c r="E389" s="233">
        <v>0</v>
      </c>
      <c r="F389" s="233">
        <v>6</v>
      </c>
      <c r="G389" s="233">
        <v>100</v>
      </c>
      <c r="H389" s="233">
        <v>0</v>
      </c>
      <c r="I389" s="233">
        <v>25</v>
      </c>
      <c r="J389" s="235" t="s">
        <v>922</v>
      </c>
      <c r="K389" s="235" t="s">
        <v>923</v>
      </c>
      <c r="L389" s="236">
        <v>46037.338460648098</v>
      </c>
      <c r="M389" s="233">
        <v>0</v>
      </c>
      <c r="N389" s="233">
        <v>0</v>
      </c>
      <c r="O389" s="233">
        <v>0</v>
      </c>
      <c r="R389" s="233" t="s">
        <v>24</v>
      </c>
      <c r="S389" s="233" t="b">
        <v>0</v>
      </c>
      <c r="T389" s="237">
        <v>0.01</v>
      </c>
      <c r="U389" s="238">
        <v>6</v>
      </c>
      <c r="V389" s="237">
        <v>0.01</v>
      </c>
      <c r="W389" s="237">
        <v>0</v>
      </c>
      <c r="X389" s="233">
        <v>1000</v>
      </c>
      <c r="Z389" s="233">
        <v>10</v>
      </c>
      <c r="AB389" s="239">
        <v>50</v>
      </c>
      <c r="AD389" s="233">
        <v>10</v>
      </c>
      <c r="AF389" s="233">
        <v>2000</v>
      </c>
      <c r="AG389" s="233">
        <v>2</v>
      </c>
      <c r="AH389" s="233">
        <v>6.2</v>
      </c>
      <c r="AI389" s="233">
        <v>614</v>
      </c>
      <c r="AJ389" s="233">
        <v>0</v>
      </c>
      <c r="AK389" s="233">
        <v>170</v>
      </c>
      <c r="AM389" s="233" t="s">
        <v>2</v>
      </c>
      <c r="AO389" s="233">
        <v>50</v>
      </c>
      <c r="AW389" s="233" t="b">
        <v>0</v>
      </c>
      <c r="AZ389" s="233" t="s">
        <v>24</v>
      </c>
      <c r="BE389" s="246"/>
      <c r="BF389" s="119">
        <v>1</v>
      </c>
      <c r="BG389" s="119">
        <v>1</v>
      </c>
      <c r="BH389" s="119">
        <v>0.55000000000000004</v>
      </c>
      <c r="BI389" s="119">
        <v>0</v>
      </c>
      <c r="BJ389" s="119">
        <v>0</v>
      </c>
      <c r="BK389" s="119">
        <v>5.5</v>
      </c>
      <c r="BL389" s="119">
        <v>6</v>
      </c>
      <c r="BM389" s="40" t="s">
        <v>1</v>
      </c>
      <c r="BN389" s="243">
        <v>6</v>
      </c>
      <c r="BO389" s="242">
        <v>6</v>
      </c>
      <c r="BP389" s="58">
        <v>250</v>
      </c>
      <c r="BT389" s="59"/>
      <c r="BU389" s="59"/>
      <c r="BV389" s="59"/>
      <c r="BW389" s="59"/>
      <c r="BX389" s="59"/>
      <c r="BY389" s="59"/>
      <c r="BZ389" s="59"/>
      <c r="CA389" s="59"/>
      <c r="CB389" s="59"/>
      <c r="CC389" s="59"/>
      <c r="CD389" s="59"/>
      <c r="CE389" s="60"/>
      <c r="CF389" s="76" t="s">
        <v>90</v>
      </c>
      <c r="CR389" s="40">
        <v>0</v>
      </c>
      <c r="CS389" s="67">
        <v>0</v>
      </c>
      <c r="CT389" s="67">
        <v>0</v>
      </c>
      <c r="CU389" s="40">
        <v>0</v>
      </c>
      <c r="CV389" s="67">
        <v>0</v>
      </c>
      <c r="CW389" s="67">
        <v>0</v>
      </c>
      <c r="CX389" s="67">
        <v>0</v>
      </c>
      <c r="CY389" s="67">
        <v>0</v>
      </c>
      <c r="CZ389" s="67">
        <v>0</v>
      </c>
      <c r="DA389" s="67">
        <v>0</v>
      </c>
      <c r="DB389" s="67">
        <v>0</v>
      </c>
      <c r="DD389" s="229">
        <v>0</v>
      </c>
      <c r="DI389" s="40" t="s">
        <v>0</v>
      </c>
    </row>
    <row r="390" spans="1:113" s="119" customFormat="1" ht="15.75" customHeight="1" thickBot="1" x14ac:dyDescent="0.3">
      <c r="A390" s="233">
        <v>560810</v>
      </c>
      <c r="B390" s="233" t="s">
        <v>6</v>
      </c>
      <c r="C390" s="234" t="s">
        <v>840</v>
      </c>
      <c r="D390" s="233">
        <v>6</v>
      </c>
      <c r="E390" s="233">
        <v>0</v>
      </c>
      <c r="F390" s="233">
        <v>6</v>
      </c>
      <c r="G390" s="233">
        <v>99</v>
      </c>
      <c r="H390" s="233">
        <v>0</v>
      </c>
      <c r="I390" s="233">
        <v>25</v>
      </c>
      <c r="J390" s="235" t="s">
        <v>924</v>
      </c>
      <c r="K390" s="235" t="s">
        <v>925</v>
      </c>
      <c r="L390" s="236">
        <v>46037.338391203702</v>
      </c>
      <c r="M390" s="233">
        <v>0</v>
      </c>
      <c r="N390" s="233">
        <v>0</v>
      </c>
      <c r="O390" s="233">
        <v>0</v>
      </c>
      <c r="R390" s="233" t="s">
        <v>24</v>
      </c>
      <c r="S390" s="233" t="b">
        <v>0</v>
      </c>
      <c r="T390" s="237">
        <v>0.01</v>
      </c>
      <c r="U390" s="238">
        <v>6</v>
      </c>
      <c r="V390" s="237">
        <v>0.01</v>
      </c>
      <c r="W390" s="237">
        <v>0</v>
      </c>
      <c r="X390" s="233">
        <v>1000</v>
      </c>
      <c r="Z390" s="233">
        <v>10</v>
      </c>
      <c r="AB390" s="239">
        <v>50</v>
      </c>
      <c r="AD390" s="233">
        <v>10</v>
      </c>
      <c r="AF390" s="233">
        <v>2000</v>
      </c>
      <c r="AG390" s="233">
        <v>2</v>
      </c>
      <c r="AH390" s="233">
        <v>6.2</v>
      </c>
      <c r="AI390" s="233">
        <v>618</v>
      </c>
      <c r="AJ390" s="233">
        <v>0</v>
      </c>
      <c r="AK390" s="233">
        <v>172</v>
      </c>
      <c r="AM390" s="233" t="s">
        <v>2</v>
      </c>
      <c r="AO390" s="233">
        <v>50</v>
      </c>
      <c r="AW390" s="233" t="b">
        <v>0</v>
      </c>
      <c r="AZ390" s="233" t="s">
        <v>24</v>
      </c>
      <c r="BE390" s="246"/>
      <c r="BF390" s="119">
        <v>1</v>
      </c>
      <c r="BG390" s="119">
        <v>1</v>
      </c>
      <c r="BH390" s="119">
        <v>0.55000000000000004</v>
      </c>
      <c r="BI390" s="119">
        <v>0</v>
      </c>
      <c r="BJ390" s="119">
        <v>0</v>
      </c>
      <c r="BK390" s="119">
        <v>5.5</v>
      </c>
      <c r="BL390" s="119">
        <v>6</v>
      </c>
      <c r="BM390" s="40" t="s">
        <v>1</v>
      </c>
      <c r="BN390" s="243">
        <v>6</v>
      </c>
      <c r="BO390" s="242">
        <v>6</v>
      </c>
      <c r="BP390" s="58">
        <v>250</v>
      </c>
      <c r="BT390" s="59"/>
      <c r="BU390" s="59"/>
      <c r="BV390" s="59"/>
      <c r="BW390" s="59"/>
      <c r="BX390" s="59"/>
      <c r="BY390" s="59"/>
      <c r="BZ390" s="59"/>
      <c r="CA390" s="59"/>
      <c r="CB390" s="59"/>
      <c r="CC390" s="59"/>
      <c r="CD390" s="59"/>
      <c r="CE390" s="60"/>
      <c r="CF390" s="76" t="s">
        <v>90</v>
      </c>
      <c r="CR390" s="40">
        <v>0</v>
      </c>
      <c r="CS390" s="67">
        <v>0</v>
      </c>
      <c r="CT390" s="67">
        <v>0</v>
      </c>
      <c r="CU390" s="40">
        <v>0</v>
      </c>
      <c r="CV390" s="67">
        <v>0</v>
      </c>
      <c r="CW390" s="67">
        <v>0</v>
      </c>
      <c r="CX390" s="67">
        <v>0</v>
      </c>
      <c r="CY390" s="67">
        <v>0</v>
      </c>
      <c r="CZ390" s="67">
        <v>0</v>
      </c>
      <c r="DA390" s="67">
        <v>0</v>
      </c>
      <c r="DB390" s="67">
        <v>0</v>
      </c>
      <c r="DD390" s="229">
        <v>0</v>
      </c>
      <c r="DI390" s="40" t="s">
        <v>0</v>
      </c>
    </row>
    <row r="391" spans="1:113" s="119" customFormat="1" ht="15.75" customHeight="1" thickBot="1" x14ac:dyDescent="0.3">
      <c r="A391" s="233">
        <v>560809</v>
      </c>
      <c r="B391" s="233" t="s">
        <v>6</v>
      </c>
      <c r="C391" s="234" t="s">
        <v>840</v>
      </c>
      <c r="D391" s="233">
        <v>6</v>
      </c>
      <c r="E391" s="233">
        <v>0</v>
      </c>
      <c r="F391" s="233">
        <v>6</v>
      </c>
      <c r="G391" s="233">
        <v>98</v>
      </c>
      <c r="H391" s="233">
        <v>0</v>
      </c>
      <c r="I391" s="233">
        <v>25</v>
      </c>
      <c r="J391" s="235" t="s">
        <v>926</v>
      </c>
      <c r="K391" s="235" t="s">
        <v>927</v>
      </c>
      <c r="L391" s="236">
        <v>46037.3383217593</v>
      </c>
      <c r="M391" s="233">
        <v>0</v>
      </c>
      <c r="N391" s="233">
        <v>0</v>
      </c>
      <c r="O391" s="233">
        <v>0</v>
      </c>
      <c r="R391" s="233" t="s">
        <v>24</v>
      </c>
      <c r="S391" s="233" t="b">
        <v>0</v>
      </c>
      <c r="T391" s="237">
        <v>0.01</v>
      </c>
      <c r="U391" s="238">
        <v>6</v>
      </c>
      <c r="V391" s="237">
        <v>0.01</v>
      </c>
      <c r="W391" s="237">
        <v>0</v>
      </c>
      <c r="X391" s="233">
        <v>1000</v>
      </c>
      <c r="Z391" s="233">
        <v>10</v>
      </c>
      <c r="AB391" s="239">
        <v>50</v>
      </c>
      <c r="AD391" s="233">
        <v>10</v>
      </c>
      <c r="AF391" s="233">
        <v>2000</v>
      </c>
      <c r="AG391" s="233">
        <v>2</v>
      </c>
      <c r="AH391" s="233">
        <v>6.19</v>
      </c>
      <c r="AI391" s="233">
        <v>610</v>
      </c>
      <c r="AJ391" s="233">
        <v>0</v>
      </c>
      <c r="AK391" s="233">
        <v>169</v>
      </c>
      <c r="AM391" s="233" t="s">
        <v>2</v>
      </c>
      <c r="AO391" s="233">
        <v>50</v>
      </c>
      <c r="AW391" s="233" t="b">
        <v>0</v>
      </c>
      <c r="AZ391" s="233" t="s">
        <v>24</v>
      </c>
      <c r="BE391" s="246"/>
      <c r="BF391" s="119">
        <v>1</v>
      </c>
      <c r="BG391" s="119">
        <v>1</v>
      </c>
      <c r="BH391" s="119">
        <v>0.55000000000000004</v>
      </c>
      <c r="BI391" s="119">
        <v>0</v>
      </c>
      <c r="BJ391" s="119">
        <v>0</v>
      </c>
      <c r="BK391" s="119">
        <v>5.5</v>
      </c>
      <c r="BL391" s="119">
        <v>6</v>
      </c>
      <c r="BM391" s="40" t="s">
        <v>1</v>
      </c>
      <c r="BN391" s="243">
        <v>6</v>
      </c>
      <c r="BO391" s="242">
        <v>6</v>
      </c>
      <c r="BP391" s="58">
        <v>250</v>
      </c>
      <c r="BT391" s="59"/>
      <c r="BU391" s="59"/>
      <c r="BV391" s="59"/>
      <c r="BW391" s="59"/>
      <c r="BX391" s="59"/>
      <c r="BY391" s="59"/>
      <c r="BZ391" s="59"/>
      <c r="CA391" s="59"/>
      <c r="CB391" s="59"/>
      <c r="CC391" s="59"/>
      <c r="CD391" s="59"/>
      <c r="CE391" s="60"/>
      <c r="CF391" s="76" t="s">
        <v>90</v>
      </c>
      <c r="CR391" s="40">
        <v>0</v>
      </c>
      <c r="CS391" s="67">
        <v>0</v>
      </c>
      <c r="CT391" s="67">
        <v>0</v>
      </c>
      <c r="CU391" s="40">
        <v>0</v>
      </c>
      <c r="CV391" s="67">
        <v>0</v>
      </c>
      <c r="CW391" s="67">
        <v>0</v>
      </c>
      <c r="CX391" s="67">
        <v>0</v>
      </c>
      <c r="CY391" s="67">
        <v>0</v>
      </c>
      <c r="CZ391" s="67">
        <v>0</v>
      </c>
      <c r="DA391" s="67">
        <v>0</v>
      </c>
      <c r="DB391" s="67">
        <v>0</v>
      </c>
      <c r="DD391" s="229">
        <v>0</v>
      </c>
      <c r="DI391" s="40" t="s">
        <v>0</v>
      </c>
    </row>
    <row r="392" spans="1:113" s="119" customFormat="1" ht="15.75" customHeight="1" thickBot="1" x14ac:dyDescent="0.3">
      <c r="A392" s="233">
        <v>560808</v>
      </c>
      <c r="B392" s="233" t="s">
        <v>6</v>
      </c>
      <c r="C392" s="234" t="s">
        <v>840</v>
      </c>
      <c r="D392" s="233">
        <v>6</v>
      </c>
      <c r="E392" s="233">
        <v>0</v>
      </c>
      <c r="F392" s="233">
        <v>6</v>
      </c>
      <c r="G392" s="233">
        <v>97</v>
      </c>
      <c r="H392" s="233">
        <v>0</v>
      </c>
      <c r="I392" s="233">
        <v>25</v>
      </c>
      <c r="J392" s="235" t="s">
        <v>928</v>
      </c>
      <c r="K392" s="235" t="s">
        <v>929</v>
      </c>
      <c r="L392" s="236">
        <v>46037.338252314803</v>
      </c>
      <c r="M392" s="233">
        <v>0</v>
      </c>
      <c r="N392" s="233">
        <v>0</v>
      </c>
      <c r="O392" s="233">
        <v>0</v>
      </c>
      <c r="R392" s="233" t="s">
        <v>24</v>
      </c>
      <c r="S392" s="233" t="b">
        <v>0</v>
      </c>
      <c r="T392" s="237">
        <v>0.01</v>
      </c>
      <c r="U392" s="238">
        <v>6</v>
      </c>
      <c r="V392" s="237">
        <v>0.01</v>
      </c>
      <c r="W392" s="237">
        <v>0</v>
      </c>
      <c r="X392" s="233">
        <v>1000</v>
      </c>
      <c r="Z392" s="233">
        <v>10</v>
      </c>
      <c r="AB392" s="239">
        <v>50</v>
      </c>
      <c r="AD392" s="233">
        <v>10</v>
      </c>
      <c r="AF392" s="233">
        <v>2000</v>
      </c>
      <c r="AG392" s="233">
        <v>2</v>
      </c>
      <c r="AH392" s="233">
        <v>6.2</v>
      </c>
      <c r="AI392" s="233">
        <v>622</v>
      </c>
      <c r="AJ392" s="233">
        <v>0</v>
      </c>
      <c r="AK392" s="233">
        <v>173</v>
      </c>
      <c r="AM392" s="233" t="s">
        <v>2</v>
      </c>
      <c r="AO392" s="233">
        <v>50</v>
      </c>
      <c r="AW392" s="233" t="b">
        <v>0</v>
      </c>
      <c r="AZ392" s="233" t="s">
        <v>24</v>
      </c>
      <c r="BE392" s="246"/>
      <c r="BF392" s="119">
        <v>1</v>
      </c>
      <c r="BG392" s="119">
        <v>1</v>
      </c>
      <c r="BH392" s="119">
        <v>0.55000000000000004</v>
      </c>
      <c r="BI392" s="119">
        <v>0</v>
      </c>
      <c r="BJ392" s="119">
        <v>0</v>
      </c>
      <c r="BK392" s="119">
        <v>5.5</v>
      </c>
      <c r="BL392" s="119">
        <v>6</v>
      </c>
      <c r="BM392" s="40" t="s">
        <v>1</v>
      </c>
      <c r="BN392" s="243">
        <v>6</v>
      </c>
      <c r="BO392" s="242">
        <v>6</v>
      </c>
      <c r="BP392" s="58">
        <v>250</v>
      </c>
      <c r="BT392" s="59"/>
      <c r="BU392" s="59"/>
      <c r="BV392" s="59"/>
      <c r="BW392" s="59"/>
      <c r="BX392" s="59"/>
      <c r="BY392" s="59"/>
      <c r="BZ392" s="59"/>
      <c r="CA392" s="59"/>
      <c r="CB392" s="59"/>
      <c r="CC392" s="59"/>
      <c r="CD392" s="59"/>
      <c r="CE392" s="60"/>
      <c r="CF392" s="76" t="s">
        <v>90</v>
      </c>
      <c r="CR392" s="40">
        <v>0</v>
      </c>
      <c r="CS392" s="67">
        <v>0</v>
      </c>
      <c r="CT392" s="67">
        <v>0</v>
      </c>
      <c r="CU392" s="40">
        <v>0</v>
      </c>
      <c r="CV392" s="67">
        <v>0</v>
      </c>
      <c r="CW392" s="67">
        <v>0</v>
      </c>
      <c r="CX392" s="67">
        <v>0</v>
      </c>
      <c r="CY392" s="67">
        <v>0</v>
      </c>
      <c r="CZ392" s="67">
        <v>0</v>
      </c>
      <c r="DA392" s="67">
        <v>0</v>
      </c>
      <c r="DB392" s="67">
        <v>0</v>
      </c>
      <c r="DD392" s="229">
        <v>0</v>
      </c>
      <c r="DI392" s="40" t="s">
        <v>0</v>
      </c>
    </row>
    <row r="393" spans="1:113" s="119" customFormat="1" ht="15.75" customHeight="1" thickBot="1" x14ac:dyDescent="0.3">
      <c r="A393" s="233">
        <v>560807</v>
      </c>
      <c r="B393" s="233" t="s">
        <v>6</v>
      </c>
      <c r="C393" s="234" t="s">
        <v>840</v>
      </c>
      <c r="D393" s="233">
        <v>6</v>
      </c>
      <c r="E393" s="233">
        <v>0</v>
      </c>
      <c r="F393" s="233">
        <v>6</v>
      </c>
      <c r="G393" s="233">
        <v>96</v>
      </c>
      <c r="H393" s="233">
        <v>0</v>
      </c>
      <c r="I393" s="233">
        <v>25</v>
      </c>
      <c r="J393" s="235" t="s">
        <v>930</v>
      </c>
      <c r="K393" s="235" t="s">
        <v>931</v>
      </c>
      <c r="L393" s="236">
        <v>46037.338159722203</v>
      </c>
      <c r="M393" s="233">
        <v>0</v>
      </c>
      <c r="N393" s="233">
        <v>0</v>
      </c>
      <c r="O393" s="233">
        <v>0</v>
      </c>
      <c r="R393" s="233" t="s">
        <v>24</v>
      </c>
      <c r="S393" s="233" t="b">
        <v>0</v>
      </c>
      <c r="T393" s="237">
        <v>0.01</v>
      </c>
      <c r="U393" s="238">
        <v>6</v>
      </c>
      <c r="V393" s="237">
        <v>0.01</v>
      </c>
      <c r="W393" s="237">
        <v>0</v>
      </c>
      <c r="X393" s="233">
        <v>1000</v>
      </c>
      <c r="Z393" s="233">
        <v>10</v>
      </c>
      <c r="AB393" s="239">
        <v>50</v>
      </c>
      <c r="AD393" s="233">
        <v>10</v>
      </c>
      <c r="AF393" s="233">
        <v>2000</v>
      </c>
      <c r="AG393" s="233">
        <v>2</v>
      </c>
      <c r="AH393" s="233">
        <v>6.2</v>
      </c>
      <c r="AI393" s="233">
        <v>597</v>
      </c>
      <c r="AJ393" s="233">
        <v>0</v>
      </c>
      <c r="AK393" s="233">
        <v>166</v>
      </c>
      <c r="AM393" s="233" t="s">
        <v>2</v>
      </c>
      <c r="AO393" s="233">
        <v>50</v>
      </c>
      <c r="AW393" s="233" t="b">
        <v>0</v>
      </c>
      <c r="AZ393" s="233" t="s">
        <v>24</v>
      </c>
      <c r="BE393" s="246"/>
      <c r="BF393" s="119">
        <v>1</v>
      </c>
      <c r="BG393" s="119">
        <v>1</v>
      </c>
      <c r="BH393" s="119">
        <v>0.55000000000000004</v>
      </c>
      <c r="BI393" s="119">
        <v>0</v>
      </c>
      <c r="BJ393" s="119">
        <v>0</v>
      </c>
      <c r="BK393" s="119">
        <v>5.5</v>
      </c>
      <c r="BL393" s="119">
        <v>6</v>
      </c>
      <c r="BM393" s="40" t="s">
        <v>1</v>
      </c>
      <c r="BN393" s="243">
        <v>6</v>
      </c>
      <c r="BO393" s="242">
        <v>6</v>
      </c>
      <c r="BP393" s="58">
        <v>250</v>
      </c>
      <c r="BT393" s="59"/>
      <c r="BU393" s="59"/>
      <c r="BV393" s="59"/>
      <c r="BW393" s="59"/>
      <c r="BX393" s="59"/>
      <c r="BY393" s="59"/>
      <c r="BZ393" s="59"/>
      <c r="CA393" s="59"/>
      <c r="CB393" s="59"/>
      <c r="CC393" s="59"/>
      <c r="CD393" s="59"/>
      <c r="CE393" s="60"/>
      <c r="CF393" s="76" t="s">
        <v>90</v>
      </c>
      <c r="CR393" s="40">
        <v>0</v>
      </c>
      <c r="CS393" s="67">
        <v>0</v>
      </c>
      <c r="CT393" s="67">
        <v>0</v>
      </c>
      <c r="CU393" s="40">
        <v>0</v>
      </c>
      <c r="CV393" s="67">
        <v>0</v>
      </c>
      <c r="CW393" s="67">
        <v>0</v>
      </c>
      <c r="CX393" s="67">
        <v>0</v>
      </c>
      <c r="CY393" s="67">
        <v>0</v>
      </c>
      <c r="CZ393" s="67">
        <v>0</v>
      </c>
      <c r="DA393" s="67">
        <v>0</v>
      </c>
      <c r="DB393" s="67">
        <v>0</v>
      </c>
      <c r="DD393" s="229">
        <v>0</v>
      </c>
      <c r="DI393" s="40" t="s">
        <v>0</v>
      </c>
    </row>
    <row r="394" spans="1:113" s="119" customFormat="1" ht="15.75" customHeight="1" thickBot="1" x14ac:dyDescent="0.3">
      <c r="A394" s="233">
        <v>560806</v>
      </c>
      <c r="B394" s="233" t="s">
        <v>6</v>
      </c>
      <c r="C394" s="234" t="s">
        <v>840</v>
      </c>
      <c r="D394" s="233">
        <v>6</v>
      </c>
      <c r="E394" s="233">
        <v>0</v>
      </c>
      <c r="F394" s="233">
        <v>6</v>
      </c>
      <c r="G394" s="233">
        <v>95</v>
      </c>
      <c r="H394" s="233">
        <v>0</v>
      </c>
      <c r="I394" s="233">
        <v>25</v>
      </c>
      <c r="J394" s="235" t="s">
        <v>932</v>
      </c>
      <c r="K394" s="235" t="s">
        <v>933</v>
      </c>
      <c r="L394" s="236">
        <v>46037.338101851798</v>
      </c>
      <c r="M394" s="233">
        <v>0</v>
      </c>
      <c r="N394" s="233">
        <v>0</v>
      </c>
      <c r="O394" s="233">
        <v>0</v>
      </c>
      <c r="R394" s="233" t="s">
        <v>24</v>
      </c>
      <c r="S394" s="233" t="b">
        <v>0</v>
      </c>
      <c r="T394" s="237">
        <v>0.01</v>
      </c>
      <c r="U394" s="238">
        <v>6</v>
      </c>
      <c r="V394" s="237">
        <v>0.01</v>
      </c>
      <c r="W394" s="237">
        <v>0</v>
      </c>
      <c r="X394" s="233">
        <v>1000</v>
      </c>
      <c r="Z394" s="233">
        <v>10</v>
      </c>
      <c r="AB394" s="239">
        <v>50</v>
      </c>
      <c r="AD394" s="233">
        <v>10</v>
      </c>
      <c r="AF394" s="233">
        <v>2000</v>
      </c>
      <c r="AG394" s="233">
        <v>2</v>
      </c>
      <c r="AH394" s="233">
        <v>6.2</v>
      </c>
      <c r="AI394" s="233">
        <v>605</v>
      </c>
      <c r="AJ394" s="233">
        <v>0</v>
      </c>
      <c r="AK394" s="233">
        <v>169</v>
      </c>
      <c r="AM394" s="233" t="s">
        <v>2</v>
      </c>
      <c r="AO394" s="233">
        <v>50</v>
      </c>
      <c r="AW394" s="233" t="b">
        <v>0</v>
      </c>
      <c r="AZ394" s="233" t="s">
        <v>24</v>
      </c>
      <c r="BE394" s="246"/>
      <c r="BF394" s="119">
        <v>1</v>
      </c>
      <c r="BG394" s="119">
        <v>1</v>
      </c>
      <c r="BH394" s="119">
        <v>0.55000000000000004</v>
      </c>
      <c r="BI394" s="119">
        <v>0</v>
      </c>
      <c r="BJ394" s="119">
        <v>0</v>
      </c>
      <c r="BK394" s="119">
        <v>5.5</v>
      </c>
      <c r="BL394" s="119">
        <v>6</v>
      </c>
      <c r="BM394" s="40" t="s">
        <v>1</v>
      </c>
      <c r="BN394" s="243">
        <v>6</v>
      </c>
      <c r="BO394" s="242">
        <v>6</v>
      </c>
      <c r="BP394" s="58">
        <v>250</v>
      </c>
      <c r="BT394" s="59"/>
      <c r="BU394" s="59"/>
      <c r="BV394" s="59"/>
      <c r="BW394" s="59"/>
      <c r="BX394" s="59"/>
      <c r="BY394" s="59"/>
      <c r="BZ394" s="59"/>
      <c r="CA394" s="59"/>
      <c r="CB394" s="59"/>
      <c r="CC394" s="59"/>
      <c r="CD394" s="59"/>
      <c r="CE394" s="60"/>
      <c r="CF394" s="76" t="s">
        <v>90</v>
      </c>
      <c r="CR394" s="40">
        <v>0</v>
      </c>
      <c r="CS394" s="67">
        <v>0</v>
      </c>
      <c r="CT394" s="67">
        <v>0</v>
      </c>
      <c r="CU394" s="40">
        <v>0</v>
      </c>
      <c r="CV394" s="67">
        <v>0</v>
      </c>
      <c r="CW394" s="67">
        <v>0</v>
      </c>
      <c r="CX394" s="67">
        <v>0</v>
      </c>
      <c r="CY394" s="67">
        <v>0</v>
      </c>
      <c r="CZ394" s="67">
        <v>0</v>
      </c>
      <c r="DA394" s="67">
        <v>0</v>
      </c>
      <c r="DB394" s="67">
        <v>0</v>
      </c>
      <c r="DD394" s="229">
        <v>0</v>
      </c>
      <c r="DI394" s="40" t="s">
        <v>0</v>
      </c>
    </row>
    <row r="395" spans="1:113" s="119" customFormat="1" ht="15.75" customHeight="1" thickBot="1" x14ac:dyDescent="0.3">
      <c r="A395" s="233">
        <v>560805</v>
      </c>
      <c r="B395" s="233" t="s">
        <v>6</v>
      </c>
      <c r="C395" s="234" t="s">
        <v>840</v>
      </c>
      <c r="D395" s="233">
        <v>6</v>
      </c>
      <c r="E395" s="233">
        <v>0</v>
      </c>
      <c r="F395" s="233">
        <v>6</v>
      </c>
      <c r="G395" s="233">
        <v>94</v>
      </c>
      <c r="H395" s="233">
        <v>0</v>
      </c>
      <c r="I395" s="233">
        <v>25</v>
      </c>
      <c r="J395" s="235" t="s">
        <v>934</v>
      </c>
      <c r="K395" s="235" t="s">
        <v>935</v>
      </c>
      <c r="L395" s="236">
        <v>46037.338032407402</v>
      </c>
      <c r="M395" s="233">
        <v>0</v>
      </c>
      <c r="N395" s="233">
        <v>0</v>
      </c>
      <c r="O395" s="233">
        <v>0</v>
      </c>
      <c r="R395" s="233" t="s">
        <v>24</v>
      </c>
      <c r="S395" s="233" t="b">
        <v>0</v>
      </c>
      <c r="T395" s="237">
        <v>0.01</v>
      </c>
      <c r="U395" s="238">
        <v>6</v>
      </c>
      <c r="V395" s="237">
        <v>0.01</v>
      </c>
      <c r="W395" s="237">
        <v>0</v>
      </c>
      <c r="X395" s="233">
        <v>1000</v>
      </c>
      <c r="Z395" s="233">
        <v>10</v>
      </c>
      <c r="AB395" s="239">
        <v>50</v>
      </c>
      <c r="AD395" s="233">
        <v>10</v>
      </c>
      <c r="AF395" s="233">
        <v>2000</v>
      </c>
      <c r="AG395" s="233">
        <v>2</v>
      </c>
      <c r="AH395" s="233">
        <v>6.21</v>
      </c>
      <c r="AI395" s="233">
        <v>605</v>
      </c>
      <c r="AJ395" s="233">
        <v>0</v>
      </c>
      <c r="AK395" s="233">
        <v>167</v>
      </c>
      <c r="AM395" s="233" t="s">
        <v>2</v>
      </c>
      <c r="AO395" s="233">
        <v>50</v>
      </c>
      <c r="AW395" s="233" t="b">
        <v>0</v>
      </c>
      <c r="AZ395" s="233" t="s">
        <v>24</v>
      </c>
      <c r="BE395" s="246"/>
      <c r="BF395" s="119">
        <v>1</v>
      </c>
      <c r="BG395" s="119">
        <v>1</v>
      </c>
      <c r="BH395" s="119">
        <v>0.55000000000000004</v>
      </c>
      <c r="BI395" s="119">
        <v>0</v>
      </c>
      <c r="BJ395" s="119">
        <v>0</v>
      </c>
      <c r="BK395" s="119">
        <v>5.5</v>
      </c>
      <c r="BL395" s="119">
        <v>6</v>
      </c>
      <c r="BM395" s="40" t="s">
        <v>1</v>
      </c>
      <c r="BN395" s="243">
        <v>6</v>
      </c>
      <c r="BO395" s="242">
        <v>6</v>
      </c>
      <c r="BP395" s="58">
        <v>250</v>
      </c>
      <c r="BT395" s="59"/>
      <c r="BU395" s="59"/>
      <c r="BV395" s="59"/>
      <c r="BW395" s="59"/>
      <c r="BX395" s="59"/>
      <c r="BY395" s="59"/>
      <c r="BZ395" s="59"/>
      <c r="CA395" s="59"/>
      <c r="CB395" s="59"/>
      <c r="CC395" s="59"/>
      <c r="CD395" s="59"/>
      <c r="CE395" s="60"/>
      <c r="CF395" s="76" t="s">
        <v>90</v>
      </c>
      <c r="CR395" s="40">
        <v>0</v>
      </c>
      <c r="CS395" s="67">
        <v>0</v>
      </c>
      <c r="CT395" s="67">
        <v>0</v>
      </c>
      <c r="CU395" s="40">
        <v>0</v>
      </c>
      <c r="CV395" s="67">
        <v>0</v>
      </c>
      <c r="CW395" s="67">
        <v>0</v>
      </c>
      <c r="CX395" s="67">
        <v>0</v>
      </c>
      <c r="CY395" s="67">
        <v>0</v>
      </c>
      <c r="CZ395" s="67">
        <v>0</v>
      </c>
      <c r="DA395" s="67">
        <v>0</v>
      </c>
      <c r="DB395" s="67">
        <v>0</v>
      </c>
      <c r="DD395" s="229">
        <v>0</v>
      </c>
      <c r="DI395" s="40" t="s">
        <v>0</v>
      </c>
    </row>
    <row r="396" spans="1:113" s="119" customFormat="1" ht="15.75" customHeight="1" thickBot="1" x14ac:dyDescent="0.3">
      <c r="A396" s="233">
        <v>560804</v>
      </c>
      <c r="B396" s="233" t="s">
        <v>6</v>
      </c>
      <c r="C396" s="234" t="s">
        <v>840</v>
      </c>
      <c r="D396" s="233">
        <v>6</v>
      </c>
      <c r="E396" s="233">
        <v>0</v>
      </c>
      <c r="F396" s="233">
        <v>6</v>
      </c>
      <c r="G396" s="233">
        <v>93</v>
      </c>
      <c r="H396" s="233">
        <v>0</v>
      </c>
      <c r="I396" s="233">
        <v>25</v>
      </c>
      <c r="J396" s="235" t="s">
        <v>936</v>
      </c>
      <c r="K396" s="235" t="s">
        <v>937</v>
      </c>
      <c r="L396" s="236">
        <v>46037.337962963</v>
      </c>
      <c r="M396" s="233">
        <v>0</v>
      </c>
      <c r="N396" s="233">
        <v>0</v>
      </c>
      <c r="O396" s="233">
        <v>0</v>
      </c>
      <c r="R396" s="233" t="s">
        <v>24</v>
      </c>
      <c r="S396" s="233" t="b">
        <v>0</v>
      </c>
      <c r="T396" s="237">
        <v>0.01</v>
      </c>
      <c r="U396" s="238">
        <v>6</v>
      </c>
      <c r="V396" s="237">
        <v>0.01</v>
      </c>
      <c r="W396" s="237">
        <v>0</v>
      </c>
      <c r="X396" s="233">
        <v>1000</v>
      </c>
      <c r="Z396" s="233">
        <v>10</v>
      </c>
      <c r="AB396" s="239">
        <v>50</v>
      </c>
      <c r="AD396" s="233">
        <v>10</v>
      </c>
      <c r="AF396" s="233">
        <v>2000</v>
      </c>
      <c r="AG396" s="233">
        <v>2</v>
      </c>
      <c r="AH396" s="233">
        <v>6.2</v>
      </c>
      <c r="AI396" s="233">
        <v>614</v>
      </c>
      <c r="AJ396" s="233">
        <v>0</v>
      </c>
      <c r="AK396" s="233">
        <v>170</v>
      </c>
      <c r="AM396" s="233" t="s">
        <v>2</v>
      </c>
      <c r="AO396" s="233">
        <v>50</v>
      </c>
      <c r="AW396" s="233" t="b">
        <v>0</v>
      </c>
      <c r="AZ396" s="233" t="s">
        <v>24</v>
      </c>
      <c r="BE396" s="246"/>
      <c r="BF396" s="119">
        <v>1</v>
      </c>
      <c r="BG396" s="119">
        <v>1</v>
      </c>
      <c r="BH396" s="119">
        <v>0.55000000000000004</v>
      </c>
      <c r="BI396" s="119">
        <v>0</v>
      </c>
      <c r="BJ396" s="119">
        <v>0</v>
      </c>
      <c r="BK396" s="119">
        <v>5.5</v>
      </c>
      <c r="BL396" s="119">
        <v>6</v>
      </c>
      <c r="BM396" s="40" t="s">
        <v>1</v>
      </c>
      <c r="BN396" s="243">
        <v>6</v>
      </c>
      <c r="BO396" s="242">
        <v>6</v>
      </c>
      <c r="BP396" s="58">
        <v>250</v>
      </c>
      <c r="BT396" s="59"/>
      <c r="BU396" s="59"/>
      <c r="BV396" s="59"/>
      <c r="BW396" s="59"/>
      <c r="BX396" s="59"/>
      <c r="BY396" s="59"/>
      <c r="BZ396" s="59"/>
      <c r="CA396" s="59"/>
      <c r="CB396" s="59"/>
      <c r="CC396" s="59"/>
      <c r="CD396" s="59"/>
      <c r="CE396" s="60"/>
      <c r="CF396" s="76" t="s">
        <v>90</v>
      </c>
      <c r="CR396" s="40">
        <v>0</v>
      </c>
      <c r="CS396" s="67">
        <v>0</v>
      </c>
      <c r="CT396" s="67">
        <v>0</v>
      </c>
      <c r="CU396" s="40">
        <v>0</v>
      </c>
      <c r="CV396" s="67">
        <v>0</v>
      </c>
      <c r="CW396" s="67">
        <v>0</v>
      </c>
      <c r="CX396" s="67">
        <v>0</v>
      </c>
      <c r="CY396" s="67">
        <v>0</v>
      </c>
      <c r="CZ396" s="67">
        <v>0</v>
      </c>
      <c r="DA396" s="67">
        <v>0</v>
      </c>
      <c r="DB396" s="67">
        <v>0</v>
      </c>
      <c r="DD396" s="229">
        <v>0</v>
      </c>
      <c r="DI396" s="40" t="s">
        <v>0</v>
      </c>
    </row>
    <row r="397" spans="1:113" s="119" customFormat="1" ht="15.75" customHeight="1" thickBot="1" x14ac:dyDescent="0.3">
      <c r="A397" s="233">
        <v>560803</v>
      </c>
      <c r="B397" s="233" t="s">
        <v>6</v>
      </c>
      <c r="C397" s="234" t="s">
        <v>840</v>
      </c>
      <c r="D397" s="233">
        <v>6</v>
      </c>
      <c r="E397" s="233">
        <v>0</v>
      </c>
      <c r="F397" s="233">
        <v>6</v>
      </c>
      <c r="G397" s="233">
        <v>92</v>
      </c>
      <c r="H397" s="233">
        <v>0</v>
      </c>
      <c r="I397" s="233">
        <v>25</v>
      </c>
      <c r="J397" s="235" t="s">
        <v>938</v>
      </c>
      <c r="K397" s="235" t="s">
        <v>939</v>
      </c>
      <c r="L397" s="236">
        <v>46037.337881944397</v>
      </c>
      <c r="M397" s="233">
        <v>0</v>
      </c>
      <c r="N397" s="233">
        <v>0</v>
      </c>
      <c r="O397" s="233">
        <v>0</v>
      </c>
      <c r="R397" s="233" t="s">
        <v>24</v>
      </c>
      <c r="S397" s="233" t="b">
        <v>0</v>
      </c>
      <c r="T397" s="237">
        <v>0.01</v>
      </c>
      <c r="U397" s="238">
        <v>6</v>
      </c>
      <c r="V397" s="237">
        <v>0.01</v>
      </c>
      <c r="W397" s="237">
        <v>0</v>
      </c>
      <c r="X397" s="233">
        <v>1000</v>
      </c>
      <c r="Z397" s="233">
        <v>10</v>
      </c>
      <c r="AB397" s="239">
        <v>50</v>
      </c>
      <c r="AD397" s="233">
        <v>10</v>
      </c>
      <c r="AF397" s="233">
        <v>2000</v>
      </c>
      <c r="AG397" s="233">
        <v>2</v>
      </c>
      <c r="AH397" s="233">
        <v>6.2</v>
      </c>
      <c r="AI397" s="233">
        <v>610</v>
      </c>
      <c r="AJ397" s="233">
        <v>0</v>
      </c>
      <c r="AK397" s="233">
        <v>169</v>
      </c>
      <c r="AM397" s="233" t="s">
        <v>2</v>
      </c>
      <c r="AO397" s="233">
        <v>50</v>
      </c>
      <c r="AW397" s="233" t="b">
        <v>0</v>
      </c>
      <c r="AZ397" s="233" t="s">
        <v>24</v>
      </c>
      <c r="BE397" s="246"/>
      <c r="BF397" s="119">
        <v>1</v>
      </c>
      <c r="BG397" s="119">
        <v>1</v>
      </c>
      <c r="BH397" s="119">
        <v>0.55000000000000004</v>
      </c>
      <c r="BI397" s="119">
        <v>0</v>
      </c>
      <c r="BJ397" s="119">
        <v>0</v>
      </c>
      <c r="BK397" s="119">
        <v>5.5</v>
      </c>
      <c r="BL397" s="119">
        <v>6</v>
      </c>
      <c r="BM397" s="40" t="s">
        <v>1</v>
      </c>
      <c r="BN397" s="243">
        <v>6</v>
      </c>
      <c r="BO397" s="242">
        <v>6</v>
      </c>
      <c r="BP397" s="58">
        <v>250</v>
      </c>
      <c r="BT397" s="59"/>
      <c r="BU397" s="59"/>
      <c r="BV397" s="59"/>
      <c r="BW397" s="59"/>
      <c r="BX397" s="59"/>
      <c r="BY397" s="59"/>
      <c r="BZ397" s="59"/>
      <c r="CA397" s="59"/>
      <c r="CB397" s="59"/>
      <c r="CC397" s="59"/>
      <c r="CD397" s="59"/>
      <c r="CE397" s="60"/>
      <c r="CF397" s="76" t="s">
        <v>90</v>
      </c>
      <c r="CR397" s="40">
        <v>0</v>
      </c>
      <c r="CS397" s="67">
        <v>0</v>
      </c>
      <c r="CT397" s="67">
        <v>0</v>
      </c>
      <c r="CU397" s="40">
        <v>0</v>
      </c>
      <c r="CV397" s="67">
        <v>0</v>
      </c>
      <c r="CW397" s="67">
        <v>0</v>
      </c>
      <c r="CX397" s="67">
        <v>0</v>
      </c>
      <c r="CY397" s="67">
        <v>0</v>
      </c>
      <c r="CZ397" s="67">
        <v>0</v>
      </c>
      <c r="DA397" s="67">
        <v>0</v>
      </c>
      <c r="DB397" s="67">
        <v>0</v>
      </c>
      <c r="DD397" s="229">
        <v>0</v>
      </c>
      <c r="DI397" s="40" t="s">
        <v>0</v>
      </c>
    </row>
    <row r="398" spans="1:113" s="119" customFormat="1" ht="15.75" customHeight="1" thickBot="1" x14ac:dyDescent="0.3">
      <c r="A398" s="233">
        <v>560802</v>
      </c>
      <c r="B398" s="233" t="s">
        <v>6</v>
      </c>
      <c r="C398" s="234" t="s">
        <v>840</v>
      </c>
      <c r="D398" s="233">
        <v>6</v>
      </c>
      <c r="E398" s="233">
        <v>0</v>
      </c>
      <c r="F398" s="233">
        <v>6</v>
      </c>
      <c r="G398" s="233">
        <v>91</v>
      </c>
      <c r="H398" s="233">
        <v>0</v>
      </c>
      <c r="I398" s="233">
        <v>25</v>
      </c>
      <c r="J398" s="235" t="s">
        <v>940</v>
      </c>
      <c r="K398" s="235" t="s">
        <v>941</v>
      </c>
      <c r="L398" s="236">
        <v>46037.337812500002</v>
      </c>
      <c r="M398" s="233">
        <v>0</v>
      </c>
      <c r="N398" s="233">
        <v>0</v>
      </c>
      <c r="O398" s="233">
        <v>0</v>
      </c>
      <c r="R398" s="233" t="s">
        <v>24</v>
      </c>
      <c r="S398" s="233" t="b">
        <v>0</v>
      </c>
      <c r="T398" s="237">
        <v>0.01</v>
      </c>
      <c r="U398" s="238">
        <v>6</v>
      </c>
      <c r="V398" s="237">
        <v>0.01</v>
      </c>
      <c r="W398" s="237">
        <v>0</v>
      </c>
      <c r="X398" s="233">
        <v>1000</v>
      </c>
      <c r="Z398" s="233">
        <v>10</v>
      </c>
      <c r="AB398" s="239">
        <v>50</v>
      </c>
      <c r="AD398" s="233">
        <v>10</v>
      </c>
      <c r="AF398" s="233">
        <v>2000</v>
      </c>
      <c r="AG398" s="233">
        <v>2</v>
      </c>
      <c r="AH398" s="233">
        <v>6.19</v>
      </c>
      <c r="AI398" s="233">
        <v>588</v>
      </c>
      <c r="AJ398" s="233">
        <v>0</v>
      </c>
      <c r="AK398" s="233">
        <v>163</v>
      </c>
      <c r="AM398" s="233" t="s">
        <v>2</v>
      </c>
      <c r="AO398" s="233">
        <v>50</v>
      </c>
      <c r="AW398" s="233" t="b">
        <v>0</v>
      </c>
      <c r="AZ398" s="233" t="s">
        <v>24</v>
      </c>
      <c r="BE398" s="246"/>
      <c r="BF398" s="119">
        <v>1</v>
      </c>
      <c r="BG398" s="119">
        <v>1</v>
      </c>
      <c r="BH398" s="119">
        <v>0.55000000000000004</v>
      </c>
      <c r="BI398" s="119">
        <v>0</v>
      </c>
      <c r="BJ398" s="119">
        <v>0</v>
      </c>
      <c r="BK398" s="119">
        <v>5.5</v>
      </c>
      <c r="BL398" s="119">
        <v>6</v>
      </c>
      <c r="BM398" s="40" t="s">
        <v>1</v>
      </c>
      <c r="BN398" s="243">
        <v>6</v>
      </c>
      <c r="BO398" s="242">
        <v>6</v>
      </c>
      <c r="BP398" s="58">
        <v>250</v>
      </c>
      <c r="BT398" s="59"/>
      <c r="BU398" s="59"/>
      <c r="BV398" s="59"/>
      <c r="BW398" s="59"/>
      <c r="BX398" s="59"/>
      <c r="BY398" s="59"/>
      <c r="BZ398" s="59"/>
      <c r="CA398" s="59"/>
      <c r="CB398" s="59"/>
      <c r="CC398" s="59"/>
      <c r="CD398" s="59"/>
      <c r="CE398" s="60"/>
      <c r="CF398" s="76" t="s">
        <v>90</v>
      </c>
      <c r="CR398" s="40">
        <v>0</v>
      </c>
      <c r="CS398" s="67">
        <v>0</v>
      </c>
      <c r="CT398" s="67">
        <v>0</v>
      </c>
      <c r="CU398" s="40">
        <v>0</v>
      </c>
      <c r="CV398" s="67">
        <v>0</v>
      </c>
      <c r="CW398" s="67">
        <v>0</v>
      </c>
      <c r="CX398" s="67">
        <v>0</v>
      </c>
      <c r="CY398" s="67">
        <v>0</v>
      </c>
      <c r="CZ398" s="67">
        <v>0</v>
      </c>
      <c r="DA398" s="67">
        <v>0</v>
      </c>
      <c r="DB398" s="67">
        <v>0</v>
      </c>
      <c r="DD398" s="229">
        <v>0</v>
      </c>
      <c r="DI398" s="40" t="s">
        <v>0</v>
      </c>
    </row>
    <row r="399" spans="1:113" s="119" customFormat="1" ht="15.75" customHeight="1" thickBot="1" x14ac:dyDescent="0.3">
      <c r="A399" s="233">
        <v>560801</v>
      </c>
      <c r="B399" s="233" t="s">
        <v>6</v>
      </c>
      <c r="C399" s="234" t="s">
        <v>840</v>
      </c>
      <c r="D399" s="233">
        <v>6</v>
      </c>
      <c r="E399" s="233">
        <v>0</v>
      </c>
      <c r="F399" s="233">
        <v>6</v>
      </c>
      <c r="G399" s="233">
        <v>90</v>
      </c>
      <c r="H399" s="233">
        <v>0</v>
      </c>
      <c r="I399" s="233">
        <v>25</v>
      </c>
      <c r="J399" s="235" t="s">
        <v>942</v>
      </c>
      <c r="K399" s="235" t="s">
        <v>943</v>
      </c>
      <c r="L399" s="236">
        <v>46037.337743055599</v>
      </c>
      <c r="M399" s="233">
        <v>0</v>
      </c>
      <c r="N399" s="233">
        <v>0</v>
      </c>
      <c r="O399" s="233">
        <v>0</v>
      </c>
      <c r="R399" s="233" t="s">
        <v>24</v>
      </c>
      <c r="S399" s="233" t="b">
        <v>0</v>
      </c>
      <c r="T399" s="237">
        <v>0.01</v>
      </c>
      <c r="U399" s="238">
        <v>6</v>
      </c>
      <c r="V399" s="237">
        <v>0.01</v>
      </c>
      <c r="W399" s="237">
        <v>0</v>
      </c>
      <c r="X399" s="233">
        <v>1000</v>
      </c>
      <c r="Z399" s="233">
        <v>10</v>
      </c>
      <c r="AB399" s="239">
        <v>50</v>
      </c>
      <c r="AD399" s="233">
        <v>10</v>
      </c>
      <c r="AF399" s="233">
        <v>2000</v>
      </c>
      <c r="AG399" s="233">
        <v>2</v>
      </c>
      <c r="AH399" s="233">
        <v>6.19</v>
      </c>
      <c r="AI399" s="233">
        <v>593</v>
      </c>
      <c r="AJ399" s="233">
        <v>0</v>
      </c>
      <c r="AK399" s="233">
        <v>165</v>
      </c>
      <c r="AM399" s="233" t="s">
        <v>2</v>
      </c>
      <c r="AO399" s="233">
        <v>50</v>
      </c>
      <c r="AW399" s="233" t="b">
        <v>0</v>
      </c>
      <c r="AZ399" s="233" t="s">
        <v>24</v>
      </c>
      <c r="BE399" s="246"/>
      <c r="BF399" s="119">
        <v>1</v>
      </c>
      <c r="BG399" s="119">
        <v>1</v>
      </c>
      <c r="BH399" s="119">
        <v>0.55000000000000004</v>
      </c>
      <c r="BI399" s="119">
        <v>0</v>
      </c>
      <c r="BJ399" s="119">
        <v>0</v>
      </c>
      <c r="BK399" s="119">
        <v>5.5</v>
      </c>
      <c r="BL399" s="119">
        <v>6</v>
      </c>
      <c r="BM399" s="40" t="s">
        <v>1</v>
      </c>
      <c r="BN399" s="243">
        <v>6</v>
      </c>
      <c r="BO399" s="242">
        <v>6</v>
      </c>
      <c r="BP399" s="58">
        <v>250</v>
      </c>
      <c r="BT399" s="59"/>
      <c r="BU399" s="59"/>
      <c r="BV399" s="59"/>
      <c r="BW399" s="59"/>
      <c r="BX399" s="59"/>
      <c r="BY399" s="59"/>
      <c r="BZ399" s="59"/>
      <c r="CA399" s="59"/>
      <c r="CB399" s="59"/>
      <c r="CC399" s="59"/>
      <c r="CD399" s="59"/>
      <c r="CE399" s="60"/>
      <c r="CF399" s="76" t="s">
        <v>90</v>
      </c>
      <c r="CR399" s="40">
        <v>0</v>
      </c>
      <c r="CS399" s="67">
        <v>0</v>
      </c>
      <c r="CT399" s="67">
        <v>0</v>
      </c>
      <c r="CU399" s="40">
        <v>0</v>
      </c>
      <c r="CV399" s="67">
        <v>0</v>
      </c>
      <c r="CW399" s="67">
        <v>0</v>
      </c>
      <c r="CX399" s="67">
        <v>0</v>
      </c>
      <c r="CY399" s="67">
        <v>0</v>
      </c>
      <c r="CZ399" s="67">
        <v>0</v>
      </c>
      <c r="DA399" s="67">
        <v>0</v>
      </c>
      <c r="DB399" s="67">
        <v>0</v>
      </c>
      <c r="DD399" s="229">
        <v>0</v>
      </c>
      <c r="DI399" s="40" t="s">
        <v>0</v>
      </c>
    </row>
    <row r="400" spans="1:113" s="119" customFormat="1" ht="15.75" customHeight="1" thickBot="1" x14ac:dyDescent="0.3">
      <c r="A400" s="233">
        <v>560800</v>
      </c>
      <c r="B400" s="233" t="s">
        <v>6</v>
      </c>
      <c r="C400" s="234" t="s">
        <v>840</v>
      </c>
      <c r="D400" s="233">
        <v>6</v>
      </c>
      <c r="E400" s="233">
        <v>0</v>
      </c>
      <c r="F400" s="233">
        <v>6</v>
      </c>
      <c r="G400" s="233">
        <v>89</v>
      </c>
      <c r="H400" s="233">
        <v>0</v>
      </c>
      <c r="I400" s="233">
        <v>25</v>
      </c>
      <c r="J400" s="235" t="s">
        <v>944</v>
      </c>
      <c r="K400" s="235" t="s">
        <v>945</v>
      </c>
      <c r="L400" s="236">
        <v>46037.337673611102</v>
      </c>
      <c r="M400" s="233">
        <v>0</v>
      </c>
      <c r="N400" s="233">
        <v>0</v>
      </c>
      <c r="O400" s="233">
        <v>0</v>
      </c>
      <c r="R400" s="233" t="s">
        <v>24</v>
      </c>
      <c r="S400" s="233" t="b">
        <v>0</v>
      </c>
      <c r="T400" s="237">
        <v>0.01</v>
      </c>
      <c r="U400" s="238">
        <v>6</v>
      </c>
      <c r="V400" s="237">
        <v>0.01</v>
      </c>
      <c r="W400" s="237">
        <v>0</v>
      </c>
      <c r="X400" s="233">
        <v>1000</v>
      </c>
      <c r="Z400" s="233">
        <v>10</v>
      </c>
      <c r="AB400" s="239">
        <v>50</v>
      </c>
      <c r="AD400" s="233">
        <v>10</v>
      </c>
      <c r="AF400" s="233">
        <v>2000</v>
      </c>
      <c r="AG400" s="233">
        <v>2</v>
      </c>
      <c r="AH400" s="233">
        <v>6.19</v>
      </c>
      <c r="AI400" s="233">
        <v>593</v>
      </c>
      <c r="AJ400" s="233">
        <v>0</v>
      </c>
      <c r="AK400" s="233">
        <v>165</v>
      </c>
      <c r="AM400" s="233" t="s">
        <v>2</v>
      </c>
      <c r="AO400" s="233">
        <v>50</v>
      </c>
      <c r="AW400" s="233" t="b">
        <v>0</v>
      </c>
      <c r="AZ400" s="233" t="s">
        <v>24</v>
      </c>
      <c r="BE400" s="246"/>
      <c r="BF400" s="119">
        <v>1</v>
      </c>
      <c r="BG400" s="119">
        <v>1</v>
      </c>
      <c r="BH400" s="119">
        <v>0.55000000000000004</v>
      </c>
      <c r="BI400" s="119">
        <v>0</v>
      </c>
      <c r="BJ400" s="119">
        <v>0</v>
      </c>
      <c r="BK400" s="119">
        <v>5.5</v>
      </c>
      <c r="BL400" s="119">
        <v>6</v>
      </c>
      <c r="BM400" s="40" t="s">
        <v>1</v>
      </c>
      <c r="BN400" s="243">
        <v>6</v>
      </c>
      <c r="BO400" s="242">
        <v>6</v>
      </c>
      <c r="BP400" s="58">
        <v>250</v>
      </c>
      <c r="BT400" s="59"/>
      <c r="BU400" s="59"/>
      <c r="BV400" s="59"/>
      <c r="BW400" s="59"/>
      <c r="BX400" s="59"/>
      <c r="BY400" s="59"/>
      <c r="BZ400" s="59"/>
      <c r="CA400" s="59"/>
      <c r="CB400" s="59"/>
      <c r="CC400" s="59"/>
      <c r="CD400" s="59"/>
      <c r="CE400" s="60"/>
      <c r="CF400" s="76" t="s">
        <v>90</v>
      </c>
      <c r="CR400" s="40">
        <v>0</v>
      </c>
      <c r="CS400" s="67">
        <v>0</v>
      </c>
      <c r="CT400" s="67">
        <v>0</v>
      </c>
      <c r="CU400" s="40">
        <v>0</v>
      </c>
      <c r="CV400" s="67">
        <v>0</v>
      </c>
      <c r="CW400" s="67">
        <v>0</v>
      </c>
      <c r="CX400" s="67">
        <v>0</v>
      </c>
      <c r="CY400" s="67">
        <v>0</v>
      </c>
      <c r="CZ400" s="67">
        <v>0</v>
      </c>
      <c r="DA400" s="67">
        <v>0</v>
      </c>
      <c r="DB400" s="67">
        <v>0</v>
      </c>
      <c r="DD400" s="229">
        <v>0</v>
      </c>
      <c r="DI400" s="40" t="s">
        <v>0</v>
      </c>
    </row>
    <row r="401" spans="1:113" s="119" customFormat="1" ht="15.75" customHeight="1" thickBot="1" x14ac:dyDescent="0.3">
      <c r="A401" s="233">
        <v>560799</v>
      </c>
      <c r="B401" s="233" t="s">
        <v>6</v>
      </c>
      <c r="C401" s="234" t="s">
        <v>840</v>
      </c>
      <c r="D401" s="233">
        <v>6</v>
      </c>
      <c r="E401" s="233">
        <v>0</v>
      </c>
      <c r="F401" s="233">
        <v>6</v>
      </c>
      <c r="G401" s="233">
        <v>88</v>
      </c>
      <c r="H401" s="233">
        <v>0</v>
      </c>
      <c r="I401" s="233">
        <v>25</v>
      </c>
      <c r="J401" s="235" t="s">
        <v>946</v>
      </c>
      <c r="K401" s="235" t="s">
        <v>947</v>
      </c>
      <c r="L401" s="236">
        <v>46037.3376041667</v>
      </c>
      <c r="M401" s="233">
        <v>0</v>
      </c>
      <c r="N401" s="233">
        <v>0</v>
      </c>
      <c r="O401" s="233">
        <v>0</v>
      </c>
      <c r="R401" s="233" t="s">
        <v>24</v>
      </c>
      <c r="S401" s="233" t="b">
        <v>0</v>
      </c>
      <c r="T401" s="237">
        <v>0.01</v>
      </c>
      <c r="U401" s="238">
        <v>6</v>
      </c>
      <c r="V401" s="237">
        <v>0.01</v>
      </c>
      <c r="W401" s="237">
        <v>0</v>
      </c>
      <c r="X401" s="233">
        <v>1000</v>
      </c>
      <c r="Z401" s="233">
        <v>10</v>
      </c>
      <c r="AB401" s="239">
        <v>50</v>
      </c>
      <c r="AD401" s="233">
        <v>10</v>
      </c>
      <c r="AF401" s="233">
        <v>2000</v>
      </c>
      <c r="AG401" s="233">
        <v>2</v>
      </c>
      <c r="AH401" s="233">
        <v>6.19</v>
      </c>
      <c r="AI401" s="233">
        <v>614</v>
      </c>
      <c r="AJ401" s="233">
        <v>0</v>
      </c>
      <c r="AK401" s="233">
        <v>170</v>
      </c>
      <c r="AM401" s="233" t="s">
        <v>2</v>
      </c>
      <c r="AO401" s="233">
        <v>50</v>
      </c>
      <c r="AW401" s="233" t="b">
        <v>0</v>
      </c>
      <c r="AZ401" s="233" t="s">
        <v>24</v>
      </c>
      <c r="BE401" s="246"/>
      <c r="BF401" s="119">
        <v>1</v>
      </c>
      <c r="BG401" s="119">
        <v>1</v>
      </c>
      <c r="BH401" s="119">
        <v>0.55000000000000004</v>
      </c>
      <c r="BI401" s="119">
        <v>0</v>
      </c>
      <c r="BJ401" s="119">
        <v>0</v>
      </c>
      <c r="BK401" s="119">
        <v>5.5</v>
      </c>
      <c r="BL401" s="119">
        <v>6</v>
      </c>
      <c r="BM401" s="40" t="s">
        <v>1</v>
      </c>
      <c r="BN401" s="243">
        <v>6</v>
      </c>
      <c r="BO401" s="242">
        <v>6</v>
      </c>
      <c r="BP401" s="58">
        <v>250</v>
      </c>
      <c r="BT401" s="59"/>
      <c r="BU401" s="59"/>
      <c r="BV401" s="59"/>
      <c r="BW401" s="59"/>
      <c r="BX401" s="59"/>
      <c r="BY401" s="59"/>
      <c r="BZ401" s="59"/>
      <c r="CA401" s="59"/>
      <c r="CB401" s="59"/>
      <c r="CC401" s="59"/>
      <c r="CD401" s="59"/>
      <c r="CE401" s="60"/>
      <c r="CF401" s="76" t="s">
        <v>90</v>
      </c>
      <c r="CR401" s="40">
        <v>0</v>
      </c>
      <c r="CS401" s="67">
        <v>0</v>
      </c>
      <c r="CT401" s="67">
        <v>0</v>
      </c>
      <c r="CU401" s="40">
        <v>0</v>
      </c>
      <c r="CV401" s="67">
        <v>0</v>
      </c>
      <c r="CW401" s="67">
        <v>0</v>
      </c>
      <c r="CX401" s="67">
        <v>0</v>
      </c>
      <c r="CY401" s="67">
        <v>0</v>
      </c>
      <c r="CZ401" s="67">
        <v>0</v>
      </c>
      <c r="DA401" s="67">
        <v>0</v>
      </c>
      <c r="DB401" s="67">
        <v>0</v>
      </c>
      <c r="DD401" s="229">
        <v>0</v>
      </c>
      <c r="DI401" s="40" t="s">
        <v>0</v>
      </c>
    </row>
    <row r="402" spans="1:113" s="119" customFormat="1" ht="15.75" customHeight="1" thickBot="1" x14ac:dyDescent="0.3">
      <c r="A402" s="233">
        <v>560798</v>
      </c>
      <c r="B402" s="233" t="s">
        <v>6</v>
      </c>
      <c r="C402" s="234" t="s">
        <v>840</v>
      </c>
      <c r="D402" s="233">
        <v>6</v>
      </c>
      <c r="E402" s="233">
        <v>0</v>
      </c>
      <c r="F402" s="233">
        <v>6</v>
      </c>
      <c r="G402" s="233">
        <v>87</v>
      </c>
      <c r="H402" s="233">
        <v>0</v>
      </c>
      <c r="I402" s="233">
        <v>25</v>
      </c>
      <c r="J402" s="235" t="s">
        <v>948</v>
      </c>
      <c r="K402" s="235" t="s">
        <v>949</v>
      </c>
      <c r="L402" s="236">
        <v>46037.337546296301</v>
      </c>
      <c r="M402" s="233">
        <v>0</v>
      </c>
      <c r="N402" s="233">
        <v>0</v>
      </c>
      <c r="O402" s="233">
        <v>0</v>
      </c>
      <c r="R402" s="233" t="s">
        <v>24</v>
      </c>
      <c r="S402" s="233" t="b">
        <v>0</v>
      </c>
      <c r="T402" s="237">
        <v>0.01</v>
      </c>
      <c r="U402" s="238">
        <v>6</v>
      </c>
      <c r="V402" s="237">
        <v>0.01</v>
      </c>
      <c r="W402" s="237">
        <v>0</v>
      </c>
      <c r="X402" s="233">
        <v>1000</v>
      </c>
      <c r="Z402" s="233">
        <v>10</v>
      </c>
      <c r="AB402" s="239">
        <v>50</v>
      </c>
      <c r="AD402" s="233">
        <v>10</v>
      </c>
      <c r="AF402" s="233">
        <v>2000</v>
      </c>
      <c r="AG402" s="233">
        <v>2</v>
      </c>
      <c r="AH402" s="233">
        <v>6.19</v>
      </c>
      <c r="AI402" s="233">
        <v>605</v>
      </c>
      <c r="AJ402" s="233">
        <v>0</v>
      </c>
      <c r="AK402" s="233">
        <v>167</v>
      </c>
      <c r="AM402" s="233" t="s">
        <v>2</v>
      </c>
      <c r="AO402" s="233">
        <v>50</v>
      </c>
      <c r="AW402" s="233" t="b">
        <v>0</v>
      </c>
      <c r="AZ402" s="233" t="s">
        <v>24</v>
      </c>
      <c r="BE402" s="246"/>
      <c r="BF402" s="119">
        <v>1</v>
      </c>
      <c r="BG402" s="119">
        <v>1</v>
      </c>
      <c r="BH402" s="119">
        <v>0.55000000000000004</v>
      </c>
      <c r="BI402" s="119">
        <v>0</v>
      </c>
      <c r="BJ402" s="119">
        <v>0</v>
      </c>
      <c r="BK402" s="119">
        <v>5.5</v>
      </c>
      <c r="BL402" s="119">
        <v>6</v>
      </c>
      <c r="BM402" s="40" t="s">
        <v>1</v>
      </c>
      <c r="BN402" s="243">
        <v>6</v>
      </c>
      <c r="BO402" s="242">
        <v>6</v>
      </c>
      <c r="BP402" s="58">
        <v>250</v>
      </c>
      <c r="BT402" s="59"/>
      <c r="BU402" s="59"/>
      <c r="BV402" s="59"/>
      <c r="BW402" s="59"/>
      <c r="BX402" s="59"/>
      <c r="BY402" s="59"/>
      <c r="BZ402" s="59"/>
      <c r="CA402" s="59"/>
      <c r="CB402" s="59"/>
      <c r="CC402" s="59"/>
      <c r="CD402" s="59"/>
      <c r="CE402" s="60"/>
      <c r="CF402" s="76" t="s">
        <v>90</v>
      </c>
      <c r="CR402" s="40">
        <v>0</v>
      </c>
      <c r="CS402" s="67">
        <v>0</v>
      </c>
      <c r="CT402" s="67">
        <v>0</v>
      </c>
      <c r="CU402" s="40">
        <v>0</v>
      </c>
      <c r="CV402" s="67">
        <v>0</v>
      </c>
      <c r="CW402" s="67">
        <v>0</v>
      </c>
      <c r="CX402" s="67">
        <v>0</v>
      </c>
      <c r="CY402" s="67">
        <v>0</v>
      </c>
      <c r="CZ402" s="67">
        <v>0</v>
      </c>
      <c r="DA402" s="67">
        <v>0</v>
      </c>
      <c r="DB402" s="67">
        <v>0</v>
      </c>
      <c r="DD402" s="229">
        <v>0</v>
      </c>
      <c r="DI402" s="40" t="s">
        <v>0</v>
      </c>
    </row>
    <row r="403" spans="1:113" s="119" customFormat="1" ht="15.75" customHeight="1" thickBot="1" x14ac:dyDescent="0.3">
      <c r="A403" s="233">
        <v>560759</v>
      </c>
      <c r="B403" s="233" t="s">
        <v>6</v>
      </c>
      <c r="C403" s="234" t="s">
        <v>831</v>
      </c>
      <c r="D403" s="233">
        <v>5</v>
      </c>
      <c r="E403" s="233">
        <v>0</v>
      </c>
      <c r="F403" s="233">
        <v>5</v>
      </c>
      <c r="G403" s="233">
        <v>48</v>
      </c>
      <c r="H403" s="233">
        <v>0</v>
      </c>
      <c r="I403" s="233">
        <v>25</v>
      </c>
      <c r="J403" s="235" t="s">
        <v>950</v>
      </c>
      <c r="K403" s="235" t="s">
        <v>951</v>
      </c>
      <c r="L403" s="236">
        <v>46037.3335532407</v>
      </c>
      <c r="M403" s="233">
        <v>0</v>
      </c>
      <c r="N403" s="233">
        <v>0</v>
      </c>
      <c r="O403" s="233">
        <v>0</v>
      </c>
      <c r="R403" s="233" t="s">
        <v>24</v>
      </c>
      <c r="S403" s="233" t="b">
        <v>0</v>
      </c>
      <c r="T403" s="237">
        <v>0.01</v>
      </c>
      <c r="U403" s="238">
        <v>5.5</v>
      </c>
      <c r="V403" s="237">
        <v>0.01</v>
      </c>
      <c r="W403" s="237">
        <v>0</v>
      </c>
      <c r="X403" s="233">
        <v>1000</v>
      </c>
      <c r="Z403" s="233">
        <v>10</v>
      </c>
      <c r="AB403" s="239">
        <v>50</v>
      </c>
      <c r="AD403" s="233">
        <v>10</v>
      </c>
      <c r="AF403" s="233">
        <v>2000</v>
      </c>
      <c r="AG403" s="233">
        <v>2</v>
      </c>
      <c r="AH403" s="233">
        <v>5.67</v>
      </c>
      <c r="AI403" s="233">
        <v>440</v>
      </c>
      <c r="AJ403" s="233">
        <v>0</v>
      </c>
      <c r="AK403" s="233">
        <v>112</v>
      </c>
      <c r="AM403" s="233" t="s">
        <v>2</v>
      </c>
      <c r="AO403" s="233">
        <v>50</v>
      </c>
      <c r="AW403" s="233" t="b">
        <v>0</v>
      </c>
      <c r="AZ403" s="233" t="s">
        <v>24</v>
      </c>
      <c r="BE403" s="246"/>
      <c r="BF403" s="119">
        <v>1</v>
      </c>
      <c r="BG403" s="119">
        <v>0.55000000000000004</v>
      </c>
      <c r="BH403" s="119">
        <v>0</v>
      </c>
      <c r="BI403" s="119">
        <v>0</v>
      </c>
      <c r="BJ403" s="119">
        <v>0</v>
      </c>
      <c r="BK403" s="119">
        <v>5.5</v>
      </c>
      <c r="BL403" s="119">
        <v>6</v>
      </c>
      <c r="BM403" s="40" t="s">
        <v>1</v>
      </c>
      <c r="BN403" s="243">
        <v>5</v>
      </c>
      <c r="BO403" s="242">
        <v>5.5</v>
      </c>
      <c r="BP403" s="58">
        <v>250</v>
      </c>
      <c r="BT403" s="59"/>
      <c r="BU403" s="59"/>
      <c r="BV403" s="59"/>
      <c r="BW403" s="59"/>
      <c r="BX403" s="59"/>
      <c r="BY403" s="59"/>
      <c r="BZ403" s="59"/>
      <c r="CA403" s="59"/>
      <c r="CB403" s="59"/>
      <c r="CC403" s="59"/>
      <c r="CD403" s="59"/>
      <c r="CE403" s="60"/>
      <c r="CF403" s="76" t="s">
        <v>90</v>
      </c>
      <c r="CR403" s="40">
        <v>0</v>
      </c>
      <c r="CS403" s="67">
        <v>0</v>
      </c>
      <c r="CT403" s="67">
        <v>0</v>
      </c>
      <c r="CU403" s="40">
        <v>0</v>
      </c>
      <c r="CV403" s="67">
        <v>0</v>
      </c>
      <c r="CW403" s="67">
        <v>0</v>
      </c>
      <c r="CX403" s="67">
        <v>0</v>
      </c>
      <c r="CY403" s="67">
        <v>0</v>
      </c>
      <c r="CZ403" s="67">
        <v>0</v>
      </c>
      <c r="DA403" s="67">
        <v>0</v>
      </c>
      <c r="DB403" s="67">
        <v>0</v>
      </c>
      <c r="DD403" s="229">
        <v>0</v>
      </c>
      <c r="DI403" s="40" t="s">
        <v>0</v>
      </c>
    </row>
    <row r="404" spans="1:113" s="119" customFormat="1" ht="15.75" customHeight="1" thickBot="1" x14ac:dyDescent="0.3">
      <c r="A404" s="233">
        <v>560758</v>
      </c>
      <c r="B404" s="233" t="s">
        <v>6</v>
      </c>
      <c r="C404" s="234" t="s">
        <v>831</v>
      </c>
      <c r="D404" s="233">
        <v>5</v>
      </c>
      <c r="E404" s="233">
        <v>0</v>
      </c>
      <c r="F404" s="233">
        <v>5</v>
      </c>
      <c r="G404" s="233">
        <v>47</v>
      </c>
      <c r="H404" s="233">
        <v>0</v>
      </c>
      <c r="I404" s="233">
        <v>25</v>
      </c>
      <c r="J404" s="235" t="s">
        <v>952</v>
      </c>
      <c r="K404" s="235" t="s">
        <v>953</v>
      </c>
      <c r="L404" s="236">
        <v>46037.333483796298</v>
      </c>
      <c r="M404" s="233">
        <v>0</v>
      </c>
      <c r="N404" s="233">
        <v>0</v>
      </c>
      <c r="O404" s="233">
        <v>0</v>
      </c>
      <c r="R404" s="233" t="s">
        <v>24</v>
      </c>
      <c r="S404" s="233" t="b">
        <v>0</v>
      </c>
      <c r="T404" s="237">
        <v>0.01</v>
      </c>
      <c r="U404" s="238">
        <v>5.5</v>
      </c>
      <c r="V404" s="237">
        <v>0.01</v>
      </c>
      <c r="W404" s="237">
        <v>0</v>
      </c>
      <c r="X404" s="233">
        <v>1000</v>
      </c>
      <c r="Z404" s="233">
        <v>10</v>
      </c>
      <c r="AB404" s="239">
        <v>50</v>
      </c>
      <c r="AD404" s="233">
        <v>10</v>
      </c>
      <c r="AF404" s="233">
        <v>2000</v>
      </c>
      <c r="AG404" s="233">
        <v>2</v>
      </c>
      <c r="AH404" s="233">
        <v>5.67</v>
      </c>
      <c r="AI404" s="233">
        <v>444</v>
      </c>
      <c r="AJ404" s="233">
        <v>0</v>
      </c>
      <c r="AK404" s="233">
        <v>114</v>
      </c>
      <c r="AM404" s="233" t="s">
        <v>2</v>
      </c>
      <c r="AO404" s="233">
        <v>50</v>
      </c>
      <c r="AW404" s="233" t="b">
        <v>0</v>
      </c>
      <c r="AZ404" s="233" t="s">
        <v>24</v>
      </c>
      <c r="BE404" s="246"/>
      <c r="BF404" s="119">
        <v>1</v>
      </c>
      <c r="BG404" s="119">
        <v>0.55000000000000004</v>
      </c>
      <c r="BH404" s="119">
        <v>0</v>
      </c>
      <c r="BI404" s="119">
        <v>0</v>
      </c>
      <c r="BJ404" s="119">
        <v>0</v>
      </c>
      <c r="BK404" s="119">
        <v>5.5</v>
      </c>
      <c r="BL404" s="119">
        <v>6</v>
      </c>
      <c r="BM404" s="40" t="s">
        <v>1</v>
      </c>
      <c r="BN404" s="243">
        <v>5</v>
      </c>
      <c r="BO404" s="242">
        <v>5.5</v>
      </c>
      <c r="BP404" s="58">
        <v>250</v>
      </c>
      <c r="BT404" s="59"/>
      <c r="BU404" s="59"/>
      <c r="BV404" s="59"/>
      <c r="BW404" s="59"/>
      <c r="BX404" s="59"/>
      <c r="BY404" s="59"/>
      <c r="BZ404" s="59"/>
      <c r="CA404" s="59"/>
      <c r="CB404" s="59"/>
      <c r="CC404" s="59"/>
      <c r="CD404" s="59"/>
      <c r="CE404" s="60"/>
      <c r="CF404" s="76" t="s">
        <v>90</v>
      </c>
      <c r="CR404" s="40">
        <v>0</v>
      </c>
      <c r="CS404" s="67">
        <v>0</v>
      </c>
      <c r="CT404" s="67">
        <v>0</v>
      </c>
      <c r="CU404" s="40">
        <v>0</v>
      </c>
      <c r="CV404" s="67">
        <v>0</v>
      </c>
      <c r="CW404" s="67">
        <v>0</v>
      </c>
      <c r="CX404" s="67">
        <v>0</v>
      </c>
      <c r="CY404" s="67">
        <v>0</v>
      </c>
      <c r="CZ404" s="67">
        <v>0</v>
      </c>
      <c r="DA404" s="67">
        <v>0</v>
      </c>
      <c r="DB404" s="67">
        <v>0</v>
      </c>
      <c r="DD404" s="229">
        <v>0</v>
      </c>
      <c r="DI404" s="40" t="s">
        <v>0</v>
      </c>
    </row>
    <row r="405" spans="1:113" s="119" customFormat="1" ht="15.75" customHeight="1" thickBot="1" x14ac:dyDescent="0.3">
      <c r="A405" s="233">
        <v>560757</v>
      </c>
      <c r="B405" s="233" t="s">
        <v>6</v>
      </c>
      <c r="C405" s="234" t="s">
        <v>831</v>
      </c>
      <c r="D405" s="233">
        <v>5</v>
      </c>
      <c r="E405" s="233">
        <v>0</v>
      </c>
      <c r="F405" s="233">
        <v>5</v>
      </c>
      <c r="G405" s="233">
        <v>46</v>
      </c>
      <c r="H405" s="233">
        <v>0</v>
      </c>
      <c r="I405" s="233">
        <v>25</v>
      </c>
      <c r="J405" s="235" t="s">
        <v>954</v>
      </c>
      <c r="K405" s="235" t="s">
        <v>955</v>
      </c>
      <c r="L405" s="236">
        <v>46037.333414351902</v>
      </c>
      <c r="M405" s="233">
        <v>0</v>
      </c>
      <c r="N405" s="233">
        <v>0</v>
      </c>
      <c r="O405" s="233">
        <v>0</v>
      </c>
      <c r="R405" s="233" t="s">
        <v>24</v>
      </c>
      <c r="S405" s="233" t="b">
        <v>0</v>
      </c>
      <c r="T405" s="237">
        <v>0.01</v>
      </c>
      <c r="U405" s="238">
        <v>5.5</v>
      </c>
      <c r="V405" s="237">
        <v>0.01</v>
      </c>
      <c r="W405" s="237">
        <v>0</v>
      </c>
      <c r="X405" s="233">
        <v>1000</v>
      </c>
      <c r="Z405" s="233">
        <v>10</v>
      </c>
      <c r="AB405" s="239">
        <v>50</v>
      </c>
      <c r="AD405" s="233">
        <v>10</v>
      </c>
      <c r="AF405" s="233">
        <v>2000</v>
      </c>
      <c r="AG405" s="233">
        <v>2</v>
      </c>
      <c r="AH405" s="233">
        <v>5.66</v>
      </c>
      <c r="AI405" s="233">
        <v>436</v>
      </c>
      <c r="AJ405" s="233">
        <v>0</v>
      </c>
      <c r="AK405" s="233">
        <v>112</v>
      </c>
      <c r="AM405" s="233" t="s">
        <v>2</v>
      </c>
      <c r="AO405" s="233">
        <v>50</v>
      </c>
      <c r="AW405" s="233" t="b">
        <v>0</v>
      </c>
      <c r="AZ405" s="233" t="s">
        <v>24</v>
      </c>
      <c r="BE405" s="246"/>
      <c r="BF405" s="119">
        <v>1</v>
      </c>
      <c r="BG405" s="119">
        <v>0.55000000000000004</v>
      </c>
      <c r="BH405" s="119">
        <v>0</v>
      </c>
      <c r="BI405" s="119">
        <v>0</v>
      </c>
      <c r="BJ405" s="119">
        <v>0</v>
      </c>
      <c r="BK405" s="119">
        <v>5.5</v>
      </c>
      <c r="BL405" s="119">
        <v>6</v>
      </c>
      <c r="BM405" s="40" t="s">
        <v>1</v>
      </c>
      <c r="BN405" s="243">
        <v>5</v>
      </c>
      <c r="BO405" s="242">
        <v>5.5</v>
      </c>
      <c r="BP405" s="58">
        <v>250</v>
      </c>
      <c r="BT405" s="59"/>
      <c r="BU405" s="59"/>
      <c r="BV405" s="59"/>
      <c r="BW405" s="59"/>
      <c r="BX405" s="59"/>
      <c r="BY405" s="59"/>
      <c r="BZ405" s="59"/>
      <c r="CA405" s="59"/>
      <c r="CB405" s="59"/>
      <c r="CC405" s="59"/>
      <c r="CD405" s="59"/>
      <c r="CE405" s="60"/>
      <c r="CF405" s="76" t="s">
        <v>90</v>
      </c>
      <c r="CR405" s="40">
        <v>0</v>
      </c>
      <c r="CS405" s="67">
        <v>0</v>
      </c>
      <c r="CT405" s="67">
        <v>0</v>
      </c>
      <c r="CU405" s="40">
        <v>0</v>
      </c>
      <c r="CV405" s="67">
        <v>0</v>
      </c>
      <c r="CW405" s="67">
        <v>0</v>
      </c>
      <c r="CX405" s="67">
        <v>0</v>
      </c>
      <c r="CY405" s="67">
        <v>0</v>
      </c>
      <c r="CZ405" s="67">
        <v>0</v>
      </c>
      <c r="DA405" s="67">
        <v>0</v>
      </c>
      <c r="DB405" s="67">
        <v>0</v>
      </c>
      <c r="DD405" s="229">
        <v>0</v>
      </c>
      <c r="DI405" s="40" t="s">
        <v>0</v>
      </c>
    </row>
    <row r="406" spans="1:113" s="119" customFormat="1" ht="15.75" customHeight="1" thickBot="1" x14ac:dyDescent="0.3">
      <c r="A406" s="233">
        <v>560756</v>
      </c>
      <c r="B406" s="233" t="s">
        <v>6</v>
      </c>
      <c r="C406" s="234" t="s">
        <v>831</v>
      </c>
      <c r="D406" s="233">
        <v>5</v>
      </c>
      <c r="E406" s="233">
        <v>0</v>
      </c>
      <c r="F406" s="233">
        <v>5</v>
      </c>
      <c r="G406" s="233">
        <v>45</v>
      </c>
      <c r="H406" s="233">
        <v>0</v>
      </c>
      <c r="I406" s="233">
        <v>25</v>
      </c>
      <c r="J406" s="235" t="s">
        <v>956</v>
      </c>
      <c r="K406" s="235" t="s">
        <v>957</v>
      </c>
      <c r="L406" s="236">
        <v>46037.333344907398</v>
      </c>
      <c r="M406" s="233">
        <v>0</v>
      </c>
      <c r="N406" s="233">
        <v>0</v>
      </c>
      <c r="O406" s="233">
        <v>0</v>
      </c>
      <c r="R406" s="233" t="s">
        <v>24</v>
      </c>
      <c r="S406" s="233" t="b">
        <v>0</v>
      </c>
      <c r="T406" s="237">
        <v>0.01</v>
      </c>
      <c r="U406" s="238">
        <v>5.5</v>
      </c>
      <c r="V406" s="237">
        <v>0.01</v>
      </c>
      <c r="W406" s="237">
        <v>0</v>
      </c>
      <c r="X406" s="233">
        <v>1000</v>
      </c>
      <c r="Z406" s="233">
        <v>10</v>
      </c>
      <c r="AB406" s="239">
        <v>50</v>
      </c>
      <c r="AD406" s="233">
        <v>10</v>
      </c>
      <c r="AF406" s="233">
        <v>2000</v>
      </c>
      <c r="AG406" s="233">
        <v>2</v>
      </c>
      <c r="AH406" s="233">
        <v>5.65</v>
      </c>
      <c r="AI406" s="233">
        <v>432</v>
      </c>
      <c r="AJ406" s="233">
        <v>0</v>
      </c>
      <c r="AK406" s="233">
        <v>110</v>
      </c>
      <c r="AM406" s="233" t="s">
        <v>2</v>
      </c>
      <c r="AO406" s="233">
        <v>50</v>
      </c>
      <c r="AW406" s="233" t="b">
        <v>0</v>
      </c>
      <c r="AZ406" s="233" t="s">
        <v>24</v>
      </c>
      <c r="BE406" s="246"/>
      <c r="BF406" s="119">
        <v>1</v>
      </c>
      <c r="BG406" s="119">
        <v>0.55000000000000004</v>
      </c>
      <c r="BH406" s="119">
        <v>0</v>
      </c>
      <c r="BI406" s="119">
        <v>0</v>
      </c>
      <c r="BJ406" s="119">
        <v>0</v>
      </c>
      <c r="BK406" s="119">
        <v>5.5</v>
      </c>
      <c r="BL406" s="119">
        <v>6</v>
      </c>
      <c r="BM406" s="40" t="s">
        <v>1</v>
      </c>
      <c r="BN406" s="243">
        <v>5</v>
      </c>
      <c r="BO406" s="242">
        <v>5.5</v>
      </c>
      <c r="BP406" s="58">
        <v>250</v>
      </c>
      <c r="BT406" s="59"/>
      <c r="BU406" s="59"/>
      <c r="BV406" s="59"/>
      <c r="BW406" s="59"/>
      <c r="BX406" s="59"/>
      <c r="BY406" s="59"/>
      <c r="BZ406" s="59"/>
      <c r="CA406" s="59"/>
      <c r="CB406" s="59"/>
      <c r="CC406" s="59"/>
      <c r="CD406" s="59"/>
      <c r="CE406" s="60"/>
      <c r="CF406" s="76" t="s">
        <v>90</v>
      </c>
      <c r="CR406" s="40">
        <v>0</v>
      </c>
      <c r="CS406" s="67">
        <v>0</v>
      </c>
      <c r="CT406" s="67">
        <v>0</v>
      </c>
      <c r="CU406" s="40">
        <v>0</v>
      </c>
      <c r="CV406" s="67">
        <v>0</v>
      </c>
      <c r="CW406" s="67">
        <v>0</v>
      </c>
      <c r="CX406" s="67">
        <v>0</v>
      </c>
      <c r="CY406" s="67">
        <v>0</v>
      </c>
      <c r="CZ406" s="67">
        <v>0</v>
      </c>
      <c r="DA406" s="67">
        <v>0</v>
      </c>
      <c r="DB406" s="67">
        <v>0</v>
      </c>
      <c r="DD406" s="229">
        <v>0</v>
      </c>
      <c r="DI406" s="40" t="s">
        <v>0</v>
      </c>
    </row>
    <row r="407" spans="1:113" s="119" customFormat="1" ht="15.75" customHeight="1" thickBot="1" x14ac:dyDescent="0.3">
      <c r="A407" s="233">
        <v>560755</v>
      </c>
      <c r="B407" s="233" t="s">
        <v>6</v>
      </c>
      <c r="C407" s="234" t="s">
        <v>831</v>
      </c>
      <c r="D407" s="233">
        <v>5</v>
      </c>
      <c r="E407" s="233">
        <v>0</v>
      </c>
      <c r="F407" s="233">
        <v>5</v>
      </c>
      <c r="G407" s="233">
        <v>44</v>
      </c>
      <c r="H407" s="233">
        <v>0</v>
      </c>
      <c r="I407" s="233">
        <v>25</v>
      </c>
      <c r="J407" s="235" t="s">
        <v>958</v>
      </c>
      <c r="K407" s="235" t="s">
        <v>959</v>
      </c>
      <c r="L407" s="236">
        <v>46037.333275463003</v>
      </c>
      <c r="M407" s="233">
        <v>0</v>
      </c>
      <c r="N407" s="233">
        <v>0</v>
      </c>
      <c r="O407" s="233">
        <v>0</v>
      </c>
      <c r="R407" s="233" t="s">
        <v>24</v>
      </c>
      <c r="S407" s="233" t="b">
        <v>0</v>
      </c>
      <c r="T407" s="237">
        <v>0.01</v>
      </c>
      <c r="U407" s="238">
        <v>5.5</v>
      </c>
      <c r="V407" s="237">
        <v>0.01</v>
      </c>
      <c r="W407" s="237">
        <v>0</v>
      </c>
      <c r="X407" s="233">
        <v>1000</v>
      </c>
      <c r="Z407" s="233">
        <v>10</v>
      </c>
      <c r="AB407" s="239">
        <v>50</v>
      </c>
      <c r="AD407" s="233">
        <v>10</v>
      </c>
      <c r="AF407" s="233">
        <v>2000</v>
      </c>
      <c r="AG407" s="233">
        <v>2</v>
      </c>
      <c r="AH407" s="233">
        <v>5.66</v>
      </c>
      <c r="AI407" s="233">
        <v>432</v>
      </c>
      <c r="AJ407" s="233">
        <v>0</v>
      </c>
      <c r="AK407" s="233">
        <v>110</v>
      </c>
      <c r="AM407" s="233" t="s">
        <v>2</v>
      </c>
      <c r="AO407" s="233">
        <v>50</v>
      </c>
      <c r="AW407" s="233" t="b">
        <v>0</v>
      </c>
      <c r="AZ407" s="233" t="s">
        <v>24</v>
      </c>
      <c r="BE407" s="246"/>
      <c r="BF407" s="119">
        <v>1</v>
      </c>
      <c r="BG407" s="119">
        <v>0.55000000000000004</v>
      </c>
      <c r="BH407" s="119">
        <v>0</v>
      </c>
      <c r="BI407" s="119">
        <v>0</v>
      </c>
      <c r="BJ407" s="119">
        <v>0</v>
      </c>
      <c r="BK407" s="119">
        <v>5.5</v>
      </c>
      <c r="BL407" s="119">
        <v>6</v>
      </c>
      <c r="BM407" s="40" t="s">
        <v>1</v>
      </c>
      <c r="BN407" s="243">
        <v>5</v>
      </c>
      <c r="BO407" s="242">
        <v>5.5</v>
      </c>
      <c r="BP407" s="58">
        <v>250</v>
      </c>
      <c r="BT407" s="59"/>
      <c r="BU407" s="59"/>
      <c r="BV407" s="59"/>
      <c r="BW407" s="59"/>
      <c r="BX407" s="59"/>
      <c r="BY407" s="59"/>
      <c r="BZ407" s="59"/>
      <c r="CA407" s="59"/>
      <c r="CB407" s="59"/>
      <c r="CC407" s="59"/>
      <c r="CD407" s="59"/>
      <c r="CE407" s="60"/>
      <c r="CF407" s="76" t="s">
        <v>90</v>
      </c>
      <c r="CR407" s="40">
        <v>0</v>
      </c>
      <c r="CS407" s="67">
        <v>0</v>
      </c>
      <c r="CT407" s="67">
        <v>0</v>
      </c>
      <c r="CU407" s="40">
        <v>0</v>
      </c>
      <c r="CV407" s="67">
        <v>0</v>
      </c>
      <c r="CW407" s="67">
        <v>0</v>
      </c>
      <c r="CX407" s="67">
        <v>0</v>
      </c>
      <c r="CY407" s="67">
        <v>0</v>
      </c>
      <c r="CZ407" s="67">
        <v>0</v>
      </c>
      <c r="DA407" s="67">
        <v>0</v>
      </c>
      <c r="DB407" s="67">
        <v>0</v>
      </c>
      <c r="DD407" s="229">
        <v>0</v>
      </c>
      <c r="DI407" s="40" t="s">
        <v>0</v>
      </c>
    </row>
    <row r="408" spans="1:113" s="119" customFormat="1" ht="15.75" customHeight="1" thickBot="1" x14ac:dyDescent="0.3">
      <c r="A408" s="233">
        <v>560754</v>
      </c>
      <c r="B408" s="233" t="s">
        <v>6</v>
      </c>
      <c r="C408" s="234" t="s">
        <v>831</v>
      </c>
      <c r="D408" s="233">
        <v>5</v>
      </c>
      <c r="E408" s="233">
        <v>0</v>
      </c>
      <c r="F408" s="233">
        <v>5</v>
      </c>
      <c r="G408" s="233">
        <v>43</v>
      </c>
      <c r="H408" s="233">
        <v>0</v>
      </c>
      <c r="I408" s="233">
        <v>25</v>
      </c>
      <c r="J408" s="235" t="s">
        <v>960</v>
      </c>
      <c r="K408" s="235" t="s">
        <v>961</v>
      </c>
      <c r="L408" s="236">
        <v>46037.333206018498</v>
      </c>
      <c r="M408" s="233">
        <v>0</v>
      </c>
      <c r="N408" s="233">
        <v>0</v>
      </c>
      <c r="O408" s="233">
        <v>0</v>
      </c>
      <c r="R408" s="233" t="s">
        <v>24</v>
      </c>
      <c r="S408" s="233" t="b">
        <v>0</v>
      </c>
      <c r="T408" s="237">
        <v>0.01</v>
      </c>
      <c r="U408" s="238">
        <v>5.5</v>
      </c>
      <c r="V408" s="237">
        <v>0.01</v>
      </c>
      <c r="W408" s="237">
        <v>0</v>
      </c>
      <c r="X408" s="233">
        <v>1000</v>
      </c>
      <c r="Z408" s="233">
        <v>10</v>
      </c>
      <c r="AB408" s="239">
        <v>50</v>
      </c>
      <c r="AD408" s="233">
        <v>10</v>
      </c>
      <c r="AF408" s="233">
        <v>2000</v>
      </c>
      <c r="AG408" s="233">
        <v>2</v>
      </c>
      <c r="AH408" s="233">
        <v>5.66</v>
      </c>
      <c r="AI408" s="233">
        <v>444</v>
      </c>
      <c r="AJ408" s="233">
        <v>0</v>
      </c>
      <c r="AK408" s="233">
        <v>114</v>
      </c>
      <c r="AM408" s="233" t="s">
        <v>2</v>
      </c>
      <c r="AO408" s="233">
        <v>50</v>
      </c>
      <c r="AW408" s="233" t="b">
        <v>0</v>
      </c>
      <c r="AZ408" s="233" t="s">
        <v>24</v>
      </c>
      <c r="BE408" s="246"/>
      <c r="BF408" s="119">
        <v>1</v>
      </c>
      <c r="BG408" s="119">
        <v>0.55000000000000004</v>
      </c>
      <c r="BH408" s="119">
        <v>0</v>
      </c>
      <c r="BI408" s="119">
        <v>0</v>
      </c>
      <c r="BJ408" s="119">
        <v>0</v>
      </c>
      <c r="BK408" s="119">
        <v>5.5</v>
      </c>
      <c r="BL408" s="119">
        <v>6</v>
      </c>
      <c r="BM408" s="40" t="s">
        <v>1</v>
      </c>
      <c r="BN408" s="243">
        <v>5</v>
      </c>
      <c r="BO408" s="242">
        <v>5.5</v>
      </c>
      <c r="BP408" s="58">
        <v>250</v>
      </c>
      <c r="BT408" s="59"/>
      <c r="BU408" s="59"/>
      <c r="BV408" s="59"/>
      <c r="BW408" s="59"/>
      <c r="BX408" s="59"/>
      <c r="BY408" s="59"/>
      <c r="BZ408" s="59"/>
      <c r="CA408" s="59"/>
      <c r="CB408" s="59"/>
      <c r="CC408" s="59"/>
      <c r="CD408" s="59"/>
      <c r="CE408" s="60"/>
      <c r="CF408" s="76" t="s">
        <v>90</v>
      </c>
      <c r="CR408" s="40">
        <v>0</v>
      </c>
      <c r="CS408" s="67">
        <v>0</v>
      </c>
      <c r="CT408" s="67">
        <v>0</v>
      </c>
      <c r="CU408" s="40">
        <v>0</v>
      </c>
      <c r="CV408" s="67">
        <v>0</v>
      </c>
      <c r="CW408" s="67">
        <v>0</v>
      </c>
      <c r="CX408" s="67">
        <v>0</v>
      </c>
      <c r="CY408" s="67">
        <v>0</v>
      </c>
      <c r="CZ408" s="67">
        <v>0</v>
      </c>
      <c r="DA408" s="67">
        <v>0</v>
      </c>
      <c r="DB408" s="67">
        <v>0</v>
      </c>
      <c r="DD408" s="229">
        <v>0</v>
      </c>
      <c r="DI408" s="40" t="s">
        <v>0</v>
      </c>
    </row>
    <row r="409" spans="1:113" s="119" customFormat="1" ht="15.75" customHeight="1" thickBot="1" x14ac:dyDescent="0.3">
      <c r="A409" s="233">
        <v>560753</v>
      </c>
      <c r="B409" s="233" t="s">
        <v>6</v>
      </c>
      <c r="C409" s="234" t="s">
        <v>831</v>
      </c>
      <c r="D409" s="233">
        <v>5</v>
      </c>
      <c r="E409" s="233">
        <v>0</v>
      </c>
      <c r="F409" s="233">
        <v>5</v>
      </c>
      <c r="G409" s="233">
        <v>42</v>
      </c>
      <c r="H409" s="233">
        <v>0</v>
      </c>
      <c r="I409" s="233">
        <v>25</v>
      </c>
      <c r="J409" s="235" t="s">
        <v>962</v>
      </c>
      <c r="K409" s="235" t="s">
        <v>963</v>
      </c>
      <c r="L409" s="236">
        <v>46037.329212962999</v>
      </c>
      <c r="M409" s="233">
        <v>0</v>
      </c>
      <c r="N409" s="233">
        <v>0</v>
      </c>
      <c r="O409" s="233">
        <v>0</v>
      </c>
      <c r="R409" s="233" t="s">
        <v>24</v>
      </c>
      <c r="S409" s="233" t="b">
        <v>0</v>
      </c>
      <c r="T409" s="237">
        <v>0.01</v>
      </c>
      <c r="U409" s="238">
        <v>5.5</v>
      </c>
      <c r="V409" s="237">
        <v>0.01</v>
      </c>
      <c r="W409" s="237">
        <v>0</v>
      </c>
      <c r="X409" s="233">
        <v>1000</v>
      </c>
      <c r="Z409" s="233">
        <v>10</v>
      </c>
      <c r="AB409" s="239">
        <v>50</v>
      </c>
      <c r="AD409" s="233">
        <v>10</v>
      </c>
      <c r="AF409" s="233">
        <v>2000</v>
      </c>
      <c r="AG409" s="233">
        <v>2</v>
      </c>
      <c r="AH409" s="233">
        <v>5.69</v>
      </c>
      <c r="AI409" s="233">
        <v>465</v>
      </c>
      <c r="AJ409" s="233">
        <v>0</v>
      </c>
      <c r="AK409" s="233">
        <v>119</v>
      </c>
      <c r="AM409" s="233" t="s">
        <v>2</v>
      </c>
      <c r="AO409" s="233">
        <v>50</v>
      </c>
      <c r="AW409" s="233" t="b">
        <v>0</v>
      </c>
      <c r="AZ409" s="233" t="s">
        <v>24</v>
      </c>
      <c r="BE409" s="246"/>
      <c r="BF409" s="119">
        <v>1</v>
      </c>
      <c r="BG409" s="119">
        <v>0.55000000000000004</v>
      </c>
      <c r="BH409" s="119">
        <v>0</v>
      </c>
      <c r="BI409" s="119">
        <v>0</v>
      </c>
      <c r="BJ409" s="119">
        <v>0</v>
      </c>
      <c r="BK409" s="119">
        <v>5.5</v>
      </c>
      <c r="BL409" s="119">
        <v>6</v>
      </c>
      <c r="BM409" s="40" t="s">
        <v>1</v>
      </c>
      <c r="BN409" s="243">
        <v>5</v>
      </c>
      <c r="BO409" s="242">
        <v>5.5</v>
      </c>
      <c r="BP409" s="58">
        <v>250</v>
      </c>
      <c r="BT409" s="59"/>
      <c r="BU409" s="59"/>
      <c r="BV409" s="59"/>
      <c r="BW409" s="59"/>
      <c r="BX409" s="59"/>
      <c r="BY409" s="59"/>
      <c r="BZ409" s="59"/>
      <c r="CA409" s="59"/>
      <c r="CB409" s="59"/>
      <c r="CC409" s="59"/>
      <c r="CD409" s="59"/>
      <c r="CE409" s="60"/>
      <c r="CF409" s="76" t="s">
        <v>90</v>
      </c>
      <c r="CR409" s="40">
        <v>0</v>
      </c>
      <c r="CS409" s="67">
        <v>0</v>
      </c>
      <c r="CT409" s="67">
        <v>0</v>
      </c>
      <c r="CU409" s="40">
        <v>0</v>
      </c>
      <c r="CV409" s="67">
        <v>0</v>
      </c>
      <c r="CW409" s="67">
        <v>0</v>
      </c>
      <c r="CX409" s="67">
        <v>0</v>
      </c>
      <c r="CY409" s="67">
        <v>0</v>
      </c>
      <c r="CZ409" s="67">
        <v>0</v>
      </c>
      <c r="DA409" s="67">
        <v>0</v>
      </c>
      <c r="DB409" s="67">
        <v>0</v>
      </c>
      <c r="DD409" s="229">
        <v>0</v>
      </c>
      <c r="DI409" s="40" t="s">
        <v>0</v>
      </c>
    </row>
    <row r="410" spans="1:113" s="119" customFormat="1" ht="15.75" customHeight="1" thickBot="1" x14ac:dyDescent="0.3">
      <c r="A410" s="233">
        <v>560752</v>
      </c>
      <c r="B410" s="233" t="s">
        <v>6</v>
      </c>
      <c r="C410" s="234" t="s">
        <v>831</v>
      </c>
      <c r="D410" s="233">
        <v>5</v>
      </c>
      <c r="E410" s="233">
        <v>0</v>
      </c>
      <c r="F410" s="233">
        <v>5</v>
      </c>
      <c r="G410" s="233">
        <v>41</v>
      </c>
      <c r="H410" s="233">
        <v>0</v>
      </c>
      <c r="I410" s="233">
        <v>25</v>
      </c>
      <c r="J410" s="235" t="s">
        <v>964</v>
      </c>
      <c r="K410" s="235" t="s">
        <v>965</v>
      </c>
      <c r="L410" s="236">
        <v>46037.329131944403</v>
      </c>
      <c r="M410" s="233">
        <v>0</v>
      </c>
      <c r="N410" s="233">
        <v>0</v>
      </c>
      <c r="O410" s="233">
        <v>0</v>
      </c>
      <c r="R410" s="233" t="s">
        <v>24</v>
      </c>
      <c r="S410" s="233" t="b">
        <v>0</v>
      </c>
      <c r="T410" s="237">
        <v>0.01</v>
      </c>
      <c r="U410" s="238">
        <v>5.5</v>
      </c>
      <c r="V410" s="237">
        <v>0.01</v>
      </c>
      <c r="W410" s="237">
        <v>0</v>
      </c>
      <c r="X410" s="233">
        <v>1000</v>
      </c>
      <c r="Z410" s="233">
        <v>10</v>
      </c>
      <c r="AB410" s="239">
        <v>50</v>
      </c>
      <c r="AD410" s="233">
        <v>10</v>
      </c>
      <c r="AF410" s="233">
        <v>2000</v>
      </c>
      <c r="AG410" s="233">
        <v>2</v>
      </c>
      <c r="AH410" s="233">
        <v>5.64</v>
      </c>
      <c r="AI410" s="233">
        <v>436</v>
      </c>
      <c r="AJ410" s="233">
        <v>0</v>
      </c>
      <c r="AK410" s="233">
        <v>111</v>
      </c>
      <c r="AM410" s="233" t="s">
        <v>2</v>
      </c>
      <c r="AO410" s="233">
        <v>50</v>
      </c>
      <c r="AW410" s="233" t="b">
        <v>0</v>
      </c>
      <c r="AZ410" s="233" t="s">
        <v>24</v>
      </c>
      <c r="BE410" s="246"/>
      <c r="BF410" s="119">
        <v>1</v>
      </c>
      <c r="BG410" s="119">
        <v>0.55000000000000004</v>
      </c>
      <c r="BH410" s="119">
        <v>0</v>
      </c>
      <c r="BI410" s="119">
        <v>0</v>
      </c>
      <c r="BJ410" s="119">
        <v>0</v>
      </c>
      <c r="BK410" s="119">
        <v>5.5</v>
      </c>
      <c r="BL410" s="119">
        <v>6</v>
      </c>
      <c r="BM410" s="40" t="s">
        <v>1</v>
      </c>
      <c r="BN410" s="243">
        <v>5</v>
      </c>
      <c r="BO410" s="242">
        <v>5.5</v>
      </c>
      <c r="BP410" s="58">
        <v>250</v>
      </c>
      <c r="BT410" s="59"/>
      <c r="BU410" s="59"/>
      <c r="BV410" s="59"/>
      <c r="BW410" s="59"/>
      <c r="BX410" s="59"/>
      <c r="BY410" s="59"/>
      <c r="BZ410" s="59"/>
      <c r="CA410" s="59"/>
      <c r="CB410" s="59"/>
      <c r="CC410" s="59"/>
      <c r="CD410" s="59"/>
      <c r="CE410" s="60"/>
      <c r="CF410" s="76" t="s">
        <v>90</v>
      </c>
      <c r="CR410" s="40">
        <v>0</v>
      </c>
      <c r="CS410" s="67">
        <v>0</v>
      </c>
      <c r="CT410" s="67">
        <v>0</v>
      </c>
      <c r="CU410" s="40">
        <v>0</v>
      </c>
      <c r="CV410" s="67">
        <v>0</v>
      </c>
      <c r="CW410" s="67">
        <v>0</v>
      </c>
      <c r="CX410" s="67">
        <v>0</v>
      </c>
      <c r="CY410" s="67">
        <v>0</v>
      </c>
      <c r="CZ410" s="67">
        <v>0</v>
      </c>
      <c r="DA410" s="67">
        <v>0</v>
      </c>
      <c r="DB410" s="67">
        <v>0</v>
      </c>
      <c r="DD410" s="229">
        <v>0</v>
      </c>
      <c r="DI410" s="40" t="s">
        <v>0</v>
      </c>
    </row>
    <row r="411" spans="1:113" s="119" customFormat="1" ht="15.75" customHeight="1" thickBot="1" x14ac:dyDescent="0.3">
      <c r="A411" s="233">
        <v>560751</v>
      </c>
      <c r="B411" s="233" t="s">
        <v>6</v>
      </c>
      <c r="C411" s="234" t="s">
        <v>831</v>
      </c>
      <c r="D411" s="233">
        <v>5</v>
      </c>
      <c r="E411" s="233">
        <v>0</v>
      </c>
      <c r="F411" s="233">
        <v>5</v>
      </c>
      <c r="G411" s="233">
        <v>40</v>
      </c>
      <c r="H411" s="233">
        <v>0</v>
      </c>
      <c r="I411" s="233">
        <v>25</v>
      </c>
      <c r="J411" s="235" t="s">
        <v>966</v>
      </c>
      <c r="K411" s="235" t="s">
        <v>967</v>
      </c>
      <c r="L411" s="236">
        <v>46037.329074074099</v>
      </c>
      <c r="M411" s="233">
        <v>0</v>
      </c>
      <c r="N411" s="233">
        <v>0</v>
      </c>
      <c r="O411" s="233">
        <v>0</v>
      </c>
      <c r="R411" s="233" t="s">
        <v>24</v>
      </c>
      <c r="S411" s="233" t="b">
        <v>0</v>
      </c>
      <c r="T411" s="237">
        <v>0.01</v>
      </c>
      <c r="U411" s="238">
        <v>5.5</v>
      </c>
      <c r="V411" s="237">
        <v>0.01</v>
      </c>
      <c r="W411" s="237">
        <v>0</v>
      </c>
      <c r="X411" s="233">
        <v>1000</v>
      </c>
      <c r="Z411" s="233">
        <v>10</v>
      </c>
      <c r="AB411" s="239">
        <v>50</v>
      </c>
      <c r="AD411" s="233">
        <v>10</v>
      </c>
      <c r="AF411" s="233">
        <v>2000</v>
      </c>
      <c r="AG411" s="233">
        <v>2</v>
      </c>
      <c r="AH411" s="233">
        <v>5.67</v>
      </c>
      <c r="AI411" s="233">
        <v>449</v>
      </c>
      <c r="AJ411" s="233">
        <v>0</v>
      </c>
      <c r="AK411" s="233">
        <v>114</v>
      </c>
      <c r="AM411" s="233" t="s">
        <v>2</v>
      </c>
      <c r="AO411" s="233">
        <v>50</v>
      </c>
      <c r="AW411" s="233" t="b">
        <v>0</v>
      </c>
      <c r="AZ411" s="233" t="s">
        <v>24</v>
      </c>
      <c r="BE411" s="246"/>
      <c r="BF411" s="119">
        <v>1</v>
      </c>
      <c r="BG411" s="119">
        <v>0.55000000000000004</v>
      </c>
      <c r="BH411" s="119">
        <v>0</v>
      </c>
      <c r="BI411" s="119">
        <v>0</v>
      </c>
      <c r="BJ411" s="119">
        <v>0</v>
      </c>
      <c r="BK411" s="119">
        <v>5.5</v>
      </c>
      <c r="BL411" s="119">
        <v>6</v>
      </c>
      <c r="BM411" s="40" t="s">
        <v>1</v>
      </c>
      <c r="BN411" s="243">
        <v>5</v>
      </c>
      <c r="BO411" s="242">
        <v>5.5</v>
      </c>
      <c r="BP411" s="58">
        <v>250</v>
      </c>
      <c r="BT411" s="59"/>
      <c r="BU411" s="59"/>
      <c r="BV411" s="59"/>
      <c r="BW411" s="59"/>
      <c r="BX411" s="59"/>
      <c r="BY411" s="59"/>
      <c r="BZ411" s="59"/>
      <c r="CA411" s="59"/>
      <c r="CB411" s="59"/>
      <c r="CC411" s="59"/>
      <c r="CD411" s="59"/>
      <c r="CE411" s="60"/>
      <c r="CF411" s="76" t="s">
        <v>90</v>
      </c>
      <c r="CR411" s="40">
        <v>0</v>
      </c>
      <c r="CS411" s="67">
        <v>0</v>
      </c>
      <c r="CT411" s="67">
        <v>0</v>
      </c>
      <c r="CU411" s="40">
        <v>0</v>
      </c>
      <c r="CV411" s="67">
        <v>0</v>
      </c>
      <c r="CW411" s="67">
        <v>0</v>
      </c>
      <c r="CX411" s="67">
        <v>0</v>
      </c>
      <c r="CY411" s="67">
        <v>0</v>
      </c>
      <c r="CZ411" s="67">
        <v>0</v>
      </c>
      <c r="DA411" s="67">
        <v>0</v>
      </c>
      <c r="DB411" s="67">
        <v>0</v>
      </c>
      <c r="DD411" s="229">
        <v>0</v>
      </c>
      <c r="DI411" s="40" t="s">
        <v>0</v>
      </c>
    </row>
    <row r="412" spans="1:113" s="119" customFormat="1" ht="15.75" customHeight="1" thickBot="1" x14ac:dyDescent="0.3">
      <c r="A412" s="233">
        <v>560750</v>
      </c>
      <c r="B412" s="233" t="s">
        <v>6</v>
      </c>
      <c r="C412" s="234" t="s">
        <v>831</v>
      </c>
      <c r="D412" s="233">
        <v>5</v>
      </c>
      <c r="E412" s="233">
        <v>0</v>
      </c>
      <c r="F412" s="233">
        <v>5</v>
      </c>
      <c r="G412" s="233">
        <v>39</v>
      </c>
      <c r="H412" s="233">
        <v>0</v>
      </c>
      <c r="I412" s="233">
        <v>25</v>
      </c>
      <c r="J412" s="235" t="s">
        <v>968</v>
      </c>
      <c r="K412" s="235" t="s">
        <v>969</v>
      </c>
      <c r="L412" s="236">
        <v>46037.329004629602</v>
      </c>
      <c r="M412" s="233">
        <v>0</v>
      </c>
      <c r="N412" s="233">
        <v>0</v>
      </c>
      <c r="O412" s="233">
        <v>0</v>
      </c>
      <c r="R412" s="233" t="s">
        <v>24</v>
      </c>
      <c r="S412" s="233" t="b">
        <v>0</v>
      </c>
      <c r="T412" s="237">
        <v>0.01</v>
      </c>
      <c r="U412" s="238">
        <v>5.5</v>
      </c>
      <c r="V412" s="237">
        <v>0.01</v>
      </c>
      <c r="W412" s="237">
        <v>0</v>
      </c>
      <c r="X412" s="233">
        <v>1000</v>
      </c>
      <c r="Z412" s="233">
        <v>10</v>
      </c>
      <c r="AB412" s="239">
        <v>50</v>
      </c>
      <c r="AD412" s="233">
        <v>10</v>
      </c>
      <c r="AF412" s="233">
        <v>2000</v>
      </c>
      <c r="AG412" s="233">
        <v>2</v>
      </c>
      <c r="AH412" s="233">
        <v>5.68</v>
      </c>
      <c r="AI412" s="233">
        <v>449</v>
      </c>
      <c r="AJ412" s="233">
        <v>0</v>
      </c>
      <c r="AK412" s="233">
        <v>116</v>
      </c>
      <c r="AM412" s="233" t="s">
        <v>2</v>
      </c>
      <c r="AO412" s="233">
        <v>50</v>
      </c>
      <c r="AW412" s="233" t="b">
        <v>0</v>
      </c>
      <c r="AZ412" s="233" t="s">
        <v>24</v>
      </c>
      <c r="BE412" s="246"/>
      <c r="BF412" s="119">
        <v>1</v>
      </c>
      <c r="BG412" s="119">
        <v>0.55000000000000004</v>
      </c>
      <c r="BH412" s="119">
        <v>0</v>
      </c>
      <c r="BI412" s="119">
        <v>0</v>
      </c>
      <c r="BJ412" s="119">
        <v>0</v>
      </c>
      <c r="BK412" s="119">
        <v>5.5</v>
      </c>
      <c r="BL412" s="119">
        <v>6</v>
      </c>
      <c r="BM412" s="40" t="s">
        <v>1</v>
      </c>
      <c r="BN412" s="243">
        <v>5</v>
      </c>
      <c r="BO412" s="242">
        <v>5.5</v>
      </c>
      <c r="BP412" s="58">
        <v>250</v>
      </c>
      <c r="BT412" s="59"/>
      <c r="BU412" s="59"/>
      <c r="BV412" s="59"/>
      <c r="BW412" s="59"/>
      <c r="BX412" s="59"/>
      <c r="BY412" s="59"/>
      <c r="BZ412" s="59"/>
      <c r="CA412" s="59"/>
      <c r="CB412" s="59"/>
      <c r="CC412" s="59"/>
      <c r="CD412" s="59"/>
      <c r="CE412" s="60"/>
      <c r="CF412" s="76" t="s">
        <v>90</v>
      </c>
      <c r="CR412" s="40">
        <v>0</v>
      </c>
      <c r="CS412" s="67">
        <v>0</v>
      </c>
      <c r="CT412" s="67">
        <v>0</v>
      </c>
      <c r="CU412" s="40">
        <v>0</v>
      </c>
      <c r="CV412" s="67">
        <v>0</v>
      </c>
      <c r="CW412" s="67">
        <v>0</v>
      </c>
      <c r="CX412" s="67">
        <v>0</v>
      </c>
      <c r="CY412" s="67">
        <v>0</v>
      </c>
      <c r="CZ412" s="67">
        <v>0</v>
      </c>
      <c r="DA412" s="67">
        <v>0</v>
      </c>
      <c r="DB412" s="67">
        <v>0</v>
      </c>
      <c r="DD412" s="229">
        <v>0</v>
      </c>
      <c r="DI412" s="40" t="s">
        <v>0</v>
      </c>
    </row>
    <row r="413" spans="1:113" s="119" customFormat="1" ht="15.75" customHeight="1" thickBot="1" x14ac:dyDescent="0.3">
      <c r="A413" s="233">
        <v>560749</v>
      </c>
      <c r="B413" s="233" t="s">
        <v>6</v>
      </c>
      <c r="C413" s="234" t="s">
        <v>831</v>
      </c>
      <c r="D413" s="233">
        <v>5</v>
      </c>
      <c r="E413" s="233">
        <v>0</v>
      </c>
      <c r="F413" s="233">
        <v>5</v>
      </c>
      <c r="G413" s="233">
        <v>38</v>
      </c>
      <c r="H413" s="233">
        <v>0</v>
      </c>
      <c r="I413" s="233">
        <v>25</v>
      </c>
      <c r="J413" s="235" t="s">
        <v>970</v>
      </c>
      <c r="K413" s="235" t="s">
        <v>971</v>
      </c>
      <c r="L413" s="236">
        <v>46037.328946759299</v>
      </c>
      <c r="M413" s="233">
        <v>0</v>
      </c>
      <c r="N413" s="233">
        <v>0</v>
      </c>
      <c r="O413" s="233">
        <v>0</v>
      </c>
      <c r="R413" s="233" t="s">
        <v>24</v>
      </c>
      <c r="S413" s="233" t="b">
        <v>0</v>
      </c>
      <c r="T413" s="237">
        <v>0.01</v>
      </c>
      <c r="U413" s="238">
        <v>5.5</v>
      </c>
      <c r="V413" s="237">
        <v>0.01</v>
      </c>
      <c r="W413" s="237">
        <v>0</v>
      </c>
      <c r="X413" s="233">
        <v>1000</v>
      </c>
      <c r="Z413" s="233">
        <v>10</v>
      </c>
      <c r="AB413" s="239">
        <v>50</v>
      </c>
      <c r="AD413" s="233">
        <v>10</v>
      </c>
      <c r="AF413" s="233">
        <v>2000</v>
      </c>
      <c r="AG413" s="233">
        <v>2</v>
      </c>
      <c r="AH413" s="233">
        <v>5.67</v>
      </c>
      <c r="AI413" s="233">
        <v>453</v>
      </c>
      <c r="AJ413" s="233">
        <v>0</v>
      </c>
      <c r="AK413" s="233">
        <v>115</v>
      </c>
      <c r="AM413" s="233" t="s">
        <v>2</v>
      </c>
      <c r="AO413" s="233">
        <v>50</v>
      </c>
      <c r="AW413" s="233" t="b">
        <v>0</v>
      </c>
      <c r="AZ413" s="233" t="s">
        <v>24</v>
      </c>
      <c r="BE413" s="246"/>
      <c r="BF413" s="119">
        <v>1</v>
      </c>
      <c r="BG413" s="119">
        <v>0.55000000000000004</v>
      </c>
      <c r="BH413" s="119">
        <v>0</v>
      </c>
      <c r="BI413" s="119">
        <v>0</v>
      </c>
      <c r="BJ413" s="119">
        <v>0</v>
      </c>
      <c r="BK413" s="119">
        <v>5.5</v>
      </c>
      <c r="BL413" s="119">
        <v>6</v>
      </c>
      <c r="BM413" s="40" t="s">
        <v>1</v>
      </c>
      <c r="BN413" s="243">
        <v>5</v>
      </c>
      <c r="BO413" s="242">
        <v>5.5</v>
      </c>
      <c r="BP413" s="58">
        <v>250</v>
      </c>
      <c r="BT413" s="59"/>
      <c r="BU413" s="59"/>
      <c r="BV413" s="59"/>
      <c r="BW413" s="59"/>
      <c r="BX413" s="59"/>
      <c r="BY413" s="59"/>
      <c r="BZ413" s="59"/>
      <c r="CA413" s="59"/>
      <c r="CB413" s="59"/>
      <c r="CC413" s="59"/>
      <c r="CD413" s="59"/>
      <c r="CE413" s="60"/>
      <c r="CF413" s="76" t="s">
        <v>90</v>
      </c>
      <c r="CR413" s="40">
        <v>0</v>
      </c>
      <c r="CS413" s="67">
        <v>0</v>
      </c>
      <c r="CT413" s="67">
        <v>0</v>
      </c>
      <c r="CU413" s="40">
        <v>0</v>
      </c>
      <c r="CV413" s="67">
        <v>0</v>
      </c>
      <c r="CW413" s="67">
        <v>0</v>
      </c>
      <c r="CX413" s="67">
        <v>0</v>
      </c>
      <c r="CY413" s="67">
        <v>0</v>
      </c>
      <c r="CZ413" s="67">
        <v>0</v>
      </c>
      <c r="DA413" s="67">
        <v>0</v>
      </c>
      <c r="DB413" s="67">
        <v>0</v>
      </c>
      <c r="DD413" s="229">
        <v>0</v>
      </c>
      <c r="DI413" s="40" t="s">
        <v>0</v>
      </c>
    </row>
    <row r="414" spans="1:113" s="119" customFormat="1" ht="15.75" customHeight="1" thickBot="1" x14ac:dyDescent="0.3">
      <c r="A414" s="233">
        <v>560748</v>
      </c>
      <c r="B414" s="233" t="s">
        <v>6</v>
      </c>
      <c r="C414" s="234" t="s">
        <v>831</v>
      </c>
      <c r="D414" s="233">
        <v>5</v>
      </c>
      <c r="E414" s="233">
        <v>0</v>
      </c>
      <c r="F414" s="233">
        <v>5</v>
      </c>
      <c r="G414" s="233">
        <v>37</v>
      </c>
      <c r="H414" s="233">
        <v>0</v>
      </c>
      <c r="I414" s="233">
        <v>25</v>
      </c>
      <c r="J414" s="235" t="s">
        <v>972</v>
      </c>
      <c r="K414" s="235" t="s">
        <v>973</v>
      </c>
      <c r="L414" s="236">
        <v>46037.3288425926</v>
      </c>
      <c r="M414" s="233">
        <v>0</v>
      </c>
      <c r="N414" s="233">
        <v>0</v>
      </c>
      <c r="O414" s="233">
        <v>0</v>
      </c>
      <c r="R414" s="233" t="s">
        <v>24</v>
      </c>
      <c r="S414" s="233" t="b">
        <v>0</v>
      </c>
      <c r="T414" s="237">
        <v>0.01</v>
      </c>
      <c r="U414" s="238">
        <v>5.5</v>
      </c>
      <c r="V414" s="237">
        <v>0.01</v>
      </c>
      <c r="W414" s="237">
        <v>0</v>
      </c>
      <c r="X414" s="233">
        <v>1000</v>
      </c>
      <c r="Z414" s="233">
        <v>10</v>
      </c>
      <c r="AB414" s="239">
        <v>50</v>
      </c>
      <c r="AD414" s="233">
        <v>10</v>
      </c>
      <c r="AF414" s="233">
        <v>2000</v>
      </c>
      <c r="AG414" s="233">
        <v>2</v>
      </c>
      <c r="AH414" s="233">
        <v>5.65</v>
      </c>
      <c r="AI414" s="233">
        <v>444</v>
      </c>
      <c r="AJ414" s="233">
        <v>0</v>
      </c>
      <c r="AK414" s="233">
        <v>113</v>
      </c>
      <c r="AM414" s="233" t="s">
        <v>2</v>
      </c>
      <c r="AO414" s="233">
        <v>50</v>
      </c>
      <c r="AW414" s="233" t="b">
        <v>0</v>
      </c>
      <c r="AZ414" s="233" t="s">
        <v>24</v>
      </c>
      <c r="BE414" s="246"/>
      <c r="BF414" s="119">
        <v>1</v>
      </c>
      <c r="BG414" s="119">
        <v>0.55000000000000004</v>
      </c>
      <c r="BH414" s="119">
        <v>0</v>
      </c>
      <c r="BI414" s="119">
        <v>0</v>
      </c>
      <c r="BJ414" s="119">
        <v>0</v>
      </c>
      <c r="BK414" s="119">
        <v>5.5</v>
      </c>
      <c r="BL414" s="119">
        <v>6</v>
      </c>
      <c r="BM414" s="40" t="s">
        <v>1</v>
      </c>
      <c r="BN414" s="243">
        <v>5</v>
      </c>
      <c r="BO414" s="242">
        <v>5.5</v>
      </c>
      <c r="BP414" s="58">
        <v>250</v>
      </c>
      <c r="BT414" s="59"/>
      <c r="BU414" s="59"/>
      <c r="BV414" s="59"/>
      <c r="BW414" s="59"/>
      <c r="BX414" s="59"/>
      <c r="BY414" s="59"/>
      <c r="BZ414" s="59"/>
      <c r="CA414" s="59"/>
      <c r="CB414" s="59"/>
      <c r="CC414" s="59"/>
      <c r="CD414" s="59"/>
      <c r="CE414" s="60"/>
      <c r="CF414" s="76" t="s">
        <v>90</v>
      </c>
      <c r="CR414" s="40">
        <v>0</v>
      </c>
      <c r="CS414" s="67">
        <v>0</v>
      </c>
      <c r="CT414" s="67">
        <v>0</v>
      </c>
      <c r="CU414" s="40">
        <v>0</v>
      </c>
      <c r="CV414" s="67">
        <v>0</v>
      </c>
      <c r="CW414" s="67">
        <v>0</v>
      </c>
      <c r="CX414" s="67">
        <v>0</v>
      </c>
      <c r="CY414" s="67">
        <v>0</v>
      </c>
      <c r="CZ414" s="67">
        <v>0</v>
      </c>
      <c r="DA414" s="67">
        <v>0</v>
      </c>
      <c r="DB414" s="67">
        <v>0</v>
      </c>
      <c r="DD414" s="229">
        <v>0</v>
      </c>
      <c r="DI414" s="40" t="s">
        <v>0</v>
      </c>
    </row>
    <row r="415" spans="1:113" s="119" customFormat="1" ht="15.75" customHeight="1" thickBot="1" x14ac:dyDescent="0.3">
      <c r="A415" s="233">
        <v>560747</v>
      </c>
      <c r="B415" s="233" t="s">
        <v>6</v>
      </c>
      <c r="C415" s="234" t="s">
        <v>831</v>
      </c>
      <c r="D415" s="233">
        <v>5</v>
      </c>
      <c r="E415" s="233">
        <v>0</v>
      </c>
      <c r="F415" s="233">
        <v>5</v>
      </c>
      <c r="G415" s="233">
        <v>36</v>
      </c>
      <c r="H415" s="233">
        <v>0</v>
      </c>
      <c r="I415" s="233">
        <v>25</v>
      </c>
      <c r="J415" s="235" t="s">
        <v>974</v>
      </c>
      <c r="K415" s="235" t="s">
        <v>975</v>
      </c>
      <c r="L415" s="236">
        <v>46037.328750000001</v>
      </c>
      <c r="M415" s="233">
        <v>0</v>
      </c>
      <c r="N415" s="233">
        <v>0</v>
      </c>
      <c r="O415" s="233">
        <v>0</v>
      </c>
      <c r="R415" s="233" t="s">
        <v>24</v>
      </c>
      <c r="S415" s="233" t="b">
        <v>0</v>
      </c>
      <c r="T415" s="237">
        <v>0.01</v>
      </c>
      <c r="U415" s="238">
        <v>5.5</v>
      </c>
      <c r="V415" s="237">
        <v>0.01</v>
      </c>
      <c r="W415" s="237">
        <v>0</v>
      </c>
      <c r="X415" s="233">
        <v>1000</v>
      </c>
      <c r="Z415" s="233">
        <v>10</v>
      </c>
      <c r="AB415" s="239">
        <v>50</v>
      </c>
      <c r="AD415" s="233">
        <v>10</v>
      </c>
      <c r="AF415" s="233">
        <v>2000</v>
      </c>
      <c r="AG415" s="233">
        <v>2</v>
      </c>
      <c r="AH415" s="233">
        <v>5.66</v>
      </c>
      <c r="AI415" s="233">
        <v>457</v>
      </c>
      <c r="AJ415" s="233">
        <v>0</v>
      </c>
      <c r="AK415" s="233">
        <v>115</v>
      </c>
      <c r="AM415" s="233" t="s">
        <v>2</v>
      </c>
      <c r="AO415" s="233">
        <v>50</v>
      </c>
      <c r="AW415" s="233" t="b">
        <v>0</v>
      </c>
      <c r="AZ415" s="233" t="s">
        <v>24</v>
      </c>
      <c r="BE415" s="246"/>
      <c r="BF415" s="119">
        <v>1</v>
      </c>
      <c r="BG415" s="119">
        <v>0.55000000000000004</v>
      </c>
      <c r="BH415" s="119">
        <v>0</v>
      </c>
      <c r="BI415" s="119">
        <v>0</v>
      </c>
      <c r="BJ415" s="119">
        <v>0</v>
      </c>
      <c r="BK415" s="119">
        <v>5.5</v>
      </c>
      <c r="BL415" s="119">
        <v>6</v>
      </c>
      <c r="BM415" s="40" t="s">
        <v>1</v>
      </c>
      <c r="BN415" s="243">
        <v>5</v>
      </c>
      <c r="BO415" s="242">
        <v>5.5</v>
      </c>
      <c r="BP415" s="58">
        <v>250</v>
      </c>
      <c r="BT415" s="59"/>
      <c r="BU415" s="59"/>
      <c r="BV415" s="59"/>
      <c r="BW415" s="59"/>
      <c r="BX415" s="59"/>
      <c r="BY415" s="59"/>
      <c r="BZ415" s="59"/>
      <c r="CA415" s="59"/>
      <c r="CB415" s="59"/>
      <c r="CC415" s="59"/>
      <c r="CD415" s="59"/>
      <c r="CE415" s="60"/>
      <c r="CF415" s="76" t="s">
        <v>90</v>
      </c>
      <c r="CR415" s="40">
        <v>0</v>
      </c>
      <c r="CS415" s="67">
        <v>0</v>
      </c>
      <c r="CT415" s="67">
        <v>0</v>
      </c>
      <c r="CU415" s="40">
        <v>0</v>
      </c>
      <c r="CV415" s="67">
        <v>0</v>
      </c>
      <c r="CW415" s="67">
        <v>0</v>
      </c>
      <c r="CX415" s="67">
        <v>0</v>
      </c>
      <c r="CY415" s="67">
        <v>0</v>
      </c>
      <c r="CZ415" s="67">
        <v>0</v>
      </c>
      <c r="DA415" s="67">
        <v>0</v>
      </c>
      <c r="DB415" s="67">
        <v>0</v>
      </c>
      <c r="DD415" s="229">
        <v>0</v>
      </c>
      <c r="DI415" s="40" t="s">
        <v>0</v>
      </c>
    </row>
    <row r="416" spans="1:113" s="119" customFormat="1" ht="15.75" customHeight="1" thickBot="1" x14ac:dyDescent="0.3">
      <c r="A416" s="233">
        <v>560746</v>
      </c>
      <c r="B416" s="233" t="s">
        <v>6</v>
      </c>
      <c r="C416" s="234" t="s">
        <v>831</v>
      </c>
      <c r="D416" s="233">
        <v>5</v>
      </c>
      <c r="E416" s="233">
        <v>0</v>
      </c>
      <c r="F416" s="233">
        <v>5</v>
      </c>
      <c r="G416" s="233">
        <v>35</v>
      </c>
      <c r="H416" s="233">
        <v>0</v>
      </c>
      <c r="I416" s="233">
        <v>25</v>
      </c>
      <c r="J416" s="235" t="s">
        <v>976</v>
      </c>
      <c r="K416" s="235" t="s">
        <v>977</v>
      </c>
      <c r="L416" s="236">
        <v>46037.328564814801</v>
      </c>
      <c r="M416" s="233">
        <v>0</v>
      </c>
      <c r="N416" s="233">
        <v>0</v>
      </c>
      <c r="O416" s="233">
        <v>0</v>
      </c>
      <c r="R416" s="233" t="s">
        <v>24</v>
      </c>
      <c r="S416" s="233" t="b">
        <v>0</v>
      </c>
      <c r="T416" s="237">
        <v>0.01</v>
      </c>
      <c r="U416" s="238">
        <v>5.5</v>
      </c>
      <c r="V416" s="237">
        <v>0.01</v>
      </c>
      <c r="W416" s="237">
        <v>0</v>
      </c>
      <c r="X416" s="233">
        <v>1000</v>
      </c>
      <c r="Z416" s="233">
        <v>10</v>
      </c>
      <c r="AB416" s="239">
        <v>50</v>
      </c>
      <c r="AD416" s="233">
        <v>10</v>
      </c>
      <c r="AF416" s="233">
        <v>2000</v>
      </c>
      <c r="AG416" s="233">
        <v>2</v>
      </c>
      <c r="AH416" s="233">
        <v>5.66</v>
      </c>
      <c r="AI416" s="233">
        <v>444</v>
      </c>
      <c r="AJ416" s="233">
        <v>0</v>
      </c>
      <c r="AK416" s="233">
        <v>114</v>
      </c>
      <c r="AM416" s="233" t="s">
        <v>2</v>
      </c>
      <c r="AO416" s="233">
        <v>50</v>
      </c>
      <c r="AW416" s="233" t="b">
        <v>0</v>
      </c>
      <c r="AZ416" s="233" t="s">
        <v>24</v>
      </c>
      <c r="BE416" s="246"/>
      <c r="BF416" s="119">
        <v>1</v>
      </c>
      <c r="BG416" s="119">
        <v>0.55000000000000004</v>
      </c>
      <c r="BH416" s="119">
        <v>0</v>
      </c>
      <c r="BI416" s="119">
        <v>0</v>
      </c>
      <c r="BJ416" s="119">
        <v>0</v>
      </c>
      <c r="BK416" s="119">
        <v>5.5</v>
      </c>
      <c r="BL416" s="119">
        <v>6</v>
      </c>
      <c r="BM416" s="40" t="s">
        <v>1</v>
      </c>
      <c r="BN416" s="243">
        <v>5</v>
      </c>
      <c r="BO416" s="242">
        <v>5.5</v>
      </c>
      <c r="BP416" s="58">
        <v>250</v>
      </c>
      <c r="BT416" s="59"/>
      <c r="BU416" s="59"/>
      <c r="BV416" s="59"/>
      <c r="BW416" s="59"/>
      <c r="BX416" s="59"/>
      <c r="BY416" s="59"/>
      <c r="BZ416" s="59"/>
      <c r="CA416" s="59"/>
      <c r="CB416" s="59"/>
      <c r="CC416" s="59"/>
      <c r="CD416" s="59"/>
      <c r="CE416" s="60"/>
      <c r="CF416" s="76" t="s">
        <v>90</v>
      </c>
      <c r="CR416" s="40">
        <v>0</v>
      </c>
      <c r="CS416" s="67">
        <v>0</v>
      </c>
      <c r="CT416" s="67">
        <v>0</v>
      </c>
      <c r="CU416" s="40">
        <v>0</v>
      </c>
      <c r="CV416" s="67">
        <v>0</v>
      </c>
      <c r="CW416" s="67">
        <v>0</v>
      </c>
      <c r="CX416" s="67">
        <v>0</v>
      </c>
      <c r="CY416" s="67">
        <v>0</v>
      </c>
      <c r="CZ416" s="67">
        <v>0</v>
      </c>
      <c r="DA416" s="67">
        <v>0</v>
      </c>
      <c r="DB416" s="67">
        <v>0</v>
      </c>
      <c r="DD416" s="229">
        <v>0</v>
      </c>
      <c r="DI416" s="40" t="s">
        <v>0</v>
      </c>
    </row>
    <row r="417" spans="1:113" s="119" customFormat="1" ht="15.75" customHeight="1" thickBot="1" x14ac:dyDescent="0.3">
      <c r="A417" s="233">
        <v>560745</v>
      </c>
      <c r="B417" s="233" t="s">
        <v>6</v>
      </c>
      <c r="C417" s="234" t="s">
        <v>831</v>
      </c>
      <c r="D417" s="233">
        <v>5</v>
      </c>
      <c r="E417" s="233">
        <v>0</v>
      </c>
      <c r="F417" s="233">
        <v>5</v>
      </c>
      <c r="G417" s="233">
        <v>34</v>
      </c>
      <c r="H417" s="233">
        <v>0</v>
      </c>
      <c r="I417" s="233">
        <v>25</v>
      </c>
      <c r="J417" s="235" t="s">
        <v>978</v>
      </c>
      <c r="K417" s="235" t="s">
        <v>979</v>
      </c>
      <c r="L417" s="236">
        <v>46037.328495370399</v>
      </c>
      <c r="M417" s="233">
        <v>0</v>
      </c>
      <c r="N417" s="233">
        <v>0</v>
      </c>
      <c r="O417" s="233">
        <v>0</v>
      </c>
      <c r="R417" s="233" t="s">
        <v>24</v>
      </c>
      <c r="S417" s="233" t="b">
        <v>0</v>
      </c>
      <c r="T417" s="237">
        <v>0.01</v>
      </c>
      <c r="U417" s="238">
        <v>5.5</v>
      </c>
      <c r="V417" s="237">
        <v>0.01</v>
      </c>
      <c r="W417" s="237">
        <v>0</v>
      </c>
      <c r="X417" s="233">
        <v>1000</v>
      </c>
      <c r="Z417" s="233">
        <v>10</v>
      </c>
      <c r="AB417" s="239">
        <v>50</v>
      </c>
      <c r="AD417" s="233">
        <v>10</v>
      </c>
      <c r="AF417" s="233">
        <v>2000</v>
      </c>
      <c r="AG417" s="233">
        <v>2</v>
      </c>
      <c r="AH417" s="233">
        <v>5.66</v>
      </c>
      <c r="AI417" s="233">
        <v>432</v>
      </c>
      <c r="AJ417" s="233">
        <v>0</v>
      </c>
      <c r="AK417" s="233">
        <v>110</v>
      </c>
      <c r="AM417" s="233" t="s">
        <v>2</v>
      </c>
      <c r="AO417" s="233">
        <v>50</v>
      </c>
      <c r="AW417" s="233" t="b">
        <v>0</v>
      </c>
      <c r="AZ417" s="233" t="s">
        <v>24</v>
      </c>
      <c r="BE417" s="246"/>
      <c r="BF417" s="119">
        <v>1</v>
      </c>
      <c r="BG417" s="119">
        <v>0.55000000000000004</v>
      </c>
      <c r="BH417" s="119">
        <v>0</v>
      </c>
      <c r="BI417" s="119">
        <v>0</v>
      </c>
      <c r="BJ417" s="119">
        <v>0</v>
      </c>
      <c r="BK417" s="119">
        <v>5.5</v>
      </c>
      <c r="BL417" s="119">
        <v>6</v>
      </c>
      <c r="BM417" s="40" t="s">
        <v>1</v>
      </c>
      <c r="BN417" s="243">
        <v>5</v>
      </c>
      <c r="BO417" s="242">
        <v>5.5</v>
      </c>
      <c r="BP417" s="58">
        <v>250</v>
      </c>
      <c r="BT417" s="59"/>
      <c r="BU417" s="59"/>
      <c r="BV417" s="59"/>
      <c r="BW417" s="59"/>
      <c r="BX417" s="59"/>
      <c r="BY417" s="59"/>
      <c r="BZ417" s="59"/>
      <c r="CA417" s="59"/>
      <c r="CB417" s="59"/>
      <c r="CC417" s="59"/>
      <c r="CD417" s="59"/>
      <c r="CE417" s="60"/>
      <c r="CF417" s="76" t="s">
        <v>90</v>
      </c>
      <c r="CR417" s="40">
        <v>0</v>
      </c>
      <c r="CS417" s="67">
        <v>0</v>
      </c>
      <c r="CT417" s="67">
        <v>0</v>
      </c>
      <c r="CU417" s="40">
        <v>0</v>
      </c>
      <c r="CV417" s="67">
        <v>0</v>
      </c>
      <c r="CW417" s="67">
        <v>0</v>
      </c>
      <c r="CX417" s="67">
        <v>0</v>
      </c>
      <c r="CY417" s="67">
        <v>0</v>
      </c>
      <c r="CZ417" s="67">
        <v>0</v>
      </c>
      <c r="DA417" s="67">
        <v>0</v>
      </c>
      <c r="DB417" s="67">
        <v>0</v>
      </c>
      <c r="DD417" s="229">
        <v>0</v>
      </c>
      <c r="DI417" s="40" t="s">
        <v>0</v>
      </c>
    </row>
    <row r="418" spans="1:113" s="119" customFormat="1" ht="15.75" customHeight="1" thickBot="1" x14ac:dyDescent="0.3">
      <c r="A418" s="233">
        <v>560744</v>
      </c>
      <c r="B418" s="233" t="s">
        <v>6</v>
      </c>
      <c r="C418" s="234" t="s">
        <v>831</v>
      </c>
      <c r="D418" s="233">
        <v>5</v>
      </c>
      <c r="E418" s="233">
        <v>0</v>
      </c>
      <c r="F418" s="233">
        <v>5</v>
      </c>
      <c r="G418" s="233">
        <v>33</v>
      </c>
      <c r="H418" s="233">
        <v>0</v>
      </c>
      <c r="I418" s="233">
        <v>25</v>
      </c>
      <c r="J418" s="235" t="s">
        <v>980</v>
      </c>
      <c r="K418" s="235" t="s">
        <v>981</v>
      </c>
      <c r="L418" s="236">
        <v>46037.3284375</v>
      </c>
      <c r="M418" s="233">
        <v>0</v>
      </c>
      <c r="N418" s="233">
        <v>0</v>
      </c>
      <c r="O418" s="233">
        <v>0</v>
      </c>
      <c r="R418" s="233" t="s">
        <v>24</v>
      </c>
      <c r="S418" s="233" t="b">
        <v>0</v>
      </c>
      <c r="T418" s="237">
        <v>0.01</v>
      </c>
      <c r="U418" s="238">
        <v>5.5</v>
      </c>
      <c r="V418" s="237">
        <v>0.01</v>
      </c>
      <c r="W418" s="237">
        <v>0</v>
      </c>
      <c r="X418" s="233">
        <v>1000</v>
      </c>
      <c r="Z418" s="233">
        <v>10</v>
      </c>
      <c r="AB418" s="239">
        <v>50</v>
      </c>
      <c r="AD418" s="233">
        <v>10</v>
      </c>
      <c r="AF418" s="233">
        <v>2000</v>
      </c>
      <c r="AG418" s="233">
        <v>2</v>
      </c>
      <c r="AH418" s="233">
        <v>5.67</v>
      </c>
      <c r="AI418" s="233">
        <v>436</v>
      </c>
      <c r="AJ418" s="233">
        <v>0</v>
      </c>
      <c r="AK418" s="233">
        <v>112</v>
      </c>
      <c r="AM418" s="233" t="s">
        <v>2</v>
      </c>
      <c r="AO418" s="233">
        <v>50</v>
      </c>
      <c r="AW418" s="233" t="b">
        <v>0</v>
      </c>
      <c r="AZ418" s="233" t="s">
        <v>24</v>
      </c>
      <c r="BE418" s="246"/>
      <c r="BF418" s="119">
        <v>1</v>
      </c>
      <c r="BG418" s="119">
        <v>0.55000000000000004</v>
      </c>
      <c r="BH418" s="119">
        <v>0</v>
      </c>
      <c r="BI418" s="119">
        <v>0</v>
      </c>
      <c r="BJ418" s="119">
        <v>0</v>
      </c>
      <c r="BK418" s="119">
        <v>5.5</v>
      </c>
      <c r="BL418" s="119">
        <v>6</v>
      </c>
      <c r="BM418" s="40" t="s">
        <v>1</v>
      </c>
      <c r="BN418" s="243">
        <v>5</v>
      </c>
      <c r="BO418" s="242">
        <v>5.5</v>
      </c>
      <c r="BP418" s="58">
        <v>250</v>
      </c>
      <c r="BT418" s="59"/>
      <c r="BU418" s="59"/>
      <c r="BV418" s="59"/>
      <c r="BW418" s="59"/>
      <c r="BX418" s="59"/>
      <c r="BY418" s="59"/>
      <c r="BZ418" s="59"/>
      <c r="CA418" s="59"/>
      <c r="CB418" s="59"/>
      <c r="CC418" s="59"/>
      <c r="CD418" s="59"/>
      <c r="CE418" s="60"/>
      <c r="CF418" s="76" t="s">
        <v>90</v>
      </c>
      <c r="CR418" s="40">
        <v>0</v>
      </c>
      <c r="CS418" s="67">
        <v>0</v>
      </c>
      <c r="CT418" s="67">
        <v>0</v>
      </c>
      <c r="CU418" s="40">
        <v>0</v>
      </c>
      <c r="CV418" s="67">
        <v>0</v>
      </c>
      <c r="CW418" s="67">
        <v>0</v>
      </c>
      <c r="CX418" s="67">
        <v>0</v>
      </c>
      <c r="CY418" s="67">
        <v>0</v>
      </c>
      <c r="CZ418" s="67">
        <v>0</v>
      </c>
      <c r="DA418" s="67">
        <v>0</v>
      </c>
      <c r="DB418" s="67">
        <v>0</v>
      </c>
      <c r="DD418" s="229">
        <v>0</v>
      </c>
      <c r="DI418" s="40" t="s">
        <v>0</v>
      </c>
    </row>
    <row r="419" spans="1:113" s="119" customFormat="1" ht="15.75" customHeight="1" thickBot="1" x14ac:dyDescent="0.3">
      <c r="A419" s="233">
        <v>560743</v>
      </c>
      <c r="B419" s="233" t="s">
        <v>6</v>
      </c>
      <c r="C419" s="234" t="s">
        <v>831</v>
      </c>
      <c r="D419" s="233">
        <v>5</v>
      </c>
      <c r="E419" s="233">
        <v>0</v>
      </c>
      <c r="F419" s="233">
        <v>5</v>
      </c>
      <c r="G419" s="233">
        <v>32</v>
      </c>
      <c r="H419" s="233">
        <v>0</v>
      </c>
      <c r="I419" s="233">
        <v>25</v>
      </c>
      <c r="J419" s="235" t="s">
        <v>982</v>
      </c>
      <c r="K419" s="235" t="s">
        <v>983</v>
      </c>
      <c r="L419" s="236">
        <v>46037.328356481499</v>
      </c>
      <c r="M419" s="233">
        <v>0</v>
      </c>
      <c r="N419" s="233">
        <v>0</v>
      </c>
      <c r="O419" s="233">
        <v>0</v>
      </c>
      <c r="R419" s="233" t="s">
        <v>24</v>
      </c>
      <c r="S419" s="233" t="b">
        <v>0</v>
      </c>
      <c r="T419" s="237">
        <v>0.01</v>
      </c>
      <c r="U419" s="238">
        <v>5.5</v>
      </c>
      <c r="V419" s="237">
        <v>0.01</v>
      </c>
      <c r="W419" s="237">
        <v>0</v>
      </c>
      <c r="X419" s="233">
        <v>1000</v>
      </c>
      <c r="Z419" s="233">
        <v>10</v>
      </c>
      <c r="AB419" s="239">
        <v>50</v>
      </c>
      <c r="AD419" s="233">
        <v>10</v>
      </c>
      <c r="AF419" s="233">
        <v>2000</v>
      </c>
      <c r="AG419" s="233">
        <v>2</v>
      </c>
      <c r="AH419" s="233">
        <v>5.67</v>
      </c>
      <c r="AI419" s="233">
        <v>432</v>
      </c>
      <c r="AJ419" s="233">
        <v>0</v>
      </c>
      <c r="AK419" s="233">
        <v>110</v>
      </c>
      <c r="AM419" s="233" t="s">
        <v>2</v>
      </c>
      <c r="AO419" s="233">
        <v>50</v>
      </c>
      <c r="AW419" s="233" t="b">
        <v>0</v>
      </c>
      <c r="AZ419" s="233" t="s">
        <v>24</v>
      </c>
      <c r="BE419" s="246"/>
      <c r="BF419" s="119">
        <v>1</v>
      </c>
      <c r="BG419" s="119">
        <v>0.55000000000000004</v>
      </c>
      <c r="BH419" s="119">
        <v>0</v>
      </c>
      <c r="BI419" s="119">
        <v>0</v>
      </c>
      <c r="BJ419" s="119">
        <v>0</v>
      </c>
      <c r="BK419" s="119">
        <v>5.5</v>
      </c>
      <c r="BL419" s="119">
        <v>6</v>
      </c>
      <c r="BM419" s="40" t="s">
        <v>1</v>
      </c>
      <c r="BN419" s="243">
        <v>5</v>
      </c>
      <c r="BO419" s="242">
        <v>5.5</v>
      </c>
      <c r="BP419" s="58">
        <v>250</v>
      </c>
      <c r="BT419" s="59"/>
      <c r="BU419" s="59"/>
      <c r="BV419" s="59"/>
      <c r="BW419" s="59"/>
      <c r="BX419" s="59"/>
      <c r="BY419" s="59"/>
      <c r="BZ419" s="59"/>
      <c r="CA419" s="59"/>
      <c r="CB419" s="59"/>
      <c r="CC419" s="59"/>
      <c r="CD419" s="59"/>
      <c r="CE419" s="60"/>
      <c r="CF419" s="76" t="s">
        <v>90</v>
      </c>
      <c r="CR419" s="40">
        <v>0</v>
      </c>
      <c r="CS419" s="67">
        <v>0</v>
      </c>
      <c r="CT419" s="67">
        <v>0</v>
      </c>
      <c r="CU419" s="40">
        <v>0</v>
      </c>
      <c r="CV419" s="67">
        <v>0</v>
      </c>
      <c r="CW419" s="67">
        <v>0</v>
      </c>
      <c r="CX419" s="67">
        <v>0</v>
      </c>
      <c r="CY419" s="67">
        <v>0</v>
      </c>
      <c r="CZ419" s="67">
        <v>0</v>
      </c>
      <c r="DA419" s="67">
        <v>0</v>
      </c>
      <c r="DB419" s="67">
        <v>0</v>
      </c>
      <c r="DD419" s="229">
        <v>0</v>
      </c>
      <c r="DI419" s="40" t="s">
        <v>0</v>
      </c>
    </row>
    <row r="420" spans="1:113" s="119" customFormat="1" ht="15.75" customHeight="1" thickBot="1" x14ac:dyDescent="0.3">
      <c r="A420" s="233">
        <v>560742</v>
      </c>
      <c r="B420" s="233" t="s">
        <v>6</v>
      </c>
      <c r="C420" s="234" t="s">
        <v>831</v>
      </c>
      <c r="D420" s="233">
        <v>5</v>
      </c>
      <c r="E420" s="233">
        <v>0</v>
      </c>
      <c r="F420" s="233">
        <v>5</v>
      </c>
      <c r="G420" s="233">
        <v>31</v>
      </c>
      <c r="H420" s="233">
        <v>0</v>
      </c>
      <c r="I420" s="233">
        <v>25</v>
      </c>
      <c r="J420" s="235" t="s">
        <v>984</v>
      </c>
      <c r="K420" s="235" t="s">
        <v>985</v>
      </c>
      <c r="L420" s="236">
        <v>46037.328298611101</v>
      </c>
      <c r="M420" s="233">
        <v>0</v>
      </c>
      <c r="N420" s="233">
        <v>0</v>
      </c>
      <c r="O420" s="233">
        <v>0</v>
      </c>
      <c r="R420" s="233" t="s">
        <v>24</v>
      </c>
      <c r="S420" s="233" t="b">
        <v>0</v>
      </c>
      <c r="T420" s="237">
        <v>0.01</v>
      </c>
      <c r="U420" s="238">
        <v>5.5</v>
      </c>
      <c r="V420" s="237">
        <v>0.01</v>
      </c>
      <c r="W420" s="237">
        <v>0</v>
      </c>
      <c r="X420" s="233">
        <v>1000</v>
      </c>
      <c r="Z420" s="233">
        <v>10</v>
      </c>
      <c r="AB420" s="239">
        <v>50</v>
      </c>
      <c r="AD420" s="233">
        <v>10</v>
      </c>
      <c r="AF420" s="233">
        <v>2000</v>
      </c>
      <c r="AG420" s="233">
        <v>2</v>
      </c>
      <c r="AH420" s="233">
        <v>5.65</v>
      </c>
      <c r="AI420" s="233">
        <v>427</v>
      </c>
      <c r="AJ420" s="233">
        <v>0</v>
      </c>
      <c r="AK420" s="233">
        <v>110</v>
      </c>
      <c r="AM420" s="233" t="s">
        <v>2</v>
      </c>
      <c r="AO420" s="233">
        <v>50</v>
      </c>
      <c r="AW420" s="233" t="b">
        <v>0</v>
      </c>
      <c r="AZ420" s="233" t="s">
        <v>24</v>
      </c>
      <c r="BE420" s="246"/>
      <c r="BF420" s="119">
        <v>1</v>
      </c>
      <c r="BG420" s="119">
        <v>0.55000000000000004</v>
      </c>
      <c r="BH420" s="119">
        <v>0</v>
      </c>
      <c r="BI420" s="119">
        <v>0</v>
      </c>
      <c r="BJ420" s="119">
        <v>0</v>
      </c>
      <c r="BK420" s="119">
        <v>5.5</v>
      </c>
      <c r="BL420" s="119">
        <v>6</v>
      </c>
      <c r="BM420" s="40" t="s">
        <v>1</v>
      </c>
      <c r="BN420" s="243">
        <v>5</v>
      </c>
      <c r="BO420" s="242">
        <v>5.5</v>
      </c>
      <c r="BP420" s="58">
        <v>250</v>
      </c>
      <c r="BT420" s="59"/>
      <c r="BU420" s="59"/>
      <c r="BV420" s="59"/>
      <c r="BW420" s="59"/>
      <c r="BX420" s="59"/>
      <c r="BY420" s="59"/>
      <c r="BZ420" s="59"/>
      <c r="CA420" s="59"/>
      <c r="CB420" s="59"/>
      <c r="CC420" s="59"/>
      <c r="CD420" s="59"/>
      <c r="CE420" s="60"/>
      <c r="CF420" s="76" t="s">
        <v>90</v>
      </c>
      <c r="CR420" s="40">
        <v>0</v>
      </c>
      <c r="CS420" s="67">
        <v>0</v>
      </c>
      <c r="CT420" s="67">
        <v>0</v>
      </c>
      <c r="CU420" s="40">
        <v>0</v>
      </c>
      <c r="CV420" s="67">
        <v>0</v>
      </c>
      <c r="CW420" s="67">
        <v>0</v>
      </c>
      <c r="CX420" s="67">
        <v>0</v>
      </c>
      <c r="CY420" s="67">
        <v>0</v>
      </c>
      <c r="CZ420" s="67">
        <v>0</v>
      </c>
      <c r="DA420" s="67">
        <v>0</v>
      </c>
      <c r="DB420" s="67">
        <v>0</v>
      </c>
      <c r="DD420" s="229">
        <v>0</v>
      </c>
      <c r="DI420" s="40" t="s">
        <v>0</v>
      </c>
    </row>
    <row r="421" spans="1:113" s="119" customFormat="1" ht="15.75" customHeight="1" thickBot="1" x14ac:dyDescent="0.3">
      <c r="A421" s="233">
        <v>560741</v>
      </c>
      <c r="B421" s="233" t="s">
        <v>6</v>
      </c>
      <c r="C421" s="234" t="s">
        <v>831</v>
      </c>
      <c r="D421" s="233">
        <v>5</v>
      </c>
      <c r="E421" s="233">
        <v>0</v>
      </c>
      <c r="F421" s="233">
        <v>5</v>
      </c>
      <c r="G421" s="233">
        <v>30</v>
      </c>
      <c r="H421" s="233">
        <v>0</v>
      </c>
      <c r="I421" s="233">
        <v>25</v>
      </c>
      <c r="J421" s="235" t="s">
        <v>986</v>
      </c>
      <c r="K421" s="235" t="s">
        <v>987</v>
      </c>
      <c r="L421" s="236">
        <v>46037.328194444402</v>
      </c>
      <c r="M421" s="233">
        <v>0</v>
      </c>
      <c r="N421" s="233">
        <v>0</v>
      </c>
      <c r="O421" s="233">
        <v>0</v>
      </c>
      <c r="R421" s="233" t="s">
        <v>24</v>
      </c>
      <c r="S421" s="233" t="b">
        <v>0</v>
      </c>
      <c r="T421" s="237">
        <v>0.01</v>
      </c>
      <c r="U421" s="238">
        <v>5.5</v>
      </c>
      <c r="V421" s="237">
        <v>0.01</v>
      </c>
      <c r="W421" s="237">
        <v>0</v>
      </c>
      <c r="X421" s="233">
        <v>1000</v>
      </c>
      <c r="Z421" s="233">
        <v>10</v>
      </c>
      <c r="AB421" s="239">
        <v>50</v>
      </c>
      <c r="AD421" s="233">
        <v>10</v>
      </c>
      <c r="AF421" s="233">
        <v>2000</v>
      </c>
      <c r="AG421" s="233">
        <v>2</v>
      </c>
      <c r="AH421" s="233">
        <v>5.66</v>
      </c>
      <c r="AI421" s="233">
        <v>436</v>
      </c>
      <c r="AJ421" s="233">
        <v>0</v>
      </c>
      <c r="AK421" s="233">
        <v>112</v>
      </c>
      <c r="AM421" s="233" t="s">
        <v>2</v>
      </c>
      <c r="AO421" s="233">
        <v>50</v>
      </c>
      <c r="AW421" s="233" t="b">
        <v>0</v>
      </c>
      <c r="AZ421" s="233" t="s">
        <v>24</v>
      </c>
      <c r="BE421" s="246"/>
      <c r="BF421" s="119">
        <v>1</v>
      </c>
      <c r="BG421" s="119">
        <v>0.55000000000000004</v>
      </c>
      <c r="BH421" s="119">
        <v>0</v>
      </c>
      <c r="BI421" s="119">
        <v>0</v>
      </c>
      <c r="BJ421" s="119">
        <v>0</v>
      </c>
      <c r="BK421" s="119">
        <v>5.5</v>
      </c>
      <c r="BL421" s="119">
        <v>6</v>
      </c>
      <c r="BM421" s="40" t="s">
        <v>1</v>
      </c>
      <c r="BN421" s="243">
        <v>5</v>
      </c>
      <c r="BO421" s="242">
        <v>5.5</v>
      </c>
      <c r="BP421" s="58">
        <v>250</v>
      </c>
      <c r="BT421" s="59"/>
      <c r="BU421" s="59"/>
      <c r="BV421" s="59"/>
      <c r="BW421" s="59"/>
      <c r="BX421" s="59"/>
      <c r="BY421" s="59"/>
      <c r="BZ421" s="59"/>
      <c r="CA421" s="59"/>
      <c r="CB421" s="59"/>
      <c r="CC421" s="59"/>
      <c r="CD421" s="59"/>
      <c r="CE421" s="60"/>
      <c r="CF421" s="76" t="s">
        <v>90</v>
      </c>
      <c r="CR421" s="40">
        <v>0</v>
      </c>
      <c r="CS421" s="67">
        <v>0</v>
      </c>
      <c r="CT421" s="67">
        <v>0</v>
      </c>
      <c r="CU421" s="40">
        <v>0</v>
      </c>
      <c r="CV421" s="67">
        <v>0</v>
      </c>
      <c r="CW421" s="67">
        <v>0</v>
      </c>
      <c r="CX421" s="67">
        <v>0</v>
      </c>
      <c r="CY421" s="67">
        <v>0</v>
      </c>
      <c r="CZ421" s="67">
        <v>0</v>
      </c>
      <c r="DA421" s="67">
        <v>0</v>
      </c>
      <c r="DB421" s="67">
        <v>0</v>
      </c>
      <c r="DD421" s="229">
        <v>0</v>
      </c>
      <c r="DI421" s="40" t="s">
        <v>0</v>
      </c>
    </row>
    <row r="422" spans="1:113" s="119" customFormat="1" ht="15.75" customHeight="1" thickBot="1" x14ac:dyDescent="0.3">
      <c r="A422" s="233">
        <v>560740</v>
      </c>
      <c r="B422" s="233" t="s">
        <v>6</v>
      </c>
      <c r="C422" s="234" t="s">
        <v>831</v>
      </c>
      <c r="D422" s="233">
        <v>5</v>
      </c>
      <c r="E422" s="233">
        <v>0</v>
      </c>
      <c r="F422" s="233">
        <v>5</v>
      </c>
      <c r="G422" s="233">
        <v>29</v>
      </c>
      <c r="H422" s="233">
        <v>0</v>
      </c>
      <c r="I422" s="233">
        <v>25</v>
      </c>
      <c r="J422" s="235" t="s">
        <v>988</v>
      </c>
      <c r="K422" s="235" t="s">
        <v>989</v>
      </c>
      <c r="L422" s="236">
        <v>46037.328125</v>
      </c>
      <c r="M422" s="233">
        <v>0</v>
      </c>
      <c r="N422" s="233">
        <v>0</v>
      </c>
      <c r="O422" s="233">
        <v>0</v>
      </c>
      <c r="R422" s="233" t="s">
        <v>24</v>
      </c>
      <c r="S422" s="233" t="b">
        <v>0</v>
      </c>
      <c r="T422" s="237">
        <v>0.01</v>
      </c>
      <c r="U422" s="238">
        <v>5.5</v>
      </c>
      <c r="V422" s="237">
        <v>0.01</v>
      </c>
      <c r="W422" s="237">
        <v>0</v>
      </c>
      <c r="X422" s="233">
        <v>1000</v>
      </c>
      <c r="Z422" s="233">
        <v>10</v>
      </c>
      <c r="AB422" s="239">
        <v>50</v>
      </c>
      <c r="AD422" s="233">
        <v>10</v>
      </c>
      <c r="AF422" s="233">
        <v>2000</v>
      </c>
      <c r="AG422" s="233">
        <v>2</v>
      </c>
      <c r="AH422" s="233">
        <v>5.66</v>
      </c>
      <c r="AI422" s="233">
        <v>423</v>
      </c>
      <c r="AJ422" s="233">
        <v>0</v>
      </c>
      <c r="AK422" s="233">
        <v>108</v>
      </c>
      <c r="AM422" s="233" t="s">
        <v>2</v>
      </c>
      <c r="AO422" s="233">
        <v>50</v>
      </c>
      <c r="AW422" s="233" t="b">
        <v>0</v>
      </c>
      <c r="AZ422" s="233" t="s">
        <v>24</v>
      </c>
      <c r="BE422" s="246"/>
      <c r="BF422" s="119">
        <v>1</v>
      </c>
      <c r="BG422" s="119">
        <v>0.55000000000000004</v>
      </c>
      <c r="BH422" s="119">
        <v>0</v>
      </c>
      <c r="BI422" s="119">
        <v>0</v>
      </c>
      <c r="BJ422" s="119">
        <v>0</v>
      </c>
      <c r="BK422" s="119">
        <v>5.5</v>
      </c>
      <c r="BL422" s="119">
        <v>6</v>
      </c>
      <c r="BM422" s="40" t="s">
        <v>1</v>
      </c>
      <c r="BN422" s="243">
        <v>5</v>
      </c>
      <c r="BO422" s="242">
        <v>5.5</v>
      </c>
      <c r="BP422" s="58">
        <v>250</v>
      </c>
      <c r="BT422" s="59"/>
      <c r="BU422" s="59"/>
      <c r="BV422" s="59"/>
      <c r="BW422" s="59"/>
      <c r="BX422" s="59"/>
      <c r="BY422" s="59"/>
      <c r="BZ422" s="59"/>
      <c r="CA422" s="59"/>
      <c r="CB422" s="59"/>
      <c r="CC422" s="59"/>
      <c r="CD422" s="59"/>
      <c r="CE422" s="60"/>
      <c r="CF422" s="76" t="s">
        <v>90</v>
      </c>
      <c r="CR422" s="40">
        <v>0</v>
      </c>
      <c r="CS422" s="67">
        <v>0</v>
      </c>
      <c r="CT422" s="67">
        <v>0</v>
      </c>
      <c r="CU422" s="40">
        <v>0</v>
      </c>
      <c r="CV422" s="67">
        <v>0</v>
      </c>
      <c r="CW422" s="67">
        <v>0</v>
      </c>
      <c r="CX422" s="67">
        <v>0</v>
      </c>
      <c r="CY422" s="67">
        <v>0</v>
      </c>
      <c r="CZ422" s="67">
        <v>0</v>
      </c>
      <c r="DA422" s="67">
        <v>0</v>
      </c>
      <c r="DB422" s="67">
        <v>0</v>
      </c>
      <c r="DD422" s="229">
        <v>0</v>
      </c>
      <c r="DI422" s="40" t="s">
        <v>0</v>
      </c>
    </row>
    <row r="423" spans="1:113" s="119" customFormat="1" ht="15.75" customHeight="1" thickBot="1" x14ac:dyDescent="0.3">
      <c r="A423" s="233">
        <v>560739</v>
      </c>
      <c r="B423" s="233" t="s">
        <v>6</v>
      </c>
      <c r="C423" s="234" t="s">
        <v>831</v>
      </c>
      <c r="D423" s="233">
        <v>5</v>
      </c>
      <c r="E423" s="233">
        <v>0</v>
      </c>
      <c r="F423" s="233">
        <v>5</v>
      </c>
      <c r="G423" s="233">
        <v>28</v>
      </c>
      <c r="H423" s="233">
        <v>0</v>
      </c>
      <c r="I423" s="233">
        <v>25</v>
      </c>
      <c r="J423" s="235" t="s">
        <v>990</v>
      </c>
      <c r="K423" s="235" t="s">
        <v>991</v>
      </c>
      <c r="L423" s="236">
        <v>46037.328067129602</v>
      </c>
      <c r="M423" s="233">
        <v>0</v>
      </c>
      <c r="N423" s="233">
        <v>0</v>
      </c>
      <c r="O423" s="233">
        <v>0</v>
      </c>
      <c r="R423" s="233" t="s">
        <v>24</v>
      </c>
      <c r="S423" s="233" t="b">
        <v>0</v>
      </c>
      <c r="T423" s="237">
        <v>0.01</v>
      </c>
      <c r="U423" s="238">
        <v>5.5</v>
      </c>
      <c r="V423" s="237">
        <v>0.01</v>
      </c>
      <c r="W423" s="237">
        <v>0</v>
      </c>
      <c r="X423" s="233">
        <v>1000</v>
      </c>
      <c r="Z423" s="233">
        <v>10</v>
      </c>
      <c r="AB423" s="239">
        <v>50</v>
      </c>
      <c r="AD423" s="233">
        <v>10</v>
      </c>
      <c r="AF423" s="233">
        <v>2000</v>
      </c>
      <c r="AG423" s="233">
        <v>2</v>
      </c>
      <c r="AH423" s="233">
        <v>5.65</v>
      </c>
      <c r="AI423" s="233">
        <v>419</v>
      </c>
      <c r="AJ423" s="233">
        <v>0</v>
      </c>
      <c r="AK423" s="233">
        <v>106</v>
      </c>
      <c r="AM423" s="233" t="s">
        <v>2</v>
      </c>
      <c r="AO423" s="233">
        <v>50</v>
      </c>
      <c r="AW423" s="233" t="b">
        <v>0</v>
      </c>
      <c r="AZ423" s="233" t="s">
        <v>24</v>
      </c>
      <c r="BE423" s="246"/>
      <c r="BF423" s="119">
        <v>1</v>
      </c>
      <c r="BG423" s="119">
        <v>0.55000000000000004</v>
      </c>
      <c r="BH423" s="119">
        <v>0</v>
      </c>
      <c r="BI423" s="119">
        <v>0</v>
      </c>
      <c r="BJ423" s="119">
        <v>0</v>
      </c>
      <c r="BK423" s="119">
        <v>5.5</v>
      </c>
      <c r="BL423" s="119">
        <v>6</v>
      </c>
      <c r="BM423" s="40" t="s">
        <v>1</v>
      </c>
      <c r="BN423" s="243">
        <v>5</v>
      </c>
      <c r="BO423" s="242">
        <v>5.5</v>
      </c>
      <c r="BP423" s="58">
        <v>250</v>
      </c>
      <c r="BT423" s="59"/>
      <c r="BU423" s="59"/>
      <c r="BV423" s="59"/>
      <c r="BW423" s="59"/>
      <c r="BX423" s="59"/>
      <c r="BY423" s="59"/>
      <c r="BZ423" s="59"/>
      <c r="CA423" s="59"/>
      <c r="CB423" s="59"/>
      <c r="CC423" s="59"/>
      <c r="CD423" s="59"/>
      <c r="CE423" s="60"/>
      <c r="CF423" s="76" t="s">
        <v>90</v>
      </c>
      <c r="CR423" s="40">
        <v>0</v>
      </c>
      <c r="CS423" s="67">
        <v>0</v>
      </c>
      <c r="CT423" s="67">
        <v>0</v>
      </c>
      <c r="CU423" s="40">
        <v>0</v>
      </c>
      <c r="CV423" s="67">
        <v>0</v>
      </c>
      <c r="CW423" s="67">
        <v>0</v>
      </c>
      <c r="CX423" s="67">
        <v>0</v>
      </c>
      <c r="CY423" s="67">
        <v>0</v>
      </c>
      <c r="CZ423" s="67">
        <v>0</v>
      </c>
      <c r="DA423" s="67">
        <v>0</v>
      </c>
      <c r="DB423" s="67">
        <v>0</v>
      </c>
      <c r="DD423" s="229">
        <v>0</v>
      </c>
      <c r="DI423" s="40" t="s">
        <v>0</v>
      </c>
    </row>
    <row r="424" spans="1:113" s="119" customFormat="1" ht="15.75" customHeight="1" thickBot="1" x14ac:dyDescent="0.3">
      <c r="A424" s="233">
        <v>560738</v>
      </c>
      <c r="B424" s="233" t="s">
        <v>6</v>
      </c>
      <c r="C424" s="234" t="s">
        <v>831</v>
      </c>
      <c r="D424" s="233">
        <v>5</v>
      </c>
      <c r="E424" s="233">
        <v>0</v>
      </c>
      <c r="F424" s="233">
        <v>5</v>
      </c>
      <c r="G424" s="233">
        <v>27</v>
      </c>
      <c r="H424" s="233">
        <v>0</v>
      </c>
      <c r="I424" s="233">
        <v>25</v>
      </c>
      <c r="J424" s="235" t="s">
        <v>992</v>
      </c>
      <c r="K424" s="235" t="s">
        <v>993</v>
      </c>
      <c r="L424" s="236">
        <v>46037.3278587963</v>
      </c>
      <c r="M424" s="233">
        <v>0</v>
      </c>
      <c r="N424" s="233">
        <v>0</v>
      </c>
      <c r="O424" s="233">
        <v>0</v>
      </c>
      <c r="R424" s="233" t="s">
        <v>24</v>
      </c>
      <c r="S424" s="233" t="b">
        <v>0</v>
      </c>
      <c r="T424" s="237">
        <v>0.01</v>
      </c>
      <c r="U424" s="238">
        <v>5.5</v>
      </c>
      <c r="V424" s="237">
        <v>0.01</v>
      </c>
      <c r="W424" s="237">
        <v>0</v>
      </c>
      <c r="X424" s="233">
        <v>1000</v>
      </c>
      <c r="Z424" s="233">
        <v>10</v>
      </c>
      <c r="AB424" s="239">
        <v>50</v>
      </c>
      <c r="AD424" s="233">
        <v>10</v>
      </c>
      <c r="AF424" s="233">
        <v>2000</v>
      </c>
      <c r="AG424" s="233">
        <v>2</v>
      </c>
      <c r="AH424" s="233">
        <v>5.68</v>
      </c>
      <c r="AI424" s="233">
        <v>461</v>
      </c>
      <c r="AJ424" s="233">
        <v>0</v>
      </c>
      <c r="AK424" s="233">
        <v>117</v>
      </c>
      <c r="AM424" s="233" t="s">
        <v>2</v>
      </c>
      <c r="AO424" s="233">
        <v>50</v>
      </c>
      <c r="AW424" s="233" t="b">
        <v>0</v>
      </c>
      <c r="AZ424" s="233" t="s">
        <v>24</v>
      </c>
      <c r="BE424" s="246"/>
      <c r="BF424" s="119">
        <v>1</v>
      </c>
      <c r="BG424" s="119">
        <v>0.55000000000000004</v>
      </c>
      <c r="BH424" s="119">
        <v>0</v>
      </c>
      <c r="BI424" s="119">
        <v>0</v>
      </c>
      <c r="BJ424" s="119">
        <v>0</v>
      </c>
      <c r="BK424" s="119">
        <v>5.5</v>
      </c>
      <c r="BL424" s="119">
        <v>6</v>
      </c>
      <c r="BM424" s="40" t="s">
        <v>1</v>
      </c>
      <c r="BN424" s="243">
        <v>5</v>
      </c>
      <c r="BO424" s="242">
        <v>5.5</v>
      </c>
      <c r="BP424" s="58">
        <v>250</v>
      </c>
      <c r="BT424" s="59"/>
      <c r="BU424" s="59"/>
      <c r="BV424" s="59"/>
      <c r="BW424" s="59"/>
      <c r="BX424" s="59"/>
      <c r="BY424" s="59"/>
      <c r="BZ424" s="59"/>
      <c r="CA424" s="59"/>
      <c r="CB424" s="59"/>
      <c r="CC424" s="59"/>
      <c r="CD424" s="59"/>
      <c r="CE424" s="60"/>
      <c r="CF424" s="76" t="s">
        <v>90</v>
      </c>
      <c r="CR424" s="40">
        <v>0</v>
      </c>
      <c r="CS424" s="67">
        <v>0</v>
      </c>
      <c r="CT424" s="67">
        <v>0</v>
      </c>
      <c r="CU424" s="40">
        <v>0</v>
      </c>
      <c r="CV424" s="67">
        <v>0</v>
      </c>
      <c r="CW424" s="67">
        <v>0</v>
      </c>
      <c r="CX424" s="67">
        <v>0</v>
      </c>
      <c r="CY424" s="67">
        <v>0</v>
      </c>
      <c r="CZ424" s="67">
        <v>0</v>
      </c>
      <c r="DA424" s="67">
        <v>0</v>
      </c>
      <c r="DB424" s="67">
        <v>0</v>
      </c>
      <c r="DD424" s="229">
        <v>0</v>
      </c>
      <c r="DI424" s="40" t="s">
        <v>0</v>
      </c>
    </row>
    <row r="425" spans="1:113" s="119" customFormat="1" ht="15.75" customHeight="1" thickBot="1" x14ac:dyDescent="0.3">
      <c r="A425" s="233">
        <v>560737</v>
      </c>
      <c r="B425" s="233" t="s">
        <v>6</v>
      </c>
      <c r="C425" s="234" t="s">
        <v>831</v>
      </c>
      <c r="D425" s="233">
        <v>5</v>
      </c>
      <c r="E425" s="233">
        <v>0</v>
      </c>
      <c r="F425" s="233">
        <v>5</v>
      </c>
      <c r="G425" s="233">
        <v>26</v>
      </c>
      <c r="H425" s="233">
        <v>0</v>
      </c>
      <c r="I425" s="233">
        <v>25</v>
      </c>
      <c r="J425" s="235" t="s">
        <v>994</v>
      </c>
      <c r="K425" s="235" t="s">
        <v>995</v>
      </c>
      <c r="L425" s="236">
        <v>46037.327789351897</v>
      </c>
      <c r="M425" s="233">
        <v>0</v>
      </c>
      <c r="N425" s="233">
        <v>0</v>
      </c>
      <c r="O425" s="233">
        <v>0</v>
      </c>
      <c r="R425" s="233" t="s">
        <v>24</v>
      </c>
      <c r="S425" s="233" t="b">
        <v>0</v>
      </c>
      <c r="T425" s="237">
        <v>0.01</v>
      </c>
      <c r="U425" s="238">
        <v>5.5</v>
      </c>
      <c r="V425" s="237">
        <v>0.01</v>
      </c>
      <c r="W425" s="237">
        <v>0</v>
      </c>
      <c r="X425" s="233">
        <v>1000</v>
      </c>
      <c r="Z425" s="233">
        <v>10</v>
      </c>
      <c r="AB425" s="239">
        <v>50</v>
      </c>
      <c r="AD425" s="233">
        <v>10</v>
      </c>
      <c r="AF425" s="233">
        <v>2000</v>
      </c>
      <c r="AG425" s="233">
        <v>2</v>
      </c>
      <c r="AH425" s="233">
        <v>5.66</v>
      </c>
      <c r="AI425" s="233">
        <v>436</v>
      </c>
      <c r="AJ425" s="233">
        <v>0</v>
      </c>
      <c r="AK425" s="233">
        <v>112</v>
      </c>
      <c r="AM425" s="233" t="s">
        <v>2</v>
      </c>
      <c r="AO425" s="233">
        <v>50</v>
      </c>
      <c r="AW425" s="233" t="b">
        <v>0</v>
      </c>
      <c r="AZ425" s="233" t="s">
        <v>24</v>
      </c>
      <c r="BE425" s="246"/>
      <c r="BF425" s="119">
        <v>1</v>
      </c>
      <c r="BG425" s="119">
        <v>0.55000000000000004</v>
      </c>
      <c r="BH425" s="119">
        <v>0</v>
      </c>
      <c r="BI425" s="119">
        <v>0</v>
      </c>
      <c r="BJ425" s="119">
        <v>0</v>
      </c>
      <c r="BK425" s="119">
        <v>5.5</v>
      </c>
      <c r="BL425" s="119">
        <v>6</v>
      </c>
      <c r="BM425" s="40" t="s">
        <v>1</v>
      </c>
      <c r="BN425" s="243">
        <v>5</v>
      </c>
      <c r="BO425" s="242">
        <v>5.5</v>
      </c>
      <c r="BP425" s="58">
        <v>250</v>
      </c>
      <c r="BT425" s="59"/>
      <c r="BU425" s="59"/>
      <c r="BV425" s="59"/>
      <c r="BW425" s="59"/>
      <c r="BX425" s="59"/>
      <c r="BY425" s="59"/>
      <c r="BZ425" s="59"/>
      <c r="CA425" s="59"/>
      <c r="CB425" s="59"/>
      <c r="CC425" s="59"/>
      <c r="CD425" s="59"/>
      <c r="CE425" s="60"/>
      <c r="CF425" s="76" t="s">
        <v>90</v>
      </c>
      <c r="CR425" s="40">
        <v>0</v>
      </c>
      <c r="CS425" s="67">
        <v>0</v>
      </c>
      <c r="CT425" s="67">
        <v>0</v>
      </c>
      <c r="CU425" s="40">
        <v>0</v>
      </c>
      <c r="CV425" s="67">
        <v>0</v>
      </c>
      <c r="CW425" s="67">
        <v>0</v>
      </c>
      <c r="CX425" s="67">
        <v>0</v>
      </c>
      <c r="CY425" s="67">
        <v>0</v>
      </c>
      <c r="CZ425" s="67">
        <v>0</v>
      </c>
      <c r="DA425" s="67">
        <v>0</v>
      </c>
      <c r="DB425" s="67">
        <v>0</v>
      </c>
      <c r="DD425" s="229">
        <v>0</v>
      </c>
      <c r="DI425" s="40" t="s">
        <v>0</v>
      </c>
    </row>
    <row r="426" spans="1:113" s="119" customFormat="1" ht="15.75" customHeight="1" thickBot="1" x14ac:dyDescent="0.3">
      <c r="A426" s="233">
        <v>560736</v>
      </c>
      <c r="B426" s="233" t="s">
        <v>6</v>
      </c>
      <c r="C426" s="234" t="s">
        <v>831</v>
      </c>
      <c r="D426" s="233">
        <v>5</v>
      </c>
      <c r="E426" s="233">
        <v>0</v>
      </c>
      <c r="F426" s="233">
        <v>5</v>
      </c>
      <c r="G426" s="233">
        <v>25</v>
      </c>
      <c r="H426" s="233">
        <v>0</v>
      </c>
      <c r="I426" s="233">
        <v>25</v>
      </c>
      <c r="J426" s="235" t="s">
        <v>996</v>
      </c>
      <c r="K426" s="235" t="s">
        <v>997</v>
      </c>
      <c r="L426" s="236">
        <v>46037.3277199074</v>
      </c>
      <c r="M426" s="233">
        <v>0</v>
      </c>
      <c r="N426" s="233">
        <v>0</v>
      </c>
      <c r="O426" s="233">
        <v>0</v>
      </c>
      <c r="R426" s="233" t="s">
        <v>24</v>
      </c>
      <c r="S426" s="233" t="b">
        <v>0</v>
      </c>
      <c r="T426" s="237">
        <v>0.01</v>
      </c>
      <c r="U426" s="238">
        <v>5.5</v>
      </c>
      <c r="V426" s="237">
        <v>0.01</v>
      </c>
      <c r="W426" s="237">
        <v>0</v>
      </c>
      <c r="X426" s="233">
        <v>1000</v>
      </c>
      <c r="Z426" s="233">
        <v>10</v>
      </c>
      <c r="AB426" s="239">
        <v>50</v>
      </c>
      <c r="AD426" s="233">
        <v>10</v>
      </c>
      <c r="AF426" s="233">
        <v>2000</v>
      </c>
      <c r="AG426" s="233">
        <v>2</v>
      </c>
      <c r="AH426" s="233">
        <v>5.68</v>
      </c>
      <c r="AI426" s="233">
        <v>449</v>
      </c>
      <c r="AJ426" s="233">
        <v>0</v>
      </c>
      <c r="AK426" s="233">
        <v>114</v>
      </c>
      <c r="AM426" s="233" t="s">
        <v>2</v>
      </c>
      <c r="AO426" s="233">
        <v>50</v>
      </c>
      <c r="AW426" s="233" t="b">
        <v>0</v>
      </c>
      <c r="AZ426" s="233" t="s">
        <v>24</v>
      </c>
      <c r="BE426" s="246"/>
      <c r="BF426" s="119">
        <v>1</v>
      </c>
      <c r="BG426" s="119">
        <v>0.55000000000000004</v>
      </c>
      <c r="BH426" s="119">
        <v>0</v>
      </c>
      <c r="BI426" s="119">
        <v>0</v>
      </c>
      <c r="BJ426" s="119">
        <v>0</v>
      </c>
      <c r="BK426" s="119">
        <v>5.5</v>
      </c>
      <c r="BL426" s="119">
        <v>6</v>
      </c>
      <c r="BM426" s="40" t="s">
        <v>1</v>
      </c>
      <c r="BN426" s="243">
        <v>5</v>
      </c>
      <c r="BO426" s="242">
        <v>5.5</v>
      </c>
      <c r="BP426" s="58">
        <v>250</v>
      </c>
      <c r="BT426" s="59"/>
      <c r="BU426" s="59"/>
      <c r="BV426" s="59"/>
      <c r="BW426" s="59"/>
      <c r="BX426" s="59"/>
      <c r="BY426" s="59"/>
      <c r="BZ426" s="59"/>
      <c r="CA426" s="59"/>
      <c r="CB426" s="59"/>
      <c r="CC426" s="59"/>
      <c r="CD426" s="59"/>
      <c r="CE426" s="60"/>
      <c r="CF426" s="76" t="s">
        <v>90</v>
      </c>
      <c r="CR426" s="40">
        <v>0</v>
      </c>
      <c r="CS426" s="67">
        <v>0</v>
      </c>
      <c r="CT426" s="67">
        <v>0</v>
      </c>
      <c r="CU426" s="40">
        <v>0</v>
      </c>
      <c r="CV426" s="67">
        <v>0</v>
      </c>
      <c r="CW426" s="67">
        <v>0</v>
      </c>
      <c r="CX426" s="67">
        <v>0</v>
      </c>
      <c r="CY426" s="67">
        <v>0</v>
      </c>
      <c r="CZ426" s="67">
        <v>0</v>
      </c>
      <c r="DA426" s="67">
        <v>0</v>
      </c>
      <c r="DB426" s="67">
        <v>0</v>
      </c>
      <c r="DD426" s="229">
        <v>0</v>
      </c>
      <c r="DI426" s="40" t="s">
        <v>0</v>
      </c>
    </row>
    <row r="427" spans="1:113" s="119" customFormat="1" ht="15.75" customHeight="1" thickBot="1" x14ac:dyDescent="0.3">
      <c r="A427" s="233">
        <v>560735</v>
      </c>
      <c r="B427" s="233" t="s">
        <v>6</v>
      </c>
      <c r="C427" s="234" t="s">
        <v>831</v>
      </c>
      <c r="D427" s="233">
        <v>5</v>
      </c>
      <c r="E427" s="233">
        <v>0</v>
      </c>
      <c r="F427" s="233">
        <v>5</v>
      </c>
      <c r="G427" s="233">
        <v>24</v>
      </c>
      <c r="H427" s="233">
        <v>0</v>
      </c>
      <c r="I427" s="233">
        <v>25</v>
      </c>
      <c r="J427" s="235" t="s">
        <v>998</v>
      </c>
      <c r="K427" s="235" t="s">
        <v>999</v>
      </c>
      <c r="L427" s="236">
        <v>46037.327650462998</v>
      </c>
      <c r="M427" s="233">
        <v>0</v>
      </c>
      <c r="N427" s="233">
        <v>0</v>
      </c>
      <c r="O427" s="233">
        <v>0</v>
      </c>
      <c r="R427" s="233" t="s">
        <v>24</v>
      </c>
      <c r="S427" s="233" t="b">
        <v>0</v>
      </c>
      <c r="T427" s="237">
        <v>0.01</v>
      </c>
      <c r="U427" s="238">
        <v>5.5</v>
      </c>
      <c r="V427" s="237">
        <v>0.01</v>
      </c>
      <c r="W427" s="237">
        <v>0</v>
      </c>
      <c r="X427" s="233">
        <v>1000</v>
      </c>
      <c r="Z427" s="233">
        <v>10</v>
      </c>
      <c r="AB427" s="239">
        <v>50</v>
      </c>
      <c r="AD427" s="233">
        <v>10</v>
      </c>
      <c r="AF427" s="233">
        <v>2000</v>
      </c>
      <c r="AG427" s="233">
        <v>2</v>
      </c>
      <c r="AH427" s="233">
        <v>5.69</v>
      </c>
      <c r="AI427" s="233">
        <v>449</v>
      </c>
      <c r="AJ427" s="233">
        <v>0</v>
      </c>
      <c r="AK427" s="233">
        <v>115</v>
      </c>
      <c r="AM427" s="233" t="s">
        <v>2</v>
      </c>
      <c r="AO427" s="233">
        <v>50</v>
      </c>
      <c r="AW427" s="233" t="b">
        <v>0</v>
      </c>
      <c r="AZ427" s="233" t="s">
        <v>24</v>
      </c>
      <c r="BE427" s="246"/>
      <c r="BF427" s="119">
        <v>1</v>
      </c>
      <c r="BG427" s="119">
        <v>0.55000000000000004</v>
      </c>
      <c r="BH427" s="119">
        <v>0</v>
      </c>
      <c r="BI427" s="119">
        <v>0</v>
      </c>
      <c r="BJ427" s="119">
        <v>0</v>
      </c>
      <c r="BK427" s="119">
        <v>5.5</v>
      </c>
      <c r="BL427" s="119">
        <v>6</v>
      </c>
      <c r="BM427" s="40" t="s">
        <v>1</v>
      </c>
      <c r="BN427" s="243">
        <v>5</v>
      </c>
      <c r="BO427" s="242">
        <v>5.5</v>
      </c>
      <c r="BP427" s="58">
        <v>250</v>
      </c>
      <c r="BT427" s="59"/>
      <c r="BU427" s="59"/>
      <c r="BV427" s="59"/>
      <c r="BW427" s="59"/>
      <c r="BX427" s="59"/>
      <c r="BY427" s="59"/>
      <c r="BZ427" s="59"/>
      <c r="CA427" s="59"/>
      <c r="CB427" s="59"/>
      <c r="CC427" s="59"/>
      <c r="CD427" s="59"/>
      <c r="CE427" s="60"/>
      <c r="CF427" s="76" t="s">
        <v>90</v>
      </c>
      <c r="CR427" s="40">
        <v>0</v>
      </c>
      <c r="CS427" s="67">
        <v>0</v>
      </c>
      <c r="CT427" s="67">
        <v>0</v>
      </c>
      <c r="CU427" s="40">
        <v>0</v>
      </c>
      <c r="CV427" s="67">
        <v>0</v>
      </c>
      <c r="CW427" s="67">
        <v>0</v>
      </c>
      <c r="CX427" s="67">
        <v>0</v>
      </c>
      <c r="CY427" s="67">
        <v>0</v>
      </c>
      <c r="CZ427" s="67">
        <v>0</v>
      </c>
      <c r="DA427" s="67">
        <v>0</v>
      </c>
      <c r="DB427" s="67">
        <v>0</v>
      </c>
      <c r="DD427" s="229">
        <v>0</v>
      </c>
      <c r="DI427" s="40" t="s">
        <v>0</v>
      </c>
    </row>
    <row r="428" spans="1:113" s="119" customFormat="1" ht="15.75" customHeight="1" thickBot="1" x14ac:dyDescent="0.3">
      <c r="A428" s="233">
        <v>560734</v>
      </c>
      <c r="B428" s="233" t="s">
        <v>6</v>
      </c>
      <c r="C428" s="234" t="s">
        <v>831</v>
      </c>
      <c r="D428" s="233">
        <v>5</v>
      </c>
      <c r="E428" s="233">
        <v>0</v>
      </c>
      <c r="F428" s="233">
        <v>5</v>
      </c>
      <c r="G428" s="233">
        <v>23</v>
      </c>
      <c r="H428" s="233">
        <v>0</v>
      </c>
      <c r="I428" s="233">
        <v>25</v>
      </c>
      <c r="J428" s="235" t="s">
        <v>1000</v>
      </c>
      <c r="K428" s="235" t="s">
        <v>1001</v>
      </c>
      <c r="L428" s="236">
        <v>46037.3275810185</v>
      </c>
      <c r="M428" s="233">
        <v>0</v>
      </c>
      <c r="N428" s="233">
        <v>0</v>
      </c>
      <c r="O428" s="233">
        <v>0</v>
      </c>
      <c r="R428" s="233" t="s">
        <v>24</v>
      </c>
      <c r="S428" s="233" t="b">
        <v>0</v>
      </c>
      <c r="T428" s="237">
        <v>0.01</v>
      </c>
      <c r="U428" s="238">
        <v>5.5</v>
      </c>
      <c r="V428" s="237">
        <v>0.01</v>
      </c>
      <c r="W428" s="237">
        <v>0</v>
      </c>
      <c r="X428" s="233">
        <v>1000</v>
      </c>
      <c r="Z428" s="233">
        <v>10</v>
      </c>
      <c r="AB428" s="239">
        <v>50</v>
      </c>
      <c r="AD428" s="233">
        <v>10</v>
      </c>
      <c r="AF428" s="233">
        <v>2000</v>
      </c>
      <c r="AG428" s="233">
        <v>2</v>
      </c>
      <c r="AH428" s="233">
        <v>5.67</v>
      </c>
      <c r="AI428" s="233">
        <v>449</v>
      </c>
      <c r="AJ428" s="233">
        <v>0</v>
      </c>
      <c r="AK428" s="233">
        <v>114</v>
      </c>
      <c r="AM428" s="233" t="s">
        <v>2</v>
      </c>
      <c r="AO428" s="233">
        <v>50</v>
      </c>
      <c r="AW428" s="233" t="b">
        <v>0</v>
      </c>
      <c r="AZ428" s="233" t="s">
        <v>24</v>
      </c>
      <c r="BE428" s="246"/>
      <c r="BF428" s="119">
        <v>1</v>
      </c>
      <c r="BG428" s="119">
        <v>0.55000000000000004</v>
      </c>
      <c r="BH428" s="119">
        <v>0</v>
      </c>
      <c r="BI428" s="119">
        <v>0</v>
      </c>
      <c r="BJ428" s="119">
        <v>0</v>
      </c>
      <c r="BK428" s="119">
        <v>5.5</v>
      </c>
      <c r="BL428" s="119">
        <v>6</v>
      </c>
      <c r="BM428" s="40" t="s">
        <v>1</v>
      </c>
      <c r="BN428" s="243">
        <v>5</v>
      </c>
      <c r="BO428" s="242">
        <v>5.5</v>
      </c>
      <c r="BP428" s="58">
        <v>250</v>
      </c>
      <c r="BT428" s="59"/>
      <c r="BU428" s="59"/>
      <c r="BV428" s="59"/>
      <c r="BW428" s="59"/>
      <c r="BX428" s="59"/>
      <c r="BY428" s="59"/>
      <c r="BZ428" s="59"/>
      <c r="CA428" s="59"/>
      <c r="CB428" s="59"/>
      <c r="CC428" s="59"/>
      <c r="CD428" s="59"/>
      <c r="CE428" s="60"/>
      <c r="CF428" s="76" t="s">
        <v>90</v>
      </c>
      <c r="CR428" s="40">
        <v>0</v>
      </c>
      <c r="CS428" s="67">
        <v>0</v>
      </c>
      <c r="CT428" s="67">
        <v>0</v>
      </c>
      <c r="CU428" s="40">
        <v>0</v>
      </c>
      <c r="CV428" s="67">
        <v>0</v>
      </c>
      <c r="CW428" s="67">
        <v>0</v>
      </c>
      <c r="CX428" s="67">
        <v>0</v>
      </c>
      <c r="CY428" s="67">
        <v>0</v>
      </c>
      <c r="CZ428" s="67">
        <v>0</v>
      </c>
      <c r="DA428" s="67">
        <v>0</v>
      </c>
      <c r="DB428" s="67">
        <v>0</v>
      </c>
      <c r="DD428" s="229">
        <v>0</v>
      </c>
      <c r="DI428" s="40" t="s">
        <v>0</v>
      </c>
    </row>
    <row r="429" spans="1:113" s="119" customFormat="1" ht="15.75" customHeight="1" thickBot="1" x14ac:dyDescent="0.3">
      <c r="A429" s="233">
        <v>560733</v>
      </c>
      <c r="B429" s="233" t="s">
        <v>6</v>
      </c>
      <c r="C429" s="234" t="s">
        <v>831</v>
      </c>
      <c r="D429" s="233">
        <v>5</v>
      </c>
      <c r="E429" s="233">
        <v>0</v>
      </c>
      <c r="F429" s="233">
        <v>5</v>
      </c>
      <c r="G429" s="233">
        <v>22</v>
      </c>
      <c r="H429" s="233">
        <v>0</v>
      </c>
      <c r="I429" s="233">
        <v>25</v>
      </c>
      <c r="J429" s="235" t="s">
        <v>1002</v>
      </c>
      <c r="K429" s="235" t="s">
        <v>1003</v>
      </c>
      <c r="L429" s="236">
        <v>46037.327499999999</v>
      </c>
      <c r="M429" s="233">
        <v>0</v>
      </c>
      <c r="N429" s="233">
        <v>0</v>
      </c>
      <c r="O429" s="233">
        <v>0</v>
      </c>
      <c r="R429" s="233" t="s">
        <v>24</v>
      </c>
      <c r="S429" s="233" t="b">
        <v>0</v>
      </c>
      <c r="T429" s="237">
        <v>0.01</v>
      </c>
      <c r="U429" s="238">
        <v>5.5</v>
      </c>
      <c r="V429" s="237">
        <v>0.01</v>
      </c>
      <c r="W429" s="237">
        <v>0</v>
      </c>
      <c r="X429" s="233">
        <v>1000</v>
      </c>
      <c r="Z429" s="233">
        <v>10</v>
      </c>
      <c r="AB429" s="239">
        <v>50</v>
      </c>
      <c r="AD429" s="233">
        <v>10</v>
      </c>
      <c r="AF429" s="233">
        <v>2000</v>
      </c>
      <c r="AG429" s="233">
        <v>2</v>
      </c>
      <c r="AH429" s="233">
        <v>5.66</v>
      </c>
      <c r="AI429" s="233">
        <v>436</v>
      </c>
      <c r="AJ429" s="233">
        <v>0</v>
      </c>
      <c r="AK429" s="233">
        <v>112</v>
      </c>
      <c r="AM429" s="233" t="s">
        <v>2</v>
      </c>
      <c r="AO429" s="233">
        <v>50</v>
      </c>
      <c r="AW429" s="233" t="b">
        <v>0</v>
      </c>
      <c r="AZ429" s="233" t="s">
        <v>24</v>
      </c>
      <c r="BE429" s="246"/>
      <c r="BF429" s="119">
        <v>1</v>
      </c>
      <c r="BG429" s="119">
        <v>0.55000000000000004</v>
      </c>
      <c r="BH429" s="119">
        <v>0</v>
      </c>
      <c r="BI429" s="119">
        <v>0</v>
      </c>
      <c r="BJ429" s="119">
        <v>0</v>
      </c>
      <c r="BK429" s="119">
        <v>5.5</v>
      </c>
      <c r="BL429" s="119">
        <v>6</v>
      </c>
      <c r="BM429" s="40" t="s">
        <v>1</v>
      </c>
      <c r="BN429" s="243">
        <v>5</v>
      </c>
      <c r="BO429" s="242">
        <v>5.5</v>
      </c>
      <c r="BP429" s="58">
        <v>250</v>
      </c>
      <c r="BT429" s="59"/>
      <c r="BU429" s="59"/>
      <c r="BV429" s="59"/>
      <c r="BW429" s="59"/>
      <c r="BX429" s="59"/>
      <c r="BY429" s="59"/>
      <c r="BZ429" s="59"/>
      <c r="CA429" s="59"/>
      <c r="CB429" s="59"/>
      <c r="CC429" s="59"/>
      <c r="CD429" s="59"/>
      <c r="CE429" s="60"/>
      <c r="CF429" s="76" t="s">
        <v>90</v>
      </c>
      <c r="CR429" s="40">
        <v>0</v>
      </c>
      <c r="CS429" s="67">
        <v>0</v>
      </c>
      <c r="CT429" s="67">
        <v>0</v>
      </c>
      <c r="CU429" s="40">
        <v>0</v>
      </c>
      <c r="CV429" s="67">
        <v>0</v>
      </c>
      <c r="CW429" s="67">
        <v>0</v>
      </c>
      <c r="CX429" s="67">
        <v>0</v>
      </c>
      <c r="CY429" s="67">
        <v>0</v>
      </c>
      <c r="CZ429" s="67">
        <v>0</v>
      </c>
      <c r="DA429" s="67">
        <v>0</v>
      </c>
      <c r="DB429" s="67">
        <v>0</v>
      </c>
      <c r="DD429" s="229">
        <v>0</v>
      </c>
      <c r="DI429" s="40" t="s">
        <v>0</v>
      </c>
    </row>
    <row r="430" spans="1:113" s="119" customFormat="1" ht="15.75" customHeight="1" thickBot="1" x14ac:dyDescent="0.3">
      <c r="A430" s="233">
        <v>560732</v>
      </c>
      <c r="B430" s="233" t="s">
        <v>6</v>
      </c>
      <c r="C430" s="234" t="s">
        <v>831</v>
      </c>
      <c r="D430" s="233">
        <v>5</v>
      </c>
      <c r="E430" s="233">
        <v>0</v>
      </c>
      <c r="F430" s="233">
        <v>5</v>
      </c>
      <c r="G430" s="233">
        <v>21</v>
      </c>
      <c r="H430" s="233">
        <v>0</v>
      </c>
      <c r="I430" s="233">
        <v>25</v>
      </c>
      <c r="J430" s="235" t="s">
        <v>1004</v>
      </c>
      <c r="K430" s="235" t="s">
        <v>1005</v>
      </c>
      <c r="L430" s="236">
        <v>46037.327430555597</v>
      </c>
      <c r="M430" s="233">
        <v>0</v>
      </c>
      <c r="N430" s="233">
        <v>0</v>
      </c>
      <c r="O430" s="233">
        <v>0</v>
      </c>
      <c r="R430" s="233" t="s">
        <v>24</v>
      </c>
      <c r="S430" s="233" t="b">
        <v>0</v>
      </c>
      <c r="T430" s="237">
        <v>0.01</v>
      </c>
      <c r="U430" s="238">
        <v>5.5</v>
      </c>
      <c r="V430" s="237">
        <v>0.01</v>
      </c>
      <c r="W430" s="237">
        <v>0</v>
      </c>
      <c r="X430" s="233">
        <v>1000</v>
      </c>
      <c r="Z430" s="233">
        <v>10</v>
      </c>
      <c r="AB430" s="239">
        <v>50</v>
      </c>
      <c r="AD430" s="233">
        <v>10</v>
      </c>
      <c r="AF430" s="233">
        <v>2000</v>
      </c>
      <c r="AG430" s="233">
        <v>2</v>
      </c>
      <c r="AH430" s="233">
        <v>5.67</v>
      </c>
      <c r="AI430" s="233">
        <v>449</v>
      </c>
      <c r="AJ430" s="233">
        <v>0</v>
      </c>
      <c r="AK430" s="233">
        <v>114</v>
      </c>
      <c r="AM430" s="233" t="s">
        <v>2</v>
      </c>
      <c r="AO430" s="233">
        <v>50</v>
      </c>
      <c r="AW430" s="233" t="b">
        <v>0</v>
      </c>
      <c r="AZ430" s="233" t="s">
        <v>24</v>
      </c>
      <c r="BE430" s="246"/>
      <c r="BF430" s="119">
        <v>1</v>
      </c>
      <c r="BG430" s="119">
        <v>0.55000000000000004</v>
      </c>
      <c r="BH430" s="119">
        <v>0</v>
      </c>
      <c r="BI430" s="119">
        <v>0</v>
      </c>
      <c r="BJ430" s="119">
        <v>0</v>
      </c>
      <c r="BK430" s="119">
        <v>5.5</v>
      </c>
      <c r="BL430" s="119">
        <v>6</v>
      </c>
      <c r="BM430" s="40" t="s">
        <v>1</v>
      </c>
      <c r="BN430" s="243">
        <v>5</v>
      </c>
      <c r="BO430" s="242">
        <v>5.5</v>
      </c>
      <c r="BP430" s="58">
        <v>250</v>
      </c>
      <c r="BT430" s="59"/>
      <c r="BU430" s="59"/>
      <c r="BV430" s="59"/>
      <c r="BW430" s="59"/>
      <c r="BX430" s="59"/>
      <c r="BY430" s="59"/>
      <c r="BZ430" s="59"/>
      <c r="CA430" s="59"/>
      <c r="CB430" s="59"/>
      <c r="CC430" s="59"/>
      <c r="CD430" s="59"/>
      <c r="CE430" s="60"/>
      <c r="CF430" s="76" t="s">
        <v>90</v>
      </c>
      <c r="CR430" s="40">
        <v>0</v>
      </c>
      <c r="CS430" s="67">
        <v>0</v>
      </c>
      <c r="CT430" s="67">
        <v>0</v>
      </c>
      <c r="CU430" s="40">
        <v>0</v>
      </c>
      <c r="CV430" s="67">
        <v>0</v>
      </c>
      <c r="CW430" s="67">
        <v>0</v>
      </c>
      <c r="CX430" s="67">
        <v>0</v>
      </c>
      <c r="CY430" s="67">
        <v>0</v>
      </c>
      <c r="CZ430" s="67">
        <v>0</v>
      </c>
      <c r="DA430" s="67">
        <v>0</v>
      </c>
      <c r="DB430" s="67">
        <v>0</v>
      </c>
      <c r="DD430" s="229">
        <v>0</v>
      </c>
      <c r="DI430" s="40" t="s">
        <v>0</v>
      </c>
    </row>
    <row r="431" spans="1:113" s="119" customFormat="1" ht="15.75" customHeight="1" thickBot="1" x14ac:dyDescent="0.3">
      <c r="A431" s="233">
        <v>560731</v>
      </c>
      <c r="B431" s="233" t="s">
        <v>6</v>
      </c>
      <c r="C431" s="234" t="s">
        <v>831</v>
      </c>
      <c r="D431" s="233">
        <v>5</v>
      </c>
      <c r="E431" s="233">
        <v>0</v>
      </c>
      <c r="F431" s="233">
        <v>5</v>
      </c>
      <c r="G431" s="233">
        <v>20</v>
      </c>
      <c r="H431" s="233">
        <v>0</v>
      </c>
      <c r="I431" s="233">
        <v>25</v>
      </c>
      <c r="J431" s="235" t="s">
        <v>1006</v>
      </c>
      <c r="K431" s="235" t="s">
        <v>1007</v>
      </c>
      <c r="L431" s="236">
        <v>46037.3273611111</v>
      </c>
      <c r="M431" s="233">
        <v>0</v>
      </c>
      <c r="N431" s="233">
        <v>0</v>
      </c>
      <c r="O431" s="233">
        <v>0</v>
      </c>
      <c r="R431" s="233" t="s">
        <v>24</v>
      </c>
      <c r="S431" s="233" t="b">
        <v>0</v>
      </c>
      <c r="T431" s="237">
        <v>0.01</v>
      </c>
      <c r="U431" s="238">
        <v>5.5</v>
      </c>
      <c r="V431" s="237">
        <v>0.01</v>
      </c>
      <c r="W431" s="237">
        <v>0</v>
      </c>
      <c r="X431" s="233">
        <v>1000</v>
      </c>
      <c r="Z431" s="233">
        <v>10</v>
      </c>
      <c r="AB431" s="239">
        <v>50</v>
      </c>
      <c r="AD431" s="233">
        <v>10</v>
      </c>
      <c r="AF431" s="233">
        <v>2000</v>
      </c>
      <c r="AG431" s="233">
        <v>2</v>
      </c>
      <c r="AH431" s="233">
        <v>5.68</v>
      </c>
      <c r="AI431" s="233">
        <v>453</v>
      </c>
      <c r="AJ431" s="233">
        <v>0</v>
      </c>
      <c r="AK431" s="233">
        <v>115</v>
      </c>
      <c r="AM431" s="233" t="s">
        <v>2</v>
      </c>
      <c r="AO431" s="233">
        <v>50</v>
      </c>
      <c r="AW431" s="233" t="b">
        <v>0</v>
      </c>
      <c r="AZ431" s="233" t="s">
        <v>24</v>
      </c>
      <c r="BE431" s="246"/>
      <c r="BF431" s="119">
        <v>1</v>
      </c>
      <c r="BG431" s="119">
        <v>0.55000000000000004</v>
      </c>
      <c r="BH431" s="119">
        <v>0</v>
      </c>
      <c r="BI431" s="119">
        <v>0</v>
      </c>
      <c r="BJ431" s="119">
        <v>0</v>
      </c>
      <c r="BK431" s="119">
        <v>5.5</v>
      </c>
      <c r="BL431" s="119">
        <v>6</v>
      </c>
      <c r="BM431" s="40" t="s">
        <v>1</v>
      </c>
      <c r="BN431" s="243">
        <v>5</v>
      </c>
      <c r="BO431" s="242">
        <v>5.5</v>
      </c>
      <c r="BP431" s="58">
        <v>250</v>
      </c>
      <c r="BT431" s="59"/>
      <c r="BU431" s="59"/>
      <c r="BV431" s="59"/>
      <c r="BW431" s="59"/>
      <c r="BX431" s="59"/>
      <c r="BY431" s="59"/>
      <c r="BZ431" s="59"/>
      <c r="CA431" s="59"/>
      <c r="CB431" s="59"/>
      <c r="CC431" s="59"/>
      <c r="CD431" s="59"/>
      <c r="CE431" s="60"/>
      <c r="CF431" s="76" t="s">
        <v>90</v>
      </c>
      <c r="CR431" s="40">
        <v>0</v>
      </c>
      <c r="CS431" s="67">
        <v>0</v>
      </c>
      <c r="CT431" s="67">
        <v>0</v>
      </c>
      <c r="CU431" s="40">
        <v>0</v>
      </c>
      <c r="CV431" s="67">
        <v>0</v>
      </c>
      <c r="CW431" s="67">
        <v>0</v>
      </c>
      <c r="CX431" s="67">
        <v>0</v>
      </c>
      <c r="CY431" s="67">
        <v>0</v>
      </c>
      <c r="CZ431" s="67">
        <v>0</v>
      </c>
      <c r="DA431" s="67">
        <v>0</v>
      </c>
      <c r="DB431" s="67">
        <v>0</v>
      </c>
      <c r="DD431" s="229">
        <v>0</v>
      </c>
      <c r="DI431" s="40" t="s">
        <v>0</v>
      </c>
    </row>
    <row r="432" spans="1:113" s="119" customFormat="1" ht="15.75" customHeight="1" thickBot="1" x14ac:dyDescent="0.3">
      <c r="A432" s="233">
        <v>560730</v>
      </c>
      <c r="B432" s="233" t="s">
        <v>6</v>
      </c>
      <c r="C432" s="234" t="s">
        <v>831</v>
      </c>
      <c r="D432" s="233">
        <v>5</v>
      </c>
      <c r="E432" s="233">
        <v>0</v>
      </c>
      <c r="F432" s="233">
        <v>5</v>
      </c>
      <c r="G432" s="233">
        <v>19</v>
      </c>
      <c r="H432" s="233">
        <v>0</v>
      </c>
      <c r="I432" s="233">
        <v>25</v>
      </c>
      <c r="J432" s="235" t="s">
        <v>1008</v>
      </c>
      <c r="K432" s="235" t="s">
        <v>1009</v>
      </c>
      <c r="L432" s="236">
        <v>46037.327175925901</v>
      </c>
      <c r="M432" s="233">
        <v>0</v>
      </c>
      <c r="N432" s="233">
        <v>0</v>
      </c>
      <c r="O432" s="233">
        <v>0</v>
      </c>
      <c r="R432" s="233" t="s">
        <v>24</v>
      </c>
      <c r="S432" s="233" t="b">
        <v>0</v>
      </c>
      <c r="T432" s="237">
        <v>0.01</v>
      </c>
      <c r="U432" s="238">
        <v>5.5</v>
      </c>
      <c r="V432" s="237">
        <v>0.01</v>
      </c>
      <c r="W432" s="237">
        <v>0</v>
      </c>
      <c r="X432" s="233">
        <v>1000</v>
      </c>
      <c r="Z432" s="233">
        <v>10</v>
      </c>
      <c r="AB432" s="239">
        <v>50</v>
      </c>
      <c r="AD432" s="233">
        <v>10</v>
      </c>
      <c r="AF432" s="233">
        <v>2000</v>
      </c>
      <c r="AG432" s="233">
        <v>2</v>
      </c>
      <c r="AH432" s="233">
        <v>5.67</v>
      </c>
      <c r="AI432" s="233">
        <v>440</v>
      </c>
      <c r="AJ432" s="233">
        <v>0</v>
      </c>
      <c r="AK432" s="233">
        <v>112</v>
      </c>
      <c r="AM432" s="233" t="s">
        <v>2</v>
      </c>
      <c r="AO432" s="233">
        <v>50</v>
      </c>
      <c r="AW432" s="233" t="b">
        <v>0</v>
      </c>
      <c r="AZ432" s="233" t="s">
        <v>24</v>
      </c>
      <c r="BE432" s="246"/>
      <c r="BF432" s="119">
        <v>1</v>
      </c>
      <c r="BG432" s="119">
        <v>0.55000000000000004</v>
      </c>
      <c r="BH432" s="119">
        <v>0</v>
      </c>
      <c r="BI432" s="119">
        <v>0</v>
      </c>
      <c r="BJ432" s="119">
        <v>0</v>
      </c>
      <c r="BK432" s="119">
        <v>5.5</v>
      </c>
      <c r="BL432" s="119">
        <v>6</v>
      </c>
      <c r="BM432" s="40" t="s">
        <v>1</v>
      </c>
      <c r="BN432" s="243">
        <v>5</v>
      </c>
      <c r="BO432" s="242">
        <v>5.5</v>
      </c>
      <c r="BP432" s="58">
        <v>250</v>
      </c>
      <c r="BT432" s="59"/>
      <c r="BU432" s="59"/>
      <c r="BV432" s="59"/>
      <c r="BW432" s="59"/>
      <c r="BX432" s="59"/>
      <c r="BY432" s="59"/>
      <c r="BZ432" s="59"/>
      <c r="CA432" s="59"/>
      <c r="CB432" s="59"/>
      <c r="CC432" s="59"/>
      <c r="CD432" s="59"/>
      <c r="CE432" s="60"/>
      <c r="CF432" s="76" t="s">
        <v>90</v>
      </c>
      <c r="CR432" s="40">
        <v>0</v>
      </c>
      <c r="CS432" s="67">
        <v>0</v>
      </c>
      <c r="CT432" s="67">
        <v>0</v>
      </c>
      <c r="CU432" s="40">
        <v>0</v>
      </c>
      <c r="CV432" s="67">
        <v>0</v>
      </c>
      <c r="CW432" s="67">
        <v>0</v>
      </c>
      <c r="CX432" s="67">
        <v>0</v>
      </c>
      <c r="CY432" s="67">
        <v>0</v>
      </c>
      <c r="CZ432" s="67">
        <v>0</v>
      </c>
      <c r="DA432" s="67">
        <v>0</v>
      </c>
      <c r="DB432" s="67">
        <v>0</v>
      </c>
      <c r="DD432" s="229">
        <v>0</v>
      </c>
      <c r="DI432" s="40" t="s">
        <v>0</v>
      </c>
    </row>
    <row r="433" spans="1:113" s="119" customFormat="1" ht="15.75" customHeight="1" thickBot="1" x14ac:dyDescent="0.3">
      <c r="A433" s="233">
        <v>560729</v>
      </c>
      <c r="B433" s="233" t="s">
        <v>6</v>
      </c>
      <c r="C433" s="234" t="s">
        <v>831</v>
      </c>
      <c r="D433" s="233">
        <v>5</v>
      </c>
      <c r="E433" s="233">
        <v>0</v>
      </c>
      <c r="F433" s="233">
        <v>5</v>
      </c>
      <c r="G433" s="233">
        <v>18</v>
      </c>
      <c r="H433" s="233">
        <v>0</v>
      </c>
      <c r="I433" s="233">
        <v>25</v>
      </c>
      <c r="J433" s="235" t="s">
        <v>1010</v>
      </c>
      <c r="K433" s="235" t="s">
        <v>1011</v>
      </c>
      <c r="L433" s="236">
        <v>46037.327106481498</v>
      </c>
      <c r="M433" s="233">
        <v>0</v>
      </c>
      <c r="N433" s="233">
        <v>0</v>
      </c>
      <c r="O433" s="233">
        <v>0</v>
      </c>
      <c r="R433" s="233" t="s">
        <v>24</v>
      </c>
      <c r="S433" s="233" t="b">
        <v>0</v>
      </c>
      <c r="T433" s="237">
        <v>0.01</v>
      </c>
      <c r="U433" s="238">
        <v>5.5</v>
      </c>
      <c r="V433" s="237">
        <v>0.01</v>
      </c>
      <c r="W433" s="237">
        <v>0</v>
      </c>
      <c r="X433" s="233">
        <v>1000</v>
      </c>
      <c r="Z433" s="233">
        <v>10</v>
      </c>
      <c r="AB433" s="239">
        <v>50</v>
      </c>
      <c r="AD433" s="233">
        <v>10</v>
      </c>
      <c r="AF433" s="233">
        <v>2000</v>
      </c>
      <c r="AG433" s="233">
        <v>2</v>
      </c>
      <c r="AH433" s="233">
        <v>5.66</v>
      </c>
      <c r="AI433" s="233">
        <v>432</v>
      </c>
      <c r="AJ433" s="233">
        <v>0</v>
      </c>
      <c r="AK433" s="233">
        <v>110</v>
      </c>
      <c r="AM433" s="233" t="s">
        <v>2</v>
      </c>
      <c r="AO433" s="233">
        <v>50</v>
      </c>
      <c r="AW433" s="233" t="b">
        <v>0</v>
      </c>
      <c r="AZ433" s="233" t="s">
        <v>24</v>
      </c>
      <c r="BE433" s="246"/>
      <c r="BF433" s="119">
        <v>1</v>
      </c>
      <c r="BG433" s="119">
        <v>0.55000000000000004</v>
      </c>
      <c r="BH433" s="119">
        <v>0</v>
      </c>
      <c r="BI433" s="119">
        <v>0</v>
      </c>
      <c r="BJ433" s="119">
        <v>0</v>
      </c>
      <c r="BK433" s="119">
        <v>5.5</v>
      </c>
      <c r="BL433" s="119">
        <v>6</v>
      </c>
      <c r="BM433" s="40" t="s">
        <v>1</v>
      </c>
      <c r="BN433" s="243">
        <v>5</v>
      </c>
      <c r="BO433" s="242">
        <v>5.5</v>
      </c>
      <c r="BP433" s="58">
        <v>250</v>
      </c>
      <c r="BT433" s="59"/>
      <c r="BU433" s="59"/>
      <c r="BV433" s="59"/>
      <c r="BW433" s="59"/>
      <c r="BX433" s="59"/>
      <c r="BY433" s="59"/>
      <c r="BZ433" s="59"/>
      <c r="CA433" s="59"/>
      <c r="CB433" s="59"/>
      <c r="CC433" s="59"/>
      <c r="CD433" s="59"/>
      <c r="CE433" s="60"/>
      <c r="CF433" s="76" t="s">
        <v>90</v>
      </c>
      <c r="CR433" s="40">
        <v>0</v>
      </c>
      <c r="CS433" s="67">
        <v>0</v>
      </c>
      <c r="CT433" s="67">
        <v>0</v>
      </c>
      <c r="CU433" s="40">
        <v>0</v>
      </c>
      <c r="CV433" s="67">
        <v>0</v>
      </c>
      <c r="CW433" s="67">
        <v>0</v>
      </c>
      <c r="CX433" s="67">
        <v>0</v>
      </c>
      <c r="CY433" s="67">
        <v>0</v>
      </c>
      <c r="CZ433" s="67">
        <v>0</v>
      </c>
      <c r="DA433" s="67">
        <v>0</v>
      </c>
      <c r="DB433" s="67">
        <v>0</v>
      </c>
      <c r="DD433" s="229">
        <v>0</v>
      </c>
      <c r="DI433" s="40" t="s">
        <v>0</v>
      </c>
    </row>
    <row r="434" spans="1:113" s="119" customFormat="1" ht="15.75" customHeight="1" thickBot="1" x14ac:dyDescent="0.3">
      <c r="A434" s="233">
        <v>560728</v>
      </c>
      <c r="B434" s="233" t="s">
        <v>6</v>
      </c>
      <c r="C434" s="234" t="s">
        <v>831</v>
      </c>
      <c r="D434" s="233">
        <v>5</v>
      </c>
      <c r="E434" s="233">
        <v>0</v>
      </c>
      <c r="F434" s="233">
        <v>5</v>
      </c>
      <c r="G434" s="233">
        <v>17</v>
      </c>
      <c r="H434" s="233">
        <v>0</v>
      </c>
      <c r="I434" s="233">
        <v>25</v>
      </c>
      <c r="J434" s="235" t="s">
        <v>1012</v>
      </c>
      <c r="K434" s="235" t="s">
        <v>1013</v>
      </c>
      <c r="L434" s="236">
        <v>46037.327037037001</v>
      </c>
      <c r="M434" s="233">
        <v>0</v>
      </c>
      <c r="N434" s="233">
        <v>0</v>
      </c>
      <c r="O434" s="233">
        <v>0</v>
      </c>
      <c r="R434" s="233" t="s">
        <v>24</v>
      </c>
      <c r="S434" s="233" t="b">
        <v>0</v>
      </c>
      <c r="T434" s="237">
        <v>0.01</v>
      </c>
      <c r="U434" s="238">
        <v>5.5</v>
      </c>
      <c r="V434" s="237">
        <v>0.01</v>
      </c>
      <c r="W434" s="237">
        <v>0</v>
      </c>
      <c r="X434" s="233">
        <v>1000</v>
      </c>
      <c r="Z434" s="233">
        <v>10</v>
      </c>
      <c r="AB434" s="239">
        <v>50</v>
      </c>
      <c r="AD434" s="233">
        <v>10</v>
      </c>
      <c r="AF434" s="233">
        <v>2000</v>
      </c>
      <c r="AG434" s="233">
        <v>2</v>
      </c>
      <c r="AH434" s="233">
        <v>5.66</v>
      </c>
      <c r="AI434" s="233">
        <v>436</v>
      </c>
      <c r="AJ434" s="233">
        <v>0</v>
      </c>
      <c r="AK434" s="233">
        <v>112</v>
      </c>
      <c r="AM434" s="233" t="s">
        <v>2</v>
      </c>
      <c r="AO434" s="233">
        <v>50</v>
      </c>
      <c r="AW434" s="233" t="b">
        <v>0</v>
      </c>
      <c r="AZ434" s="233" t="s">
        <v>24</v>
      </c>
      <c r="BE434" s="246"/>
      <c r="BF434" s="119">
        <v>1</v>
      </c>
      <c r="BG434" s="119">
        <v>0.55000000000000004</v>
      </c>
      <c r="BH434" s="119">
        <v>0</v>
      </c>
      <c r="BI434" s="119">
        <v>0</v>
      </c>
      <c r="BJ434" s="119">
        <v>0</v>
      </c>
      <c r="BK434" s="119">
        <v>5.5</v>
      </c>
      <c r="BL434" s="119">
        <v>6</v>
      </c>
      <c r="BM434" s="40" t="s">
        <v>1</v>
      </c>
      <c r="BN434" s="243">
        <v>5</v>
      </c>
      <c r="BO434" s="242">
        <v>5.5</v>
      </c>
      <c r="BP434" s="58">
        <v>250</v>
      </c>
      <c r="BT434" s="59"/>
      <c r="BU434" s="59"/>
      <c r="BV434" s="59"/>
      <c r="BW434" s="59"/>
      <c r="BX434" s="59"/>
      <c r="BY434" s="59"/>
      <c r="BZ434" s="59"/>
      <c r="CA434" s="59"/>
      <c r="CB434" s="59"/>
      <c r="CC434" s="59"/>
      <c r="CD434" s="59"/>
      <c r="CE434" s="60"/>
      <c r="CF434" s="76" t="s">
        <v>90</v>
      </c>
      <c r="CR434" s="40">
        <v>0</v>
      </c>
      <c r="CS434" s="67">
        <v>0</v>
      </c>
      <c r="CT434" s="67">
        <v>0</v>
      </c>
      <c r="CU434" s="40">
        <v>0</v>
      </c>
      <c r="CV434" s="67">
        <v>0</v>
      </c>
      <c r="CW434" s="67">
        <v>0</v>
      </c>
      <c r="CX434" s="67">
        <v>0</v>
      </c>
      <c r="CY434" s="67">
        <v>0</v>
      </c>
      <c r="CZ434" s="67">
        <v>0</v>
      </c>
      <c r="DA434" s="67">
        <v>0</v>
      </c>
      <c r="DB434" s="67">
        <v>0</v>
      </c>
      <c r="DD434" s="229">
        <v>0</v>
      </c>
      <c r="DI434" s="40" t="s">
        <v>0</v>
      </c>
    </row>
    <row r="435" spans="1:113" s="119" customFormat="1" ht="15.75" customHeight="1" thickBot="1" x14ac:dyDescent="0.3">
      <c r="A435" s="233">
        <v>560727</v>
      </c>
      <c r="B435" s="233" t="s">
        <v>6</v>
      </c>
      <c r="C435" s="234" t="s">
        <v>831</v>
      </c>
      <c r="D435" s="233">
        <v>5</v>
      </c>
      <c r="E435" s="233">
        <v>0</v>
      </c>
      <c r="F435" s="233">
        <v>5</v>
      </c>
      <c r="G435" s="233">
        <v>16</v>
      </c>
      <c r="H435" s="233">
        <v>0</v>
      </c>
      <c r="I435" s="233">
        <v>25</v>
      </c>
      <c r="J435" s="235" t="s">
        <v>1014</v>
      </c>
      <c r="K435" s="235" t="s">
        <v>1015</v>
      </c>
      <c r="L435" s="236">
        <v>46037.326967592599</v>
      </c>
      <c r="M435" s="233">
        <v>0</v>
      </c>
      <c r="N435" s="233">
        <v>0</v>
      </c>
      <c r="O435" s="233">
        <v>0</v>
      </c>
      <c r="R435" s="233" t="s">
        <v>24</v>
      </c>
      <c r="S435" s="233" t="b">
        <v>0</v>
      </c>
      <c r="T435" s="237">
        <v>0.01</v>
      </c>
      <c r="U435" s="238">
        <v>5.5</v>
      </c>
      <c r="V435" s="237">
        <v>0.01</v>
      </c>
      <c r="W435" s="237">
        <v>0</v>
      </c>
      <c r="X435" s="233">
        <v>1000</v>
      </c>
      <c r="Z435" s="233">
        <v>10</v>
      </c>
      <c r="AB435" s="239">
        <v>50</v>
      </c>
      <c r="AD435" s="233">
        <v>10</v>
      </c>
      <c r="AF435" s="233">
        <v>2000</v>
      </c>
      <c r="AG435" s="233">
        <v>2</v>
      </c>
      <c r="AH435" s="233">
        <v>5.66</v>
      </c>
      <c r="AI435" s="233">
        <v>444</v>
      </c>
      <c r="AJ435" s="233">
        <v>0</v>
      </c>
      <c r="AK435" s="233">
        <v>114</v>
      </c>
      <c r="AM435" s="233" t="s">
        <v>2</v>
      </c>
      <c r="AO435" s="233">
        <v>50</v>
      </c>
      <c r="AW435" s="233" t="b">
        <v>0</v>
      </c>
      <c r="AZ435" s="233" t="s">
        <v>24</v>
      </c>
      <c r="BE435" s="246"/>
      <c r="BF435" s="119">
        <v>1</v>
      </c>
      <c r="BG435" s="119">
        <v>0.55000000000000004</v>
      </c>
      <c r="BH435" s="119">
        <v>0</v>
      </c>
      <c r="BI435" s="119">
        <v>0</v>
      </c>
      <c r="BJ435" s="119">
        <v>0</v>
      </c>
      <c r="BK435" s="119">
        <v>5.5</v>
      </c>
      <c r="BL435" s="119">
        <v>6</v>
      </c>
      <c r="BM435" s="40" t="s">
        <v>1</v>
      </c>
      <c r="BN435" s="243">
        <v>5</v>
      </c>
      <c r="BO435" s="242">
        <v>5.5</v>
      </c>
      <c r="BP435" s="58">
        <v>250</v>
      </c>
      <c r="BT435" s="59"/>
      <c r="BU435" s="59"/>
      <c r="BV435" s="59"/>
      <c r="BW435" s="59"/>
      <c r="BX435" s="59"/>
      <c r="BY435" s="59"/>
      <c r="BZ435" s="59"/>
      <c r="CA435" s="59"/>
      <c r="CB435" s="59"/>
      <c r="CC435" s="59"/>
      <c r="CD435" s="59"/>
      <c r="CE435" s="60"/>
      <c r="CF435" s="76" t="s">
        <v>90</v>
      </c>
      <c r="CR435" s="40">
        <v>0</v>
      </c>
      <c r="CS435" s="67">
        <v>0</v>
      </c>
      <c r="CT435" s="67">
        <v>0</v>
      </c>
      <c r="CU435" s="40">
        <v>0</v>
      </c>
      <c r="CV435" s="67">
        <v>0</v>
      </c>
      <c r="CW435" s="67">
        <v>0</v>
      </c>
      <c r="CX435" s="67">
        <v>0</v>
      </c>
      <c r="CY435" s="67">
        <v>0</v>
      </c>
      <c r="CZ435" s="67">
        <v>0</v>
      </c>
      <c r="DA435" s="67">
        <v>0</v>
      </c>
      <c r="DB435" s="67">
        <v>0</v>
      </c>
      <c r="DD435" s="229">
        <v>0</v>
      </c>
      <c r="DI435" s="40" t="s">
        <v>0</v>
      </c>
    </row>
    <row r="436" spans="1:113" s="119" customFormat="1" ht="15.75" customHeight="1" thickBot="1" x14ac:dyDescent="0.3">
      <c r="A436" s="233">
        <v>560726</v>
      </c>
      <c r="B436" s="233" t="s">
        <v>6</v>
      </c>
      <c r="C436" s="234" t="s">
        <v>831</v>
      </c>
      <c r="D436" s="233">
        <v>5</v>
      </c>
      <c r="E436" s="233">
        <v>0</v>
      </c>
      <c r="F436" s="233">
        <v>5</v>
      </c>
      <c r="G436" s="233">
        <v>15</v>
      </c>
      <c r="H436" s="233">
        <v>0</v>
      </c>
      <c r="I436" s="233">
        <v>25</v>
      </c>
      <c r="J436" s="235" t="s">
        <v>1016</v>
      </c>
      <c r="K436" s="235" t="s">
        <v>1017</v>
      </c>
      <c r="L436" s="236">
        <v>46037.326898148101</v>
      </c>
      <c r="M436" s="233">
        <v>0</v>
      </c>
      <c r="N436" s="233">
        <v>0</v>
      </c>
      <c r="O436" s="233">
        <v>0</v>
      </c>
      <c r="R436" s="233" t="s">
        <v>24</v>
      </c>
      <c r="S436" s="233" t="b">
        <v>0</v>
      </c>
      <c r="T436" s="237">
        <v>0.01</v>
      </c>
      <c r="U436" s="238">
        <v>5.5</v>
      </c>
      <c r="V436" s="237">
        <v>0.01</v>
      </c>
      <c r="W436" s="237">
        <v>0</v>
      </c>
      <c r="X436" s="233">
        <v>1000</v>
      </c>
      <c r="Z436" s="233">
        <v>10</v>
      </c>
      <c r="AB436" s="239">
        <v>50</v>
      </c>
      <c r="AD436" s="233">
        <v>10</v>
      </c>
      <c r="AF436" s="233">
        <v>2000</v>
      </c>
      <c r="AG436" s="233">
        <v>2</v>
      </c>
      <c r="AH436" s="233">
        <v>5.66</v>
      </c>
      <c r="AI436" s="233">
        <v>444</v>
      </c>
      <c r="AJ436" s="233">
        <v>0</v>
      </c>
      <c r="AK436" s="233">
        <v>112</v>
      </c>
      <c r="AM436" s="233" t="s">
        <v>2</v>
      </c>
      <c r="AO436" s="233">
        <v>50</v>
      </c>
      <c r="AW436" s="233" t="b">
        <v>0</v>
      </c>
      <c r="AZ436" s="233" t="s">
        <v>24</v>
      </c>
      <c r="BE436" s="246"/>
      <c r="BF436" s="119">
        <v>1</v>
      </c>
      <c r="BG436" s="119">
        <v>0.55000000000000004</v>
      </c>
      <c r="BH436" s="119">
        <v>0</v>
      </c>
      <c r="BI436" s="119">
        <v>0</v>
      </c>
      <c r="BJ436" s="119">
        <v>0</v>
      </c>
      <c r="BK436" s="119">
        <v>5.5</v>
      </c>
      <c r="BL436" s="119">
        <v>6</v>
      </c>
      <c r="BM436" s="40" t="s">
        <v>1</v>
      </c>
      <c r="BN436" s="243">
        <v>5</v>
      </c>
      <c r="BO436" s="242">
        <v>5.5</v>
      </c>
      <c r="BP436" s="58">
        <v>250</v>
      </c>
      <c r="BT436" s="59"/>
      <c r="BU436" s="59"/>
      <c r="BV436" s="59"/>
      <c r="BW436" s="59"/>
      <c r="BX436" s="59"/>
      <c r="BY436" s="59"/>
      <c r="BZ436" s="59"/>
      <c r="CA436" s="59"/>
      <c r="CB436" s="59"/>
      <c r="CC436" s="59"/>
      <c r="CD436" s="59"/>
      <c r="CE436" s="60"/>
      <c r="CF436" s="76" t="s">
        <v>90</v>
      </c>
      <c r="CR436" s="40">
        <v>0</v>
      </c>
      <c r="CS436" s="67">
        <v>0</v>
      </c>
      <c r="CT436" s="67">
        <v>0</v>
      </c>
      <c r="CU436" s="40">
        <v>0</v>
      </c>
      <c r="CV436" s="67">
        <v>0</v>
      </c>
      <c r="CW436" s="67">
        <v>0</v>
      </c>
      <c r="CX436" s="67">
        <v>0</v>
      </c>
      <c r="CY436" s="67">
        <v>0</v>
      </c>
      <c r="CZ436" s="67">
        <v>0</v>
      </c>
      <c r="DA436" s="67">
        <v>0</v>
      </c>
      <c r="DB436" s="67">
        <v>0</v>
      </c>
      <c r="DD436" s="229">
        <v>0</v>
      </c>
      <c r="DI436" s="40" t="s">
        <v>0</v>
      </c>
    </row>
    <row r="437" spans="1:113" s="119" customFormat="1" ht="15.75" customHeight="1" thickBot="1" x14ac:dyDescent="0.3">
      <c r="A437" s="233">
        <v>560725</v>
      </c>
      <c r="B437" s="233" t="s">
        <v>6</v>
      </c>
      <c r="C437" s="234" t="s">
        <v>831</v>
      </c>
      <c r="D437" s="233">
        <v>5</v>
      </c>
      <c r="E437" s="233">
        <v>0</v>
      </c>
      <c r="F437" s="233">
        <v>5</v>
      </c>
      <c r="G437" s="233">
        <v>14</v>
      </c>
      <c r="H437" s="233">
        <v>0</v>
      </c>
      <c r="I437" s="233">
        <v>25</v>
      </c>
      <c r="J437" s="235" t="s">
        <v>1018</v>
      </c>
      <c r="K437" s="235" t="s">
        <v>1019</v>
      </c>
      <c r="L437" s="236">
        <v>46037.3268171296</v>
      </c>
      <c r="M437" s="233">
        <v>0</v>
      </c>
      <c r="N437" s="233">
        <v>0</v>
      </c>
      <c r="O437" s="233">
        <v>0</v>
      </c>
      <c r="R437" s="233" t="s">
        <v>24</v>
      </c>
      <c r="S437" s="233" t="b">
        <v>0</v>
      </c>
      <c r="T437" s="237">
        <v>0.01</v>
      </c>
      <c r="U437" s="238">
        <v>5.5</v>
      </c>
      <c r="V437" s="237">
        <v>0.01</v>
      </c>
      <c r="W437" s="237">
        <v>0</v>
      </c>
      <c r="X437" s="233">
        <v>1000</v>
      </c>
      <c r="Z437" s="233">
        <v>10</v>
      </c>
      <c r="AB437" s="239">
        <v>50</v>
      </c>
      <c r="AD437" s="233">
        <v>10</v>
      </c>
      <c r="AF437" s="233">
        <v>2000</v>
      </c>
      <c r="AG437" s="233">
        <v>2</v>
      </c>
      <c r="AH437" s="233">
        <v>5.67</v>
      </c>
      <c r="AI437" s="233">
        <v>449</v>
      </c>
      <c r="AJ437" s="233">
        <v>0</v>
      </c>
      <c r="AK437" s="233">
        <v>114</v>
      </c>
      <c r="AM437" s="233" t="s">
        <v>2</v>
      </c>
      <c r="AO437" s="233">
        <v>50</v>
      </c>
      <c r="AW437" s="233" t="b">
        <v>0</v>
      </c>
      <c r="AZ437" s="233" t="s">
        <v>24</v>
      </c>
      <c r="BE437" s="246"/>
      <c r="BF437" s="119">
        <v>1</v>
      </c>
      <c r="BG437" s="119">
        <v>0.55000000000000004</v>
      </c>
      <c r="BH437" s="119">
        <v>0</v>
      </c>
      <c r="BI437" s="119">
        <v>0</v>
      </c>
      <c r="BJ437" s="119">
        <v>0</v>
      </c>
      <c r="BK437" s="119">
        <v>5.5</v>
      </c>
      <c r="BL437" s="119">
        <v>6</v>
      </c>
      <c r="BM437" s="40" t="s">
        <v>1</v>
      </c>
      <c r="BN437" s="243">
        <v>5</v>
      </c>
      <c r="BO437" s="242">
        <v>5.5</v>
      </c>
      <c r="BP437" s="58">
        <v>250</v>
      </c>
      <c r="BT437" s="59"/>
      <c r="BU437" s="59"/>
      <c r="BV437" s="59"/>
      <c r="BW437" s="59"/>
      <c r="BX437" s="59"/>
      <c r="BY437" s="59"/>
      <c r="BZ437" s="59"/>
      <c r="CA437" s="59"/>
      <c r="CB437" s="59"/>
      <c r="CC437" s="59"/>
      <c r="CD437" s="59"/>
      <c r="CE437" s="60"/>
      <c r="CF437" s="76" t="s">
        <v>90</v>
      </c>
      <c r="CR437" s="40">
        <v>0</v>
      </c>
      <c r="CS437" s="67">
        <v>0</v>
      </c>
      <c r="CT437" s="67">
        <v>0</v>
      </c>
      <c r="CU437" s="40">
        <v>0</v>
      </c>
      <c r="CV437" s="67">
        <v>0</v>
      </c>
      <c r="CW437" s="67">
        <v>0</v>
      </c>
      <c r="CX437" s="67">
        <v>0</v>
      </c>
      <c r="CY437" s="67">
        <v>0</v>
      </c>
      <c r="CZ437" s="67">
        <v>0</v>
      </c>
      <c r="DA437" s="67">
        <v>0</v>
      </c>
      <c r="DB437" s="67">
        <v>0</v>
      </c>
      <c r="DD437" s="229">
        <v>0</v>
      </c>
      <c r="DI437" s="40" t="s">
        <v>0</v>
      </c>
    </row>
    <row r="438" spans="1:113" s="119" customFormat="1" ht="15.75" customHeight="1" thickBot="1" x14ac:dyDescent="0.3">
      <c r="A438" s="233">
        <v>560647</v>
      </c>
      <c r="B438" s="233" t="s">
        <v>6</v>
      </c>
      <c r="C438" s="234" t="s">
        <v>1020</v>
      </c>
      <c r="D438" s="233">
        <v>44</v>
      </c>
      <c r="E438" s="233">
        <v>0</v>
      </c>
      <c r="F438" s="233">
        <v>44</v>
      </c>
      <c r="G438" s="233">
        <v>418</v>
      </c>
      <c r="H438" s="233">
        <v>0</v>
      </c>
      <c r="I438" s="233">
        <v>25</v>
      </c>
      <c r="J438" s="235" t="s">
        <v>1021</v>
      </c>
      <c r="K438" s="235" t="s">
        <v>1022</v>
      </c>
      <c r="L438" s="236">
        <v>46037.0793865741</v>
      </c>
      <c r="M438" s="233">
        <v>0</v>
      </c>
      <c r="N438" s="233">
        <v>0</v>
      </c>
      <c r="O438" s="233">
        <v>0</v>
      </c>
      <c r="R438" s="233" t="s">
        <v>24</v>
      </c>
      <c r="S438" s="233" t="b">
        <v>0</v>
      </c>
      <c r="T438" s="237">
        <v>0.01</v>
      </c>
      <c r="U438" s="238">
        <v>5.5</v>
      </c>
      <c r="V438" s="237">
        <v>0.01</v>
      </c>
      <c r="W438" s="237">
        <v>0</v>
      </c>
      <c r="X438" s="233">
        <v>1000</v>
      </c>
      <c r="Z438" s="233">
        <v>10</v>
      </c>
      <c r="AB438" s="239">
        <v>50</v>
      </c>
      <c r="AD438" s="233">
        <v>10</v>
      </c>
      <c r="AF438" s="233">
        <v>2000</v>
      </c>
      <c r="AG438" s="233">
        <v>2</v>
      </c>
      <c r="AH438" s="233">
        <v>5.71</v>
      </c>
      <c r="AI438" s="233">
        <v>580</v>
      </c>
      <c r="AJ438" s="233">
        <v>0</v>
      </c>
      <c r="AK438" s="233">
        <v>146</v>
      </c>
      <c r="AM438" s="233" t="s">
        <v>2</v>
      </c>
      <c r="AO438" s="233">
        <v>50</v>
      </c>
      <c r="AW438" s="233" t="b">
        <v>0</v>
      </c>
      <c r="AZ438" s="233" t="s">
        <v>24</v>
      </c>
      <c r="BE438" s="246"/>
      <c r="BF438" s="119">
        <v>0.55000000000000004</v>
      </c>
      <c r="BG438" s="119">
        <v>0.9</v>
      </c>
      <c r="BH438" s="119">
        <v>0.55000000000000004</v>
      </c>
      <c r="BI438" s="119">
        <v>0</v>
      </c>
      <c r="BJ438" s="119">
        <v>0</v>
      </c>
      <c r="BK438" s="119">
        <v>5.5</v>
      </c>
      <c r="BL438" s="119">
        <v>6</v>
      </c>
      <c r="BM438" s="40" t="s">
        <v>1</v>
      </c>
      <c r="BN438" s="243">
        <v>44</v>
      </c>
      <c r="BO438" s="242">
        <v>5.5</v>
      </c>
      <c r="BP438" s="58">
        <v>250</v>
      </c>
      <c r="BT438" s="59"/>
      <c r="BU438" s="59"/>
      <c r="BV438" s="59"/>
      <c r="BW438" s="59"/>
      <c r="BX438" s="59"/>
      <c r="BY438" s="59"/>
      <c r="BZ438" s="59"/>
      <c r="CA438" s="59"/>
      <c r="CB438" s="59"/>
      <c r="CC438" s="59"/>
      <c r="CD438" s="59"/>
      <c r="CE438" s="60"/>
      <c r="CF438" s="76" t="s">
        <v>90</v>
      </c>
      <c r="CR438" s="40">
        <v>0</v>
      </c>
      <c r="CS438" s="67">
        <v>0</v>
      </c>
      <c r="CT438" s="67">
        <v>0</v>
      </c>
      <c r="CU438" s="40">
        <v>0</v>
      </c>
      <c r="CV438" s="67">
        <v>0</v>
      </c>
      <c r="CW438" s="67">
        <v>0</v>
      </c>
      <c r="CX438" s="67">
        <v>0</v>
      </c>
      <c r="CY438" s="67">
        <v>0</v>
      </c>
      <c r="CZ438" s="67">
        <v>0</v>
      </c>
      <c r="DA438" s="67">
        <v>0</v>
      </c>
      <c r="DB438" s="67">
        <v>0</v>
      </c>
      <c r="DD438" s="229">
        <v>0</v>
      </c>
      <c r="DI438" s="40" t="s">
        <v>0</v>
      </c>
    </row>
    <row r="439" spans="1:113" s="119" customFormat="1" ht="15.75" customHeight="1" thickBot="1" x14ac:dyDescent="0.3">
      <c r="A439" s="233">
        <v>560646</v>
      </c>
      <c r="B439" s="233" t="s">
        <v>6</v>
      </c>
      <c r="C439" s="234" t="s">
        <v>1020</v>
      </c>
      <c r="D439" s="233">
        <v>44</v>
      </c>
      <c r="E439" s="233">
        <v>0</v>
      </c>
      <c r="F439" s="233">
        <v>44</v>
      </c>
      <c r="G439" s="233">
        <v>417</v>
      </c>
      <c r="H439" s="233">
        <v>0</v>
      </c>
      <c r="I439" s="233">
        <v>25</v>
      </c>
      <c r="J439" s="235" t="s">
        <v>1023</v>
      </c>
      <c r="K439" s="235" t="s">
        <v>1024</v>
      </c>
      <c r="L439" s="236">
        <v>46037.0793402778</v>
      </c>
      <c r="M439" s="233">
        <v>0</v>
      </c>
      <c r="N439" s="233">
        <v>0</v>
      </c>
      <c r="O439" s="233">
        <v>0</v>
      </c>
      <c r="R439" s="233" t="s">
        <v>24</v>
      </c>
      <c r="S439" s="233" t="b">
        <v>0</v>
      </c>
      <c r="T439" s="237">
        <v>0.01</v>
      </c>
      <c r="U439" s="238">
        <v>5.5</v>
      </c>
      <c r="V439" s="237">
        <v>0.01</v>
      </c>
      <c r="W439" s="237">
        <v>0</v>
      </c>
      <c r="X439" s="233">
        <v>1000</v>
      </c>
      <c r="Z439" s="233">
        <v>10</v>
      </c>
      <c r="AB439" s="239">
        <v>50</v>
      </c>
      <c r="AD439" s="233">
        <v>10</v>
      </c>
      <c r="AF439" s="233">
        <v>2000</v>
      </c>
      <c r="AG439" s="233">
        <v>2</v>
      </c>
      <c r="AH439" s="233">
        <v>5.72</v>
      </c>
      <c r="AI439" s="233">
        <v>580</v>
      </c>
      <c r="AJ439" s="233">
        <v>0</v>
      </c>
      <c r="AK439" s="233">
        <v>148</v>
      </c>
      <c r="AM439" s="233" t="s">
        <v>2</v>
      </c>
      <c r="AO439" s="233">
        <v>50</v>
      </c>
      <c r="AW439" s="233" t="b">
        <v>0</v>
      </c>
      <c r="AZ439" s="233" t="s">
        <v>24</v>
      </c>
      <c r="BE439" s="246"/>
      <c r="BF439" s="119">
        <v>0.55000000000000004</v>
      </c>
      <c r="BG439" s="119">
        <v>0.9</v>
      </c>
      <c r="BH439" s="119">
        <v>0.55000000000000004</v>
      </c>
      <c r="BI439" s="119">
        <v>0</v>
      </c>
      <c r="BJ439" s="119">
        <v>0</v>
      </c>
      <c r="BK439" s="119">
        <v>5.5</v>
      </c>
      <c r="BL439" s="119">
        <v>6</v>
      </c>
      <c r="BM439" s="40" t="s">
        <v>1</v>
      </c>
      <c r="BN439" s="243">
        <v>44</v>
      </c>
      <c r="BO439" s="242">
        <v>5.5</v>
      </c>
      <c r="BP439" s="58">
        <v>250</v>
      </c>
      <c r="BT439" s="59"/>
      <c r="BU439" s="59"/>
      <c r="BV439" s="59"/>
      <c r="BW439" s="59"/>
      <c r="BX439" s="59"/>
      <c r="BY439" s="59"/>
      <c r="BZ439" s="59"/>
      <c r="CA439" s="59"/>
      <c r="CB439" s="59"/>
      <c r="CC439" s="59"/>
      <c r="CD439" s="59"/>
      <c r="CE439" s="60"/>
      <c r="CF439" s="76" t="s">
        <v>90</v>
      </c>
      <c r="CR439" s="40">
        <v>0</v>
      </c>
      <c r="CS439" s="67">
        <v>0</v>
      </c>
      <c r="CT439" s="67">
        <v>0</v>
      </c>
      <c r="CU439" s="40">
        <v>0</v>
      </c>
      <c r="CV439" s="67">
        <v>0</v>
      </c>
      <c r="CW439" s="67">
        <v>0</v>
      </c>
      <c r="CX439" s="67">
        <v>0</v>
      </c>
      <c r="CY439" s="67">
        <v>0</v>
      </c>
      <c r="CZ439" s="67">
        <v>0</v>
      </c>
      <c r="DA439" s="67">
        <v>0</v>
      </c>
      <c r="DB439" s="67">
        <v>0</v>
      </c>
      <c r="DD439" s="229">
        <v>0</v>
      </c>
      <c r="DI439" s="40" t="s">
        <v>0</v>
      </c>
    </row>
    <row r="440" spans="1:113" s="119" customFormat="1" ht="15.75" customHeight="1" thickBot="1" x14ac:dyDescent="0.3">
      <c r="A440" s="233">
        <v>560645</v>
      </c>
      <c r="B440" s="233" t="s">
        <v>6</v>
      </c>
      <c r="C440" s="234" t="s">
        <v>1020</v>
      </c>
      <c r="D440" s="233">
        <v>44</v>
      </c>
      <c r="E440" s="233">
        <v>0</v>
      </c>
      <c r="F440" s="233">
        <v>44</v>
      </c>
      <c r="G440" s="233">
        <v>416</v>
      </c>
      <c r="H440" s="233">
        <v>0</v>
      </c>
      <c r="I440" s="233">
        <v>25</v>
      </c>
      <c r="J440" s="235" t="s">
        <v>1025</v>
      </c>
      <c r="K440" s="235" t="s">
        <v>1026</v>
      </c>
      <c r="L440" s="236">
        <v>46037.079305555599</v>
      </c>
      <c r="M440" s="233">
        <v>0</v>
      </c>
      <c r="N440" s="233">
        <v>0</v>
      </c>
      <c r="O440" s="233">
        <v>0</v>
      </c>
      <c r="R440" s="233" t="s">
        <v>24</v>
      </c>
      <c r="S440" s="233" t="b">
        <v>0</v>
      </c>
      <c r="T440" s="237">
        <v>0.01</v>
      </c>
      <c r="U440" s="238">
        <v>5.5</v>
      </c>
      <c r="V440" s="237">
        <v>0.01</v>
      </c>
      <c r="W440" s="237">
        <v>0</v>
      </c>
      <c r="X440" s="233">
        <v>1000</v>
      </c>
      <c r="Z440" s="233">
        <v>10</v>
      </c>
      <c r="AB440" s="239">
        <v>50</v>
      </c>
      <c r="AD440" s="233">
        <v>10</v>
      </c>
      <c r="AF440" s="233">
        <v>2000</v>
      </c>
      <c r="AG440" s="233">
        <v>2</v>
      </c>
      <c r="AH440" s="233">
        <v>5.71</v>
      </c>
      <c r="AI440" s="233">
        <v>584</v>
      </c>
      <c r="AJ440" s="233">
        <v>0</v>
      </c>
      <c r="AK440" s="233">
        <v>148</v>
      </c>
      <c r="AM440" s="233" t="s">
        <v>2</v>
      </c>
      <c r="AO440" s="233">
        <v>50</v>
      </c>
      <c r="AW440" s="233" t="b">
        <v>0</v>
      </c>
      <c r="AZ440" s="233" t="s">
        <v>24</v>
      </c>
      <c r="BE440" s="246"/>
      <c r="BF440" s="119">
        <v>0.55000000000000004</v>
      </c>
      <c r="BG440" s="119">
        <v>0.9</v>
      </c>
      <c r="BH440" s="119">
        <v>0.55000000000000004</v>
      </c>
      <c r="BI440" s="119">
        <v>0</v>
      </c>
      <c r="BJ440" s="119">
        <v>0</v>
      </c>
      <c r="BK440" s="119">
        <v>5.5</v>
      </c>
      <c r="BL440" s="119">
        <v>6</v>
      </c>
      <c r="BM440" s="40" t="s">
        <v>1</v>
      </c>
      <c r="BN440" s="243">
        <v>44</v>
      </c>
      <c r="BO440" s="242">
        <v>5.5</v>
      </c>
      <c r="BP440" s="58">
        <v>250</v>
      </c>
      <c r="BT440" s="59"/>
      <c r="BU440" s="59"/>
      <c r="BV440" s="59"/>
      <c r="BW440" s="59"/>
      <c r="BX440" s="59"/>
      <c r="BY440" s="59"/>
      <c r="BZ440" s="59"/>
      <c r="CA440" s="59"/>
      <c r="CB440" s="59"/>
      <c r="CC440" s="59"/>
      <c r="CD440" s="59"/>
      <c r="CE440" s="60"/>
      <c r="CF440" s="76" t="s">
        <v>90</v>
      </c>
      <c r="CR440" s="40">
        <v>0</v>
      </c>
      <c r="CS440" s="67">
        <v>0</v>
      </c>
      <c r="CT440" s="67">
        <v>0</v>
      </c>
      <c r="CU440" s="40">
        <v>0</v>
      </c>
      <c r="CV440" s="67">
        <v>0</v>
      </c>
      <c r="CW440" s="67">
        <v>0</v>
      </c>
      <c r="CX440" s="67">
        <v>0</v>
      </c>
      <c r="CY440" s="67">
        <v>0</v>
      </c>
      <c r="CZ440" s="67">
        <v>0</v>
      </c>
      <c r="DA440" s="67">
        <v>0</v>
      </c>
      <c r="DB440" s="67">
        <v>0</v>
      </c>
      <c r="DD440" s="229">
        <v>0</v>
      </c>
      <c r="DI440" s="40" t="s">
        <v>0</v>
      </c>
    </row>
    <row r="441" spans="1:113" s="119" customFormat="1" ht="15.75" customHeight="1" thickBot="1" x14ac:dyDescent="0.3">
      <c r="A441" s="233">
        <v>560644</v>
      </c>
      <c r="B441" s="233" t="s">
        <v>6</v>
      </c>
      <c r="C441" s="234" t="s">
        <v>1020</v>
      </c>
      <c r="D441" s="233">
        <v>44</v>
      </c>
      <c r="E441" s="233">
        <v>0</v>
      </c>
      <c r="F441" s="233">
        <v>44</v>
      </c>
      <c r="G441" s="233">
        <v>415</v>
      </c>
      <c r="H441" s="233">
        <v>0</v>
      </c>
      <c r="I441" s="233">
        <v>25</v>
      </c>
      <c r="J441" s="235" t="s">
        <v>1027</v>
      </c>
      <c r="K441" s="235" t="s">
        <v>1028</v>
      </c>
      <c r="L441" s="236">
        <v>46037.079259259299</v>
      </c>
      <c r="M441" s="233">
        <v>0</v>
      </c>
      <c r="N441" s="233">
        <v>0</v>
      </c>
      <c r="O441" s="233">
        <v>0</v>
      </c>
      <c r="R441" s="233" t="s">
        <v>24</v>
      </c>
      <c r="S441" s="233" t="b">
        <v>0</v>
      </c>
      <c r="T441" s="237">
        <v>0.01</v>
      </c>
      <c r="U441" s="238">
        <v>5.5</v>
      </c>
      <c r="V441" s="237">
        <v>0.01</v>
      </c>
      <c r="W441" s="237">
        <v>0</v>
      </c>
      <c r="X441" s="233">
        <v>1000</v>
      </c>
      <c r="Z441" s="233">
        <v>10</v>
      </c>
      <c r="AB441" s="239">
        <v>50</v>
      </c>
      <c r="AD441" s="233">
        <v>10</v>
      </c>
      <c r="AF441" s="233">
        <v>2000</v>
      </c>
      <c r="AG441" s="233">
        <v>2</v>
      </c>
      <c r="AH441" s="233">
        <v>5.74</v>
      </c>
      <c r="AI441" s="233">
        <v>593</v>
      </c>
      <c r="AJ441" s="233">
        <v>0</v>
      </c>
      <c r="AK441" s="233">
        <v>151</v>
      </c>
      <c r="AM441" s="233" t="s">
        <v>2</v>
      </c>
      <c r="AO441" s="233">
        <v>50</v>
      </c>
      <c r="AW441" s="233" t="b">
        <v>0</v>
      </c>
      <c r="AZ441" s="233" t="s">
        <v>24</v>
      </c>
      <c r="BE441" s="246"/>
      <c r="BF441" s="119">
        <v>0.55000000000000004</v>
      </c>
      <c r="BG441" s="119">
        <v>0.9</v>
      </c>
      <c r="BH441" s="119">
        <v>0.55000000000000004</v>
      </c>
      <c r="BI441" s="119">
        <v>0</v>
      </c>
      <c r="BJ441" s="119">
        <v>0</v>
      </c>
      <c r="BK441" s="119">
        <v>5.5</v>
      </c>
      <c r="BL441" s="119">
        <v>6</v>
      </c>
      <c r="BM441" s="40" t="s">
        <v>1</v>
      </c>
      <c r="BN441" s="243">
        <v>44</v>
      </c>
      <c r="BO441" s="242">
        <v>5.5</v>
      </c>
      <c r="BP441" s="58">
        <v>250</v>
      </c>
      <c r="BT441" s="59"/>
      <c r="BU441" s="59"/>
      <c r="BV441" s="59"/>
      <c r="BW441" s="59"/>
      <c r="BX441" s="59"/>
      <c r="BY441" s="59"/>
      <c r="BZ441" s="59"/>
      <c r="CA441" s="59"/>
      <c r="CB441" s="59"/>
      <c r="CC441" s="59"/>
      <c r="CD441" s="59"/>
      <c r="CE441" s="60"/>
      <c r="CF441" s="76" t="s">
        <v>90</v>
      </c>
      <c r="CR441" s="40">
        <v>0</v>
      </c>
      <c r="CS441" s="67">
        <v>0</v>
      </c>
      <c r="CT441" s="67">
        <v>0</v>
      </c>
      <c r="CU441" s="40">
        <v>0</v>
      </c>
      <c r="CV441" s="67">
        <v>0</v>
      </c>
      <c r="CW441" s="67">
        <v>0</v>
      </c>
      <c r="CX441" s="67">
        <v>0</v>
      </c>
      <c r="CY441" s="67">
        <v>0</v>
      </c>
      <c r="CZ441" s="67">
        <v>0</v>
      </c>
      <c r="DA441" s="67">
        <v>0</v>
      </c>
      <c r="DB441" s="67">
        <v>0</v>
      </c>
      <c r="DD441" s="229">
        <v>0</v>
      </c>
      <c r="DI441" s="40" t="s">
        <v>0</v>
      </c>
    </row>
    <row r="442" spans="1:113" x14ac:dyDescent="0.25">
      <c r="BW442" s="222"/>
      <c r="BX442" s="222"/>
      <c r="BY442" s="222"/>
      <c r="BZ442" s="222"/>
      <c r="CA442" s="222"/>
      <c r="CB442" s="222"/>
      <c r="CC442" s="222"/>
      <c r="CD442" s="223"/>
      <c r="DD442" s="224"/>
    </row>
  </sheetData>
  <mergeCells count="89">
    <mergeCell ref="B2:B3"/>
    <mergeCell ref="C2:C3"/>
    <mergeCell ref="D2:D3"/>
    <mergeCell ref="E2:E3"/>
    <mergeCell ref="P2:P3"/>
    <mergeCell ref="K2:K3"/>
    <mergeCell ref="L2:L3"/>
    <mergeCell ref="M2:M3"/>
    <mergeCell ref="N2:N3"/>
    <mergeCell ref="O2:O3"/>
    <mergeCell ref="F2:F3"/>
    <mergeCell ref="G2:G3"/>
    <mergeCell ref="H2:H3"/>
    <mergeCell ref="I2:I3"/>
    <mergeCell ref="J2:J3"/>
    <mergeCell ref="DG1:DG3"/>
    <mergeCell ref="DH1:DH3"/>
    <mergeCell ref="DI1:DI3"/>
    <mergeCell ref="CK1:DD1"/>
    <mergeCell ref="DE1:DE3"/>
    <mergeCell ref="DC2:DC3"/>
    <mergeCell ref="DD2:DD3"/>
    <mergeCell ref="CR2:DB2"/>
    <mergeCell ref="CK2:CQ2"/>
    <mergeCell ref="V2:V3"/>
    <mergeCell ref="W2:W3"/>
    <mergeCell ref="X2:X3"/>
    <mergeCell ref="Y2:Y3"/>
    <mergeCell ref="DF1:DF3"/>
    <mergeCell ref="A1:BA1"/>
    <mergeCell ref="BC1:CE1"/>
    <mergeCell ref="CF1:CF2"/>
    <mergeCell ref="CG1:CJ2"/>
    <mergeCell ref="A2:A3"/>
    <mergeCell ref="Q2:Q3"/>
    <mergeCell ref="R2:R3"/>
    <mergeCell ref="S2:S3"/>
    <mergeCell ref="T2:T3"/>
    <mergeCell ref="U2:U3"/>
    <mergeCell ref="Z2:Z3"/>
    <mergeCell ref="AA2:AA3"/>
    <mergeCell ref="AN2:AN3"/>
    <mergeCell ref="AC2:AC3"/>
    <mergeCell ref="AD2:AD3"/>
    <mergeCell ref="AE2:AE3"/>
    <mergeCell ref="AF2:AF3"/>
    <mergeCell ref="AG2:AG3"/>
    <mergeCell ref="AH2:AH3"/>
    <mergeCell ref="AI2:AI3"/>
    <mergeCell ref="AB2:AB3"/>
    <mergeCell ref="AJ2:AJ3"/>
    <mergeCell ref="AK2:AK3"/>
    <mergeCell ref="AL2:AL3"/>
    <mergeCell ref="AM2:AM3"/>
    <mergeCell ref="AZ2:AZ3"/>
    <mergeCell ref="AO2:AO3"/>
    <mergeCell ref="AP2:AP3"/>
    <mergeCell ref="AQ2:AQ3"/>
    <mergeCell ref="AR2:AR3"/>
    <mergeCell ref="AS2:AS3"/>
    <mergeCell ref="AY2:AY3"/>
    <mergeCell ref="AT2:AT3"/>
    <mergeCell ref="AU2:AU3"/>
    <mergeCell ref="AV2:AV3"/>
    <mergeCell ref="AW2:AW3"/>
    <mergeCell ref="AX2:AX3"/>
    <mergeCell ref="BA2:BA3"/>
    <mergeCell ref="BC2:BC3"/>
    <mergeCell ref="BD2:BD3"/>
    <mergeCell ref="BE2:BE3"/>
    <mergeCell ref="BF2:BF3"/>
    <mergeCell ref="CA3:CB3"/>
    <mergeCell ref="CG3:CH3"/>
    <mergeCell ref="BT2:CE2"/>
    <mergeCell ref="BU3:BV3"/>
    <mergeCell ref="BQ2:BS2"/>
    <mergeCell ref="BD4:BD5"/>
    <mergeCell ref="BN2:BN3"/>
    <mergeCell ref="BO2:BO3"/>
    <mergeCell ref="BW3:BX3"/>
    <mergeCell ref="BY3:BZ3"/>
    <mergeCell ref="BL2:BL3"/>
    <mergeCell ref="BM2:BM3"/>
    <mergeCell ref="BG2:BG3"/>
    <mergeCell ref="BP2:BP3"/>
    <mergeCell ref="BH2:BH3"/>
    <mergeCell ref="BI2:BI3"/>
    <mergeCell ref="BJ2:BJ3"/>
    <mergeCell ref="BK2:BK3"/>
  </mergeCells>
  <conditionalFormatting sqref="CJ1:CJ7 CJ12:CJ64">
    <cfRule type="cellIs" dxfId="24" priority="28" operator="equal">
      <formula>1</formula>
    </cfRule>
  </conditionalFormatting>
  <conditionalFormatting sqref="BQ1:BS72">
    <cfRule type="cellIs" dxfId="23" priority="27" operator="equal">
      <formula>0</formula>
    </cfRule>
  </conditionalFormatting>
  <conditionalFormatting sqref="CJ65:CJ72">
    <cfRule type="cellIs" dxfId="22" priority="26" operator="equal">
      <formula>1</formula>
    </cfRule>
  </conditionalFormatting>
  <conditionalFormatting sqref="CK1:CQ72">
    <cfRule type="cellIs" dxfId="21" priority="25" operator="equal">
      <formula>1</formula>
    </cfRule>
  </conditionalFormatting>
  <conditionalFormatting sqref="CR8:CT11 CV8:DB11">
    <cfRule type="cellIs" dxfId="20" priority="24" operator="equal">
      <formula>1</formula>
    </cfRule>
  </conditionalFormatting>
  <conditionalFormatting sqref="DD8:DD11">
    <cfRule type="cellIs" dxfId="19" priority="23" operator="equal">
      <formula>1</formula>
    </cfRule>
  </conditionalFormatting>
  <conditionalFormatting sqref="DE8:DE11">
    <cfRule type="cellIs" dxfId="18" priority="22" operator="equal">
      <formula>1</formula>
    </cfRule>
  </conditionalFormatting>
  <conditionalFormatting sqref="DF8:DF11">
    <cfRule type="cellIs" dxfId="17" priority="21" operator="equal">
      <formula>1</formula>
    </cfRule>
  </conditionalFormatting>
  <conditionalFormatting sqref="DG8:DG11">
    <cfRule type="cellIs" dxfId="16" priority="20" operator="equal">
      <formula>1</formula>
    </cfRule>
  </conditionalFormatting>
  <conditionalFormatting sqref="DH8:DH11">
    <cfRule type="cellIs" dxfId="15" priority="19" operator="equal">
      <formula>1</formula>
    </cfRule>
  </conditionalFormatting>
  <conditionalFormatting sqref="DI8:DI11">
    <cfRule type="cellIs" dxfId="14" priority="18" operator="equal">
      <formula>1</formula>
    </cfRule>
  </conditionalFormatting>
  <conditionalFormatting sqref="CU287:CU289 CU275:CU280 CU1:CU270 CU296:CU340 CU442:CU1048576">
    <cfRule type="cellIs" dxfId="13" priority="14" operator="equal">
      <formula>1</formula>
    </cfRule>
  </conditionalFormatting>
  <conditionalFormatting sqref="DD1 DD287:DD289 DD275:DD280 DD4:DD270 DD296:DD1048576">
    <cfRule type="cellIs" dxfId="12" priority="10" operator="equal">
      <formula>3</formula>
    </cfRule>
    <cfRule type="cellIs" dxfId="11" priority="11" operator="equal">
      <formula>2</formula>
    </cfRule>
    <cfRule type="cellIs" dxfId="10" priority="12" operator="equal">
      <formula>1</formula>
    </cfRule>
    <cfRule type="cellIs" dxfId="9" priority="13" operator="greaterThan">
      <formula>0</formula>
    </cfRule>
  </conditionalFormatting>
  <conditionalFormatting sqref="DC287:DC289 DC296:DC1048576 DC275:DC280 DC1:DC270">
    <cfRule type="cellIs" dxfId="8" priority="9" operator="equal">
      <formula>1</formula>
    </cfRule>
  </conditionalFormatting>
  <conditionalFormatting sqref="CJ287:CJ289 CJ296:CJ1048576 CJ275:CJ280 CJ1:CJ270">
    <cfRule type="cellIs" dxfId="7" priority="8" operator="equal">
      <formula>1</formula>
    </cfRule>
  </conditionalFormatting>
  <conditionalFormatting sqref="BQ80:BS86">
    <cfRule type="cellIs" dxfId="6" priority="7" operator="equal">
      <formula>0</formula>
    </cfRule>
  </conditionalFormatting>
  <conditionalFormatting sqref="BQ87:BS87">
    <cfRule type="cellIs" dxfId="5" priority="6" operator="equal">
      <formula>0</formula>
    </cfRule>
  </conditionalFormatting>
  <conditionalFormatting sqref="BQ88:BS88">
    <cfRule type="cellIs" dxfId="4" priority="5" operator="equal">
      <formula>0</formula>
    </cfRule>
  </conditionalFormatting>
  <conditionalFormatting sqref="BQ92:BS95">
    <cfRule type="cellIs" dxfId="3" priority="4" operator="equal">
      <formula>0</formula>
    </cfRule>
  </conditionalFormatting>
  <conditionalFormatting sqref="BQ97:BS99">
    <cfRule type="cellIs" dxfId="2" priority="3" operator="equal">
      <formula>0</formula>
    </cfRule>
  </conditionalFormatting>
  <conditionalFormatting sqref="BQ100:BS106">
    <cfRule type="cellIs" dxfId="1" priority="2" operator="equal">
      <formula>0</formula>
    </cfRule>
  </conditionalFormatting>
  <conditionalFormatting sqref="CU341:CU441">
    <cfRule type="cellIs" dxfId="0" priority="1" operator="equal">
      <formula>1</formula>
    </cfRule>
  </conditionalFormatting>
  <dataValidations count="1">
    <dataValidation type="list" allowBlank="1" showInputMessage="1" showErrorMessage="1" sqref="BM2:BM72">
      <formula1>"CP Ti Gr3, Nimonic 75"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DatosTitaneo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2026-01-22T10:51:37Z</dcterms:modified>
</cp:coreProperties>
</file>